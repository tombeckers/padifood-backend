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ek/Documents/repos/padifood/"/>
    </mc:Choice>
  </mc:AlternateContent>
  <xr:revisionPtr revIDLastSave="0" documentId="8_{53104E8D-8494-8342-B741-CE349D6F2526}" xr6:coauthVersionLast="47" xr6:coauthVersionMax="47" xr10:uidLastSave="{00000000-0000-0000-0000-000000000000}"/>
  <bookViews>
    <workbookView xWindow="2620" yWindow="780" windowWidth="19200" windowHeight="19300" xr2:uid="{002ED373-533B-4206-BA80-3061C6B3FD42}"/>
  </bookViews>
  <sheets>
    <sheet name="Blad1" sheetId="1" r:id="rId1"/>
  </sheets>
  <definedNames>
    <definedName name="_xlnm._FilterDatabase" localSheetId="0" hidden="1">Blad1!$A$1:$AF$118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" i="1" l="1"/>
  <c r="L118" i="1"/>
  <c r="Z118" i="1" s="1"/>
  <c r="K118" i="1"/>
  <c r="J118" i="1"/>
  <c r="Q118" i="1" s="1"/>
  <c r="T118" i="1" s="1"/>
  <c r="M117" i="1"/>
  <c r="L117" i="1"/>
  <c r="K117" i="1"/>
  <c r="J117" i="1"/>
  <c r="Q117" i="1" s="1"/>
  <c r="R117" i="1" s="1"/>
  <c r="M116" i="1"/>
  <c r="L116" i="1"/>
  <c r="K116" i="1"/>
  <c r="J116" i="1"/>
  <c r="M115" i="1"/>
  <c r="L115" i="1"/>
  <c r="K115" i="1"/>
  <c r="J115" i="1"/>
  <c r="M114" i="1"/>
  <c r="L114" i="1"/>
  <c r="Z114" i="1" s="1"/>
  <c r="K114" i="1"/>
  <c r="J114" i="1"/>
  <c r="M113" i="1"/>
  <c r="L113" i="1"/>
  <c r="K113" i="1"/>
  <c r="J113" i="1"/>
  <c r="M112" i="1"/>
  <c r="L112" i="1"/>
  <c r="K112" i="1"/>
  <c r="J112" i="1"/>
  <c r="M111" i="1"/>
  <c r="L111" i="1"/>
  <c r="Y111" i="1" s="1"/>
  <c r="K111" i="1"/>
  <c r="J111" i="1"/>
  <c r="M110" i="1"/>
  <c r="L110" i="1"/>
  <c r="K110" i="1"/>
  <c r="J110" i="1"/>
  <c r="M109" i="1"/>
  <c r="L109" i="1"/>
  <c r="K109" i="1"/>
  <c r="J109" i="1"/>
  <c r="M108" i="1"/>
  <c r="L108" i="1"/>
  <c r="X108" i="1" s="1"/>
  <c r="K108" i="1"/>
  <c r="J108" i="1"/>
  <c r="M107" i="1"/>
  <c r="L107" i="1"/>
  <c r="Y107" i="1" s="1"/>
  <c r="K107" i="1"/>
  <c r="J107" i="1"/>
  <c r="M106" i="1"/>
  <c r="L106" i="1"/>
  <c r="Y106" i="1" s="1"/>
  <c r="K106" i="1"/>
  <c r="J106" i="1"/>
  <c r="M105" i="1"/>
  <c r="L105" i="1"/>
  <c r="W105" i="1" s="1"/>
  <c r="K105" i="1"/>
  <c r="J105" i="1"/>
  <c r="M104" i="1"/>
  <c r="L104" i="1"/>
  <c r="K104" i="1"/>
  <c r="J104" i="1"/>
  <c r="Q104" i="1" s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Y99" i="1" s="1"/>
  <c r="K99" i="1"/>
  <c r="J99" i="1"/>
  <c r="M98" i="1"/>
  <c r="L98" i="1"/>
  <c r="K98" i="1"/>
  <c r="J98" i="1"/>
  <c r="M97" i="1"/>
  <c r="L97" i="1"/>
  <c r="X97" i="1" s="1"/>
  <c r="K97" i="1"/>
  <c r="J97" i="1"/>
  <c r="M96" i="1"/>
  <c r="L96" i="1"/>
  <c r="K96" i="1"/>
  <c r="J96" i="1"/>
  <c r="M95" i="1"/>
  <c r="L95" i="1"/>
  <c r="K95" i="1"/>
  <c r="J95" i="1"/>
  <c r="M94" i="1"/>
  <c r="L94" i="1"/>
  <c r="Z94" i="1" s="1"/>
  <c r="K94" i="1"/>
  <c r="J94" i="1"/>
  <c r="M93" i="1"/>
  <c r="L93" i="1"/>
  <c r="X93" i="1" s="1"/>
  <c r="K93" i="1"/>
  <c r="J93" i="1"/>
  <c r="M92" i="1"/>
  <c r="L92" i="1"/>
  <c r="X92" i="1" s="1"/>
  <c r="K92" i="1"/>
  <c r="J92" i="1"/>
  <c r="M91" i="1"/>
  <c r="L91" i="1"/>
  <c r="W91" i="1" s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Q85" i="1" s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Y79" i="1" s="1"/>
  <c r="K79" i="1"/>
  <c r="J79" i="1"/>
  <c r="M78" i="1"/>
  <c r="Q78" i="1" s="1"/>
  <c r="T78" i="1" s="1"/>
  <c r="L78" i="1"/>
  <c r="W78" i="1" s="1"/>
  <c r="K78" i="1"/>
  <c r="J78" i="1"/>
  <c r="M77" i="1"/>
  <c r="L77" i="1"/>
  <c r="X77" i="1" s="1"/>
  <c r="K77" i="1"/>
  <c r="J77" i="1"/>
  <c r="M76" i="1"/>
  <c r="L76" i="1"/>
  <c r="X76" i="1" s="1"/>
  <c r="K76" i="1"/>
  <c r="J76" i="1"/>
  <c r="M75" i="1"/>
  <c r="L75" i="1"/>
  <c r="Y75" i="1" s="1"/>
  <c r="K75" i="1"/>
  <c r="J75" i="1"/>
  <c r="M74" i="1"/>
  <c r="L74" i="1"/>
  <c r="W74" i="1" s="1"/>
  <c r="K74" i="1"/>
  <c r="J74" i="1"/>
  <c r="M73" i="1"/>
  <c r="L73" i="1"/>
  <c r="X73" i="1" s="1"/>
  <c r="K73" i="1"/>
  <c r="J73" i="1"/>
  <c r="M72" i="1"/>
  <c r="L72" i="1"/>
  <c r="X72" i="1" s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Q69" i="1" s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Q61" i="1" s="1"/>
  <c r="M60" i="1"/>
  <c r="L60" i="1"/>
  <c r="K60" i="1"/>
  <c r="J60" i="1"/>
  <c r="M59" i="1"/>
  <c r="L59" i="1"/>
  <c r="Y59" i="1" s="1"/>
  <c r="K59" i="1"/>
  <c r="J59" i="1"/>
  <c r="M58" i="1"/>
  <c r="L58" i="1"/>
  <c r="K58" i="1"/>
  <c r="J58" i="1"/>
  <c r="M57" i="1"/>
  <c r="L57" i="1"/>
  <c r="X57" i="1" s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Z53" i="1" s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Q49" i="1" s="1"/>
  <c r="R49" i="1" s="1"/>
  <c r="M48" i="1"/>
  <c r="L48" i="1"/>
  <c r="X48" i="1" s="1"/>
  <c r="K48" i="1"/>
  <c r="J48" i="1"/>
  <c r="M47" i="1"/>
  <c r="L47" i="1"/>
  <c r="K47" i="1"/>
  <c r="J47" i="1"/>
  <c r="M46" i="1"/>
  <c r="L46" i="1"/>
  <c r="Y46" i="1" s="1"/>
  <c r="K46" i="1"/>
  <c r="J46" i="1"/>
  <c r="M45" i="1"/>
  <c r="L45" i="1"/>
  <c r="W45" i="1" s="1"/>
  <c r="K45" i="1"/>
  <c r="J45" i="1"/>
  <c r="M44" i="1"/>
  <c r="L44" i="1"/>
  <c r="X44" i="1" s="1"/>
  <c r="K44" i="1"/>
  <c r="J44" i="1"/>
  <c r="M43" i="1"/>
  <c r="L43" i="1"/>
  <c r="K43" i="1"/>
  <c r="J43" i="1"/>
  <c r="M42" i="1"/>
  <c r="L42" i="1"/>
  <c r="K42" i="1"/>
  <c r="J42" i="1"/>
  <c r="M41" i="1"/>
  <c r="L41" i="1"/>
  <c r="W41" i="1" s="1"/>
  <c r="K41" i="1"/>
  <c r="J41" i="1"/>
  <c r="M40" i="1"/>
  <c r="L40" i="1"/>
  <c r="K40" i="1"/>
  <c r="J40" i="1"/>
  <c r="M39" i="1"/>
  <c r="L39" i="1"/>
  <c r="K39" i="1"/>
  <c r="J39" i="1"/>
  <c r="M38" i="1"/>
  <c r="L38" i="1"/>
  <c r="Y38" i="1" s="1"/>
  <c r="K38" i="1"/>
  <c r="J38" i="1"/>
  <c r="M37" i="1"/>
  <c r="L37" i="1"/>
  <c r="K37" i="1"/>
  <c r="J37" i="1"/>
  <c r="Q37" i="1" s="1"/>
  <c r="R37" i="1" s="1"/>
  <c r="M36" i="1"/>
  <c r="L36" i="1"/>
  <c r="X36" i="1" s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Q33" i="1" s="1"/>
  <c r="R33" i="1" s="1"/>
  <c r="M32" i="1"/>
  <c r="L32" i="1"/>
  <c r="Y32" i="1" s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Q29" i="1" s="1"/>
  <c r="T29" i="1" s="1"/>
  <c r="M28" i="1"/>
  <c r="L28" i="1"/>
  <c r="K28" i="1"/>
  <c r="J28" i="1"/>
  <c r="M27" i="1"/>
  <c r="L27" i="1"/>
  <c r="Z27" i="1" s="1"/>
  <c r="K27" i="1"/>
  <c r="J27" i="1"/>
  <c r="M26" i="1"/>
  <c r="L26" i="1"/>
  <c r="Y26" i="1" s="1"/>
  <c r="K26" i="1"/>
  <c r="J26" i="1"/>
  <c r="M25" i="1"/>
  <c r="L25" i="1"/>
  <c r="W25" i="1" s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Z19" i="1" s="1"/>
  <c r="K19" i="1"/>
  <c r="J19" i="1"/>
  <c r="M18" i="1"/>
  <c r="L18" i="1"/>
  <c r="Y18" i="1" s="1"/>
  <c r="K18" i="1"/>
  <c r="J18" i="1"/>
  <c r="M17" i="1"/>
  <c r="L17" i="1"/>
  <c r="W17" i="1" s="1"/>
  <c r="K17" i="1"/>
  <c r="J17" i="1"/>
  <c r="Q17" i="1" s="1"/>
  <c r="T17" i="1" s="1"/>
  <c r="M16" i="1"/>
  <c r="L16" i="1"/>
  <c r="Y16" i="1" s="1"/>
  <c r="K16" i="1"/>
  <c r="J16" i="1"/>
  <c r="M15" i="1"/>
  <c r="L15" i="1"/>
  <c r="Z15" i="1" s="1"/>
  <c r="K15" i="1"/>
  <c r="J15" i="1"/>
  <c r="M14" i="1"/>
  <c r="L14" i="1"/>
  <c r="Y14" i="1" s="1"/>
  <c r="K14" i="1"/>
  <c r="J14" i="1"/>
  <c r="M13" i="1"/>
  <c r="L13" i="1"/>
  <c r="K13" i="1"/>
  <c r="J13" i="1"/>
  <c r="M12" i="1"/>
  <c r="L12" i="1"/>
  <c r="Y12" i="1" s="1"/>
  <c r="K12" i="1"/>
  <c r="J12" i="1"/>
  <c r="Q12" i="1" s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Y8" i="1" s="1"/>
  <c r="K8" i="1"/>
  <c r="J8" i="1"/>
  <c r="M7" i="1"/>
  <c r="L7" i="1"/>
  <c r="K7" i="1"/>
  <c r="J7" i="1"/>
  <c r="M6" i="1"/>
  <c r="L6" i="1"/>
  <c r="Z6" i="1" s="1"/>
  <c r="K6" i="1"/>
  <c r="J6" i="1"/>
  <c r="M5" i="1"/>
  <c r="L5" i="1"/>
  <c r="K5" i="1"/>
  <c r="J5" i="1"/>
  <c r="M4" i="1"/>
  <c r="L4" i="1"/>
  <c r="Y4" i="1" s="1"/>
  <c r="K4" i="1"/>
  <c r="J4" i="1"/>
  <c r="M3" i="1"/>
  <c r="L3" i="1"/>
  <c r="Z3" i="1" s="1"/>
  <c r="K3" i="1"/>
  <c r="J3" i="1"/>
  <c r="M2" i="1"/>
  <c r="L2" i="1"/>
  <c r="K2" i="1"/>
  <c r="J2" i="1"/>
  <c r="Q109" i="1" l="1"/>
  <c r="Q65" i="1"/>
  <c r="Q13" i="1"/>
  <c r="Q98" i="1"/>
  <c r="Q94" i="1"/>
  <c r="Q110" i="1"/>
  <c r="Q89" i="1"/>
  <c r="Q11" i="1"/>
  <c r="Q41" i="1"/>
  <c r="R41" i="1" s="1"/>
  <c r="Q87" i="1"/>
  <c r="Q63" i="1"/>
  <c r="V63" i="1" s="1"/>
  <c r="Q73" i="1"/>
  <c r="R73" i="1" s="1"/>
  <c r="Q5" i="1"/>
  <c r="U5" i="1" s="1"/>
  <c r="Q57" i="1"/>
  <c r="Q14" i="1"/>
  <c r="U14" i="1" s="1"/>
  <c r="Q10" i="1"/>
  <c r="U10" i="1" s="1"/>
  <c r="Q9" i="1"/>
  <c r="Q81" i="1"/>
  <c r="Q113" i="1"/>
  <c r="Q25" i="1"/>
  <c r="Q105" i="1"/>
  <c r="Q101" i="1"/>
  <c r="R101" i="1" s="1"/>
  <c r="Q103" i="1"/>
  <c r="Q74" i="1"/>
  <c r="T74" i="1" s="1"/>
  <c r="Q21" i="1"/>
  <c r="R21" i="1" s="1"/>
  <c r="Q102" i="1"/>
  <c r="Q97" i="1"/>
  <c r="Q93" i="1"/>
  <c r="R93" i="1" s="1"/>
  <c r="Q77" i="1"/>
  <c r="R77" i="1" s="1"/>
  <c r="Q55" i="1"/>
  <c r="Q34" i="1"/>
  <c r="T34" i="1" s="1"/>
  <c r="Q30" i="1"/>
  <c r="V30" i="1" s="1"/>
  <c r="Q46" i="1"/>
  <c r="T46" i="1" s="1"/>
  <c r="Q45" i="1"/>
  <c r="R45" i="1" s="1"/>
  <c r="X117" i="1"/>
  <c r="Y117" i="1"/>
  <c r="W116" i="1"/>
  <c r="X116" i="1"/>
  <c r="Y115" i="1"/>
  <c r="Z115" i="1"/>
  <c r="X115" i="1"/>
  <c r="X113" i="1"/>
  <c r="Y113" i="1"/>
  <c r="Z110" i="1"/>
  <c r="X110" i="1"/>
  <c r="X109" i="1"/>
  <c r="Z109" i="1"/>
  <c r="W104" i="1"/>
  <c r="X104" i="1"/>
  <c r="Z103" i="1"/>
  <c r="X103" i="1"/>
  <c r="Y102" i="1"/>
  <c r="X102" i="1"/>
  <c r="Z102" i="1"/>
  <c r="W101" i="1"/>
  <c r="Z101" i="1"/>
  <c r="Y101" i="1"/>
  <c r="X101" i="1"/>
  <c r="X100" i="1"/>
  <c r="W100" i="1"/>
  <c r="T98" i="1"/>
  <c r="S98" i="1"/>
  <c r="W98" i="1"/>
  <c r="X98" i="1"/>
  <c r="Z98" i="1"/>
  <c r="Y95" i="1"/>
  <c r="X95" i="1"/>
  <c r="Z95" i="1"/>
  <c r="Z90" i="1"/>
  <c r="Y90" i="1"/>
  <c r="X89" i="1"/>
  <c r="Z89" i="1"/>
  <c r="Y89" i="1"/>
  <c r="Y87" i="1"/>
  <c r="Z87" i="1"/>
  <c r="X87" i="1"/>
  <c r="W86" i="1"/>
  <c r="Z86" i="1"/>
  <c r="Y86" i="1"/>
  <c r="X85" i="1"/>
  <c r="Y85" i="1"/>
  <c r="Z85" i="1"/>
  <c r="Y83" i="1"/>
  <c r="X83" i="1"/>
  <c r="W82" i="1"/>
  <c r="Y82" i="1"/>
  <c r="Z82" i="1"/>
  <c r="X81" i="1"/>
  <c r="Y81" i="1"/>
  <c r="Z81" i="1"/>
  <c r="W80" i="1"/>
  <c r="X80" i="1"/>
  <c r="Y71" i="1"/>
  <c r="X71" i="1"/>
  <c r="Z71" i="1"/>
  <c r="W70" i="1"/>
  <c r="X70" i="1"/>
  <c r="X69" i="1"/>
  <c r="Z69" i="1"/>
  <c r="Y69" i="1"/>
  <c r="Y67" i="1"/>
  <c r="X67" i="1"/>
  <c r="W66" i="1"/>
  <c r="Z66" i="1"/>
  <c r="Y66" i="1"/>
  <c r="X65" i="1"/>
  <c r="Z65" i="1"/>
  <c r="Y64" i="1"/>
  <c r="W64" i="1"/>
  <c r="Y63" i="1"/>
  <c r="X63" i="1"/>
  <c r="Z63" i="1"/>
  <c r="W62" i="1"/>
  <c r="Y62" i="1"/>
  <c r="X62" i="1"/>
  <c r="X61" i="1"/>
  <c r="Z61" i="1"/>
  <c r="Y61" i="1"/>
  <c r="Y60" i="1"/>
  <c r="W60" i="1"/>
  <c r="X60" i="1"/>
  <c r="Z60" i="1"/>
  <c r="W58" i="1"/>
  <c r="Y58" i="1"/>
  <c r="Y56" i="1"/>
  <c r="Z56" i="1"/>
  <c r="Y55" i="1"/>
  <c r="X55" i="1"/>
  <c r="W54" i="1"/>
  <c r="Y54" i="1"/>
  <c r="X54" i="1"/>
  <c r="Z54" i="1"/>
  <c r="Y52" i="1"/>
  <c r="Z52" i="1"/>
  <c r="W51" i="1"/>
  <c r="Y51" i="1"/>
  <c r="Z51" i="1"/>
  <c r="Y50" i="1"/>
  <c r="Z50" i="1"/>
  <c r="W49" i="1"/>
  <c r="X49" i="1"/>
  <c r="Y49" i="1"/>
  <c r="W47" i="1"/>
  <c r="Z47" i="1"/>
  <c r="X47" i="1"/>
  <c r="W43" i="1"/>
  <c r="Z43" i="1"/>
  <c r="Y43" i="1"/>
  <c r="X43" i="1"/>
  <c r="Y42" i="1"/>
  <c r="Z42" i="1"/>
  <c r="Z39" i="1"/>
  <c r="Y39" i="1"/>
  <c r="W37" i="1"/>
  <c r="Z37" i="1"/>
  <c r="Z35" i="1"/>
  <c r="X35" i="1"/>
  <c r="Y35" i="1"/>
  <c r="Y34" i="1"/>
  <c r="Z34" i="1"/>
  <c r="W33" i="1"/>
  <c r="X33" i="1"/>
  <c r="Z31" i="1"/>
  <c r="X31" i="1"/>
  <c r="Y30" i="1"/>
  <c r="Z30" i="1"/>
  <c r="W29" i="1"/>
  <c r="X29" i="1"/>
  <c r="Z29" i="1"/>
  <c r="Y28" i="1"/>
  <c r="Z28" i="1"/>
  <c r="W28" i="1"/>
  <c r="Y24" i="1"/>
  <c r="X24" i="1"/>
  <c r="Z23" i="1"/>
  <c r="X23" i="1"/>
  <c r="Y23" i="1"/>
  <c r="Y22" i="1"/>
  <c r="Z22" i="1"/>
  <c r="W21" i="1"/>
  <c r="Y21" i="1"/>
  <c r="X21" i="1"/>
  <c r="Z21" i="1"/>
  <c r="Y20" i="1"/>
  <c r="W20" i="1"/>
  <c r="Z20" i="1"/>
  <c r="W13" i="1"/>
  <c r="X13" i="1"/>
  <c r="V12" i="1"/>
  <c r="S12" i="1"/>
  <c r="Z11" i="1"/>
  <c r="Y11" i="1"/>
  <c r="X11" i="1"/>
  <c r="Z10" i="1"/>
  <c r="W10" i="1"/>
  <c r="W9" i="1"/>
  <c r="Z9" i="1"/>
  <c r="X9" i="1"/>
  <c r="Z7" i="1"/>
  <c r="Y7" i="1"/>
  <c r="W5" i="1"/>
  <c r="X5" i="1"/>
  <c r="Y5" i="1"/>
  <c r="T65" i="1"/>
  <c r="R65" i="1"/>
  <c r="T25" i="1"/>
  <c r="R25" i="1"/>
  <c r="U11" i="1"/>
  <c r="V11" i="1"/>
  <c r="Q7" i="1"/>
  <c r="S7" i="1" s="1"/>
  <c r="Z25" i="1"/>
  <c r="Q36" i="1"/>
  <c r="Q75" i="1"/>
  <c r="Q76" i="1"/>
  <c r="Q88" i="1"/>
  <c r="Q92" i="1"/>
  <c r="Q106" i="1"/>
  <c r="X3" i="1"/>
  <c r="W4" i="1"/>
  <c r="Z5" i="1"/>
  <c r="W8" i="1"/>
  <c r="Y9" i="1"/>
  <c r="X19" i="1"/>
  <c r="Q26" i="1"/>
  <c r="T26" i="1" s="1"/>
  <c r="X28" i="1"/>
  <c r="Y29" i="1"/>
  <c r="Y33" i="1"/>
  <c r="Q35" i="1"/>
  <c r="Z38" i="1"/>
  <c r="X41" i="1"/>
  <c r="W48" i="1"/>
  <c r="Q53" i="1"/>
  <c r="Z55" i="1"/>
  <c r="Z62" i="1"/>
  <c r="Q64" i="1"/>
  <c r="Y70" i="1"/>
  <c r="X94" i="1"/>
  <c r="X111" i="1"/>
  <c r="Z117" i="1"/>
  <c r="Y3" i="1"/>
  <c r="X8" i="1"/>
  <c r="W16" i="1"/>
  <c r="X17" i="1"/>
  <c r="Y19" i="1"/>
  <c r="X27" i="1"/>
  <c r="Z33" i="1"/>
  <c r="X37" i="1"/>
  <c r="Y41" i="1"/>
  <c r="S46" i="1"/>
  <c r="W53" i="1"/>
  <c r="Q58" i="1"/>
  <c r="X59" i="1"/>
  <c r="Z70" i="1"/>
  <c r="X78" i="1"/>
  <c r="X79" i="1"/>
  <c r="Q82" i="1"/>
  <c r="Y94" i="1"/>
  <c r="Y97" i="1"/>
  <c r="X99" i="1"/>
  <c r="X107" i="1"/>
  <c r="Z111" i="1"/>
  <c r="Q4" i="1"/>
  <c r="Q6" i="1"/>
  <c r="X7" i="1"/>
  <c r="Z8" i="1"/>
  <c r="S14" i="1"/>
  <c r="X16" i="1"/>
  <c r="Y17" i="1"/>
  <c r="Q20" i="1"/>
  <c r="Q22" i="1"/>
  <c r="W24" i="1"/>
  <c r="Y27" i="1"/>
  <c r="Y37" i="1"/>
  <c r="Z41" i="1"/>
  <c r="X45" i="1"/>
  <c r="Z46" i="1"/>
  <c r="Y47" i="1"/>
  <c r="Z49" i="1"/>
  <c r="X58" i="1"/>
  <c r="Z59" i="1"/>
  <c r="Q66" i="1"/>
  <c r="Q71" i="1"/>
  <c r="W76" i="1"/>
  <c r="Y77" i="1"/>
  <c r="Y78" i="1"/>
  <c r="Z79" i="1"/>
  <c r="Q86" i="1"/>
  <c r="Q90" i="1"/>
  <c r="W92" i="1"/>
  <c r="Y93" i="1"/>
  <c r="Z97" i="1"/>
  <c r="Y98" i="1"/>
  <c r="Z99" i="1"/>
  <c r="Z107" i="1"/>
  <c r="Q112" i="1"/>
  <c r="X114" i="1"/>
  <c r="V14" i="1"/>
  <c r="X15" i="1"/>
  <c r="Z16" i="1"/>
  <c r="Z17" i="1"/>
  <c r="Z18" i="1"/>
  <c r="Y45" i="1"/>
  <c r="Q47" i="1"/>
  <c r="S47" i="1" s="1"/>
  <c r="Q60" i="1"/>
  <c r="X74" i="1"/>
  <c r="Z77" i="1"/>
  <c r="Z78" i="1"/>
  <c r="Q80" i="1"/>
  <c r="X91" i="1"/>
  <c r="Z93" i="1"/>
  <c r="X105" i="1"/>
  <c r="X106" i="1"/>
  <c r="Q115" i="1"/>
  <c r="Q3" i="1"/>
  <c r="S3" i="1" s="1"/>
  <c r="Y13" i="1"/>
  <c r="Z14" i="1"/>
  <c r="Y15" i="1"/>
  <c r="Z24" i="1"/>
  <c r="X25" i="1"/>
  <c r="Z26" i="1"/>
  <c r="Y31" i="1"/>
  <c r="Q42" i="1"/>
  <c r="Z45" i="1"/>
  <c r="Q50" i="1"/>
  <c r="Y57" i="1"/>
  <c r="Z58" i="1"/>
  <c r="Q62" i="1"/>
  <c r="Q70" i="1"/>
  <c r="Y73" i="1"/>
  <c r="Y74" i="1"/>
  <c r="X75" i="1"/>
  <c r="Q79" i="1"/>
  <c r="Y91" i="1"/>
  <c r="Q99" i="1"/>
  <c r="Y105" i="1"/>
  <c r="Z106" i="1"/>
  <c r="Z113" i="1"/>
  <c r="Q2" i="1"/>
  <c r="R12" i="1"/>
  <c r="Z13" i="1"/>
  <c r="Q15" i="1"/>
  <c r="Q18" i="1"/>
  <c r="V18" i="1" s="1"/>
  <c r="Y25" i="1"/>
  <c r="Q38" i="1"/>
  <c r="X39" i="1"/>
  <c r="Q54" i="1"/>
  <c r="X56" i="1"/>
  <c r="Z57" i="1"/>
  <c r="X64" i="1"/>
  <c r="Y65" i="1"/>
  <c r="X66" i="1"/>
  <c r="Z67" i="1"/>
  <c r="W72" i="1"/>
  <c r="Z73" i="1"/>
  <c r="Z74" i="1"/>
  <c r="Z75" i="1"/>
  <c r="X82" i="1"/>
  <c r="Z83" i="1"/>
  <c r="X86" i="1"/>
  <c r="X90" i="1"/>
  <c r="Z91" i="1"/>
  <c r="Z105" i="1"/>
  <c r="Y109" i="1"/>
  <c r="Q114" i="1"/>
  <c r="V9" i="1"/>
  <c r="S9" i="1"/>
  <c r="U9" i="1"/>
  <c r="T9" i="1"/>
  <c r="R9" i="1"/>
  <c r="V13" i="1"/>
  <c r="S13" i="1"/>
  <c r="U13" i="1"/>
  <c r="T13" i="1"/>
  <c r="R13" i="1"/>
  <c r="R17" i="1"/>
  <c r="Z40" i="1"/>
  <c r="Y40" i="1"/>
  <c r="X4" i="1"/>
  <c r="T5" i="1"/>
  <c r="Y10" i="1"/>
  <c r="X10" i="1"/>
  <c r="R29" i="1"/>
  <c r="R34" i="1"/>
  <c r="U34" i="1"/>
  <c r="W44" i="1"/>
  <c r="V45" i="1"/>
  <c r="U45" i="1"/>
  <c r="T45" i="1"/>
  <c r="S45" i="1"/>
  <c r="Z4" i="1"/>
  <c r="Q8" i="1"/>
  <c r="W12" i="1"/>
  <c r="Q16" i="1"/>
  <c r="Q23" i="1"/>
  <c r="Q24" i="1"/>
  <c r="S30" i="1"/>
  <c r="V33" i="1"/>
  <c r="U33" i="1"/>
  <c r="S33" i="1"/>
  <c r="Z36" i="1"/>
  <c r="Y36" i="1"/>
  <c r="V37" i="1"/>
  <c r="U37" i="1"/>
  <c r="T37" i="1"/>
  <c r="S37" i="1"/>
  <c r="W40" i="1"/>
  <c r="Q51" i="1"/>
  <c r="V57" i="1"/>
  <c r="U57" i="1"/>
  <c r="S57" i="1"/>
  <c r="T57" i="1"/>
  <c r="R57" i="1"/>
  <c r="Z96" i="1"/>
  <c r="Y96" i="1"/>
  <c r="X96" i="1"/>
  <c r="W96" i="1"/>
  <c r="Y6" i="1"/>
  <c r="X6" i="1"/>
  <c r="V41" i="1"/>
  <c r="U41" i="1"/>
  <c r="T41" i="1"/>
  <c r="S41" i="1"/>
  <c r="T97" i="1"/>
  <c r="S97" i="1"/>
  <c r="R10" i="1"/>
  <c r="U12" i="1"/>
  <c r="T12" i="1"/>
  <c r="X12" i="1"/>
  <c r="T30" i="1"/>
  <c r="W32" i="1"/>
  <c r="X40" i="1"/>
  <c r="V113" i="1"/>
  <c r="U113" i="1"/>
  <c r="T113" i="1"/>
  <c r="S113" i="1"/>
  <c r="R113" i="1"/>
  <c r="V17" i="1"/>
  <c r="U17" i="1"/>
  <c r="S17" i="1"/>
  <c r="V29" i="1"/>
  <c r="U29" i="1"/>
  <c r="S29" i="1"/>
  <c r="S10" i="1"/>
  <c r="Z12" i="1"/>
  <c r="R14" i="1"/>
  <c r="V21" i="1"/>
  <c r="U21" i="1"/>
  <c r="S21" i="1"/>
  <c r="Q27" i="1"/>
  <c r="Q28" i="1"/>
  <c r="X32" i="1"/>
  <c r="T33" i="1"/>
  <c r="S34" i="1"/>
  <c r="W36" i="1"/>
  <c r="Q43" i="1"/>
  <c r="Q48" i="1"/>
  <c r="Q59" i="1"/>
  <c r="Y2" i="1"/>
  <c r="X2" i="1"/>
  <c r="V5" i="1"/>
  <c r="S5" i="1"/>
  <c r="R30" i="1"/>
  <c r="U30" i="1"/>
  <c r="Z68" i="1"/>
  <c r="Y68" i="1"/>
  <c r="X68" i="1"/>
  <c r="W68" i="1"/>
  <c r="R94" i="1"/>
  <c r="V94" i="1"/>
  <c r="U94" i="1"/>
  <c r="T94" i="1"/>
  <c r="S94" i="1"/>
  <c r="R5" i="1"/>
  <c r="R110" i="1"/>
  <c r="V110" i="1"/>
  <c r="U110" i="1"/>
  <c r="T110" i="1"/>
  <c r="S110" i="1"/>
  <c r="W2" i="1"/>
  <c r="T10" i="1"/>
  <c r="S11" i="1"/>
  <c r="R11" i="1"/>
  <c r="Z32" i="1"/>
  <c r="Q44" i="1"/>
  <c r="R46" i="1"/>
  <c r="V46" i="1"/>
  <c r="U46" i="1"/>
  <c r="V69" i="1"/>
  <c r="U69" i="1"/>
  <c r="T69" i="1"/>
  <c r="S69" i="1"/>
  <c r="Z112" i="1"/>
  <c r="Y112" i="1"/>
  <c r="X112" i="1"/>
  <c r="W112" i="1"/>
  <c r="Z44" i="1"/>
  <c r="Y44" i="1"/>
  <c r="T87" i="1"/>
  <c r="S87" i="1"/>
  <c r="R87" i="1"/>
  <c r="V87" i="1"/>
  <c r="U87" i="1"/>
  <c r="Z2" i="1"/>
  <c r="W6" i="1"/>
  <c r="V10" i="1"/>
  <c r="T11" i="1"/>
  <c r="T14" i="1"/>
  <c r="Q19" i="1"/>
  <c r="X20" i="1"/>
  <c r="T21" i="1"/>
  <c r="V25" i="1"/>
  <c r="U25" i="1"/>
  <c r="S25" i="1"/>
  <c r="Q31" i="1"/>
  <c r="Q32" i="1"/>
  <c r="V34" i="1"/>
  <c r="Q39" i="1"/>
  <c r="Q40" i="1"/>
  <c r="Z48" i="1"/>
  <c r="Y48" i="1"/>
  <c r="V49" i="1"/>
  <c r="U49" i="1"/>
  <c r="T49" i="1"/>
  <c r="S49" i="1"/>
  <c r="T55" i="1"/>
  <c r="S55" i="1"/>
  <c r="R55" i="1"/>
  <c r="R69" i="1"/>
  <c r="W3" i="1"/>
  <c r="W7" i="1"/>
  <c r="W11" i="1"/>
  <c r="W15" i="1"/>
  <c r="W19" i="1"/>
  <c r="W23" i="1"/>
  <c r="W27" i="1"/>
  <c r="W31" i="1"/>
  <c r="W35" i="1"/>
  <c r="W39" i="1"/>
  <c r="X51" i="1"/>
  <c r="X53" i="1"/>
  <c r="W56" i="1"/>
  <c r="Z64" i="1"/>
  <c r="Q83" i="1"/>
  <c r="Q84" i="1"/>
  <c r="Z92" i="1"/>
  <c r="Y92" i="1"/>
  <c r="V93" i="1"/>
  <c r="U93" i="1"/>
  <c r="T93" i="1"/>
  <c r="S93" i="1"/>
  <c r="Q107" i="1"/>
  <c r="Q108" i="1"/>
  <c r="R118" i="1"/>
  <c r="V118" i="1"/>
  <c r="U118" i="1"/>
  <c r="Y53" i="1"/>
  <c r="T63" i="1"/>
  <c r="S63" i="1"/>
  <c r="R63" i="1"/>
  <c r="Z88" i="1"/>
  <c r="Y88" i="1"/>
  <c r="V89" i="1"/>
  <c r="U89" i="1"/>
  <c r="T89" i="1"/>
  <c r="S89" i="1"/>
  <c r="V104" i="1"/>
  <c r="U104" i="1"/>
  <c r="T104" i="1"/>
  <c r="S104" i="1"/>
  <c r="R104" i="1"/>
  <c r="W14" i="1"/>
  <c r="W18" i="1"/>
  <c r="W22" i="1"/>
  <c r="W26" i="1"/>
  <c r="W30" i="1"/>
  <c r="W34" i="1"/>
  <c r="W38" i="1"/>
  <c r="W42" i="1"/>
  <c r="W46" i="1"/>
  <c r="W50" i="1"/>
  <c r="Q56" i="1"/>
  <c r="V61" i="1"/>
  <c r="U61" i="1"/>
  <c r="S61" i="1"/>
  <c r="R74" i="1"/>
  <c r="V74" i="1"/>
  <c r="U74" i="1"/>
  <c r="Z84" i="1"/>
  <c r="Y84" i="1"/>
  <c r="V85" i="1"/>
  <c r="U85" i="1"/>
  <c r="T85" i="1"/>
  <c r="S85" i="1"/>
  <c r="R89" i="1"/>
  <c r="R102" i="1"/>
  <c r="V102" i="1"/>
  <c r="U102" i="1"/>
  <c r="T103" i="1"/>
  <c r="S103" i="1"/>
  <c r="R103" i="1"/>
  <c r="Z108" i="1"/>
  <c r="Y108" i="1"/>
  <c r="V109" i="1"/>
  <c r="U109" i="1"/>
  <c r="T109" i="1"/>
  <c r="S109" i="1"/>
  <c r="Q116" i="1"/>
  <c r="X14" i="1"/>
  <c r="X18" i="1"/>
  <c r="X22" i="1"/>
  <c r="X26" i="1"/>
  <c r="X30" i="1"/>
  <c r="X34" i="1"/>
  <c r="X38" i="1"/>
  <c r="X42" i="1"/>
  <c r="X46" i="1"/>
  <c r="X50" i="1"/>
  <c r="Q52" i="1"/>
  <c r="R61" i="1"/>
  <c r="Q72" i="1"/>
  <c r="R78" i="1"/>
  <c r="V78" i="1"/>
  <c r="U78" i="1"/>
  <c r="Z80" i="1"/>
  <c r="Y80" i="1"/>
  <c r="V81" i="1"/>
  <c r="U81" i="1"/>
  <c r="T81" i="1"/>
  <c r="S81" i="1"/>
  <c r="R85" i="1"/>
  <c r="W88" i="1"/>
  <c r="Q100" i="1"/>
  <c r="Z104" i="1"/>
  <c r="Y104" i="1"/>
  <c r="V105" i="1"/>
  <c r="U105" i="1"/>
  <c r="T105" i="1"/>
  <c r="S105" i="1"/>
  <c r="R109" i="1"/>
  <c r="W52" i="1"/>
  <c r="T61" i="1"/>
  <c r="Q67" i="1"/>
  <c r="Q68" i="1"/>
  <c r="Z76" i="1"/>
  <c r="Y76" i="1"/>
  <c r="V77" i="1"/>
  <c r="U77" i="1"/>
  <c r="T77" i="1"/>
  <c r="S77" i="1"/>
  <c r="S78" i="1"/>
  <c r="R81" i="1"/>
  <c r="W84" i="1"/>
  <c r="X88" i="1"/>
  <c r="Q95" i="1"/>
  <c r="Q96" i="1"/>
  <c r="R105" i="1"/>
  <c r="S106" i="1"/>
  <c r="W108" i="1"/>
  <c r="Z116" i="1"/>
  <c r="Y116" i="1"/>
  <c r="V117" i="1"/>
  <c r="U117" i="1"/>
  <c r="T117" i="1"/>
  <c r="S117" i="1"/>
  <c r="S118" i="1"/>
  <c r="X52" i="1"/>
  <c r="U63" i="1"/>
  <c r="V65" i="1"/>
  <c r="U65" i="1"/>
  <c r="S65" i="1"/>
  <c r="Z72" i="1"/>
  <c r="Y72" i="1"/>
  <c r="V73" i="1"/>
  <c r="U73" i="1"/>
  <c r="T73" i="1"/>
  <c r="S73" i="1"/>
  <c r="S74" i="1"/>
  <c r="X84" i="1"/>
  <c r="Q91" i="1"/>
  <c r="R98" i="1"/>
  <c r="V98" i="1"/>
  <c r="U98" i="1"/>
  <c r="Z100" i="1"/>
  <c r="Y100" i="1"/>
  <c r="V101" i="1"/>
  <c r="U101" i="1"/>
  <c r="T101" i="1"/>
  <c r="S101" i="1"/>
  <c r="Q111" i="1"/>
  <c r="W55" i="1"/>
  <c r="W59" i="1"/>
  <c r="W63" i="1"/>
  <c r="W67" i="1"/>
  <c r="W71" i="1"/>
  <c r="W75" i="1"/>
  <c r="W79" i="1"/>
  <c r="W83" i="1"/>
  <c r="W87" i="1"/>
  <c r="W95" i="1"/>
  <c r="W99" i="1"/>
  <c r="W103" i="1"/>
  <c r="W107" i="1"/>
  <c r="W111" i="1"/>
  <c r="W115" i="1"/>
  <c r="W90" i="1"/>
  <c r="W94" i="1"/>
  <c r="W102" i="1"/>
  <c r="Y103" i="1"/>
  <c r="W106" i="1"/>
  <c r="W110" i="1"/>
  <c r="W114" i="1"/>
  <c r="W118" i="1"/>
  <c r="X118" i="1"/>
  <c r="W57" i="1"/>
  <c r="W61" i="1"/>
  <c r="W65" i="1"/>
  <c r="W69" i="1"/>
  <c r="W73" i="1"/>
  <c r="W77" i="1"/>
  <c r="W81" i="1"/>
  <c r="W85" i="1"/>
  <c r="W89" i="1"/>
  <c r="W93" i="1"/>
  <c r="W97" i="1"/>
  <c r="W109" i="1"/>
  <c r="Y110" i="1"/>
  <c r="W113" i="1"/>
  <c r="Y114" i="1"/>
  <c r="W117" i="1"/>
  <c r="Y118" i="1"/>
  <c r="T58" i="1" l="1"/>
  <c r="U58" i="1"/>
  <c r="V58" i="1"/>
  <c r="S4" i="1"/>
  <c r="U4" i="1"/>
  <c r="T4" i="1"/>
  <c r="R86" i="1"/>
  <c r="V86" i="1"/>
  <c r="T86" i="1"/>
  <c r="T90" i="1"/>
  <c r="R90" i="1"/>
  <c r="V90" i="1"/>
  <c r="U90" i="1"/>
  <c r="S90" i="1"/>
  <c r="T60" i="1"/>
  <c r="V60" i="1"/>
  <c r="U60" i="1"/>
  <c r="S60" i="1"/>
  <c r="R60" i="1"/>
  <c r="U15" i="1"/>
  <c r="R15" i="1"/>
  <c r="S54" i="1"/>
  <c r="V54" i="1"/>
  <c r="V103" i="1"/>
  <c r="U103" i="1"/>
  <c r="T102" i="1"/>
  <c r="S102" i="1"/>
  <c r="V55" i="1"/>
  <c r="U55" i="1"/>
  <c r="R97" i="1"/>
  <c r="V97" i="1"/>
  <c r="U97" i="1"/>
  <c r="V36" i="1"/>
  <c r="U36" i="1"/>
  <c r="T36" i="1"/>
  <c r="S36" i="1"/>
  <c r="R36" i="1"/>
  <c r="T75" i="1"/>
  <c r="S75" i="1"/>
  <c r="R76" i="1"/>
  <c r="S76" i="1"/>
  <c r="T76" i="1"/>
  <c r="U76" i="1"/>
  <c r="V76" i="1"/>
  <c r="S88" i="1"/>
  <c r="R88" i="1"/>
  <c r="T88" i="1"/>
  <c r="U88" i="1"/>
  <c r="V92" i="1"/>
  <c r="U92" i="1"/>
  <c r="R92" i="1"/>
  <c r="S92" i="1"/>
  <c r="T92" i="1"/>
  <c r="T106" i="1"/>
  <c r="U106" i="1"/>
  <c r="V106" i="1"/>
  <c r="R106" i="1"/>
  <c r="R26" i="1"/>
  <c r="U26" i="1"/>
  <c r="U35" i="1"/>
  <c r="V35" i="1"/>
  <c r="T35" i="1"/>
  <c r="R35" i="1"/>
  <c r="S35" i="1"/>
  <c r="T53" i="1"/>
  <c r="S53" i="1"/>
  <c r="V53" i="1"/>
  <c r="U53" i="1"/>
  <c r="R53" i="1"/>
  <c r="V64" i="1"/>
  <c r="S64" i="1"/>
  <c r="T64" i="1"/>
  <c r="S82" i="1"/>
  <c r="R82" i="1"/>
  <c r="T82" i="1"/>
  <c r="V82" i="1"/>
  <c r="U82" i="1"/>
  <c r="U6" i="1"/>
  <c r="V6" i="1"/>
  <c r="V20" i="1"/>
  <c r="R20" i="1"/>
  <c r="U20" i="1"/>
  <c r="S22" i="1"/>
  <c r="R22" i="1"/>
  <c r="U22" i="1"/>
  <c r="U66" i="1"/>
  <c r="R66" i="1"/>
  <c r="V112" i="1"/>
  <c r="U112" i="1"/>
  <c r="R112" i="1"/>
  <c r="V80" i="1"/>
  <c r="U80" i="1"/>
  <c r="T80" i="1"/>
  <c r="S80" i="1"/>
  <c r="R80" i="1"/>
  <c r="T115" i="1"/>
  <c r="S115" i="1"/>
  <c r="R115" i="1"/>
  <c r="R50" i="1"/>
  <c r="U50" i="1"/>
  <c r="V50" i="1"/>
  <c r="V62" i="1"/>
  <c r="R62" i="1"/>
  <c r="S62" i="1"/>
  <c r="T62" i="1"/>
  <c r="R70" i="1"/>
  <c r="U70" i="1"/>
  <c r="V70" i="1"/>
  <c r="V79" i="1"/>
  <c r="R79" i="1"/>
  <c r="U79" i="1"/>
  <c r="S79" i="1"/>
  <c r="T79" i="1"/>
  <c r="T99" i="1"/>
  <c r="S99" i="1"/>
  <c r="R99" i="1"/>
  <c r="R38" i="1"/>
  <c r="T38" i="1"/>
  <c r="V38" i="1"/>
  <c r="S38" i="1"/>
  <c r="U114" i="1"/>
  <c r="V114" i="1"/>
  <c r="R114" i="1"/>
  <c r="U2" i="1"/>
  <c r="V2" i="1"/>
  <c r="T2" i="1"/>
  <c r="S2" i="1"/>
  <c r="R2" i="1"/>
  <c r="S42" i="1"/>
  <c r="T42" i="1"/>
  <c r="V71" i="1"/>
  <c r="U71" i="1"/>
  <c r="T54" i="1"/>
  <c r="S112" i="1"/>
  <c r="R64" i="1"/>
  <c r="U64" i="1"/>
  <c r="V88" i="1"/>
  <c r="S20" i="1"/>
  <c r="R58" i="1"/>
  <c r="U54" i="1"/>
  <c r="V7" i="1"/>
  <c r="U115" i="1"/>
  <c r="V115" i="1"/>
  <c r="V66" i="1"/>
  <c r="T66" i="1"/>
  <c r="S66" i="1"/>
  <c r="T112" i="1"/>
  <c r="R71" i="1"/>
  <c r="T20" i="1"/>
  <c r="S6" i="1"/>
  <c r="S86" i="1"/>
  <c r="R6" i="1"/>
  <c r="T3" i="1"/>
  <c r="T7" i="1"/>
  <c r="S70" i="1"/>
  <c r="T70" i="1"/>
  <c r="V26" i="1"/>
  <c r="S26" i="1"/>
  <c r="S71" i="1"/>
  <c r="U3" i="1"/>
  <c r="U7" i="1"/>
  <c r="V47" i="1"/>
  <c r="U47" i="1"/>
  <c r="T71" i="1"/>
  <c r="U62" i="1"/>
  <c r="U42" i="1"/>
  <c r="T6" i="1"/>
  <c r="R47" i="1"/>
  <c r="U38" i="1"/>
  <c r="U86" i="1"/>
  <c r="V3" i="1"/>
  <c r="R7" i="1"/>
  <c r="U18" i="1"/>
  <c r="T18" i="1"/>
  <c r="S18" i="1"/>
  <c r="R18" i="1"/>
  <c r="V99" i="1"/>
  <c r="U99" i="1"/>
  <c r="T22" i="1"/>
  <c r="V22" i="1"/>
  <c r="V4" i="1"/>
  <c r="R4" i="1"/>
  <c r="V42" i="1"/>
  <c r="S58" i="1"/>
  <c r="R54" i="1"/>
  <c r="R3" i="1"/>
  <c r="V15" i="1"/>
  <c r="T15" i="1"/>
  <c r="V75" i="1"/>
  <c r="U75" i="1"/>
  <c r="R75" i="1"/>
  <c r="R42" i="1"/>
  <c r="T47" i="1"/>
  <c r="S15" i="1"/>
  <c r="T114" i="1"/>
  <c r="S114" i="1"/>
  <c r="T50" i="1"/>
  <c r="S50" i="1"/>
  <c r="V96" i="1"/>
  <c r="U96" i="1"/>
  <c r="T96" i="1"/>
  <c r="S96" i="1"/>
  <c r="R96" i="1"/>
  <c r="T83" i="1"/>
  <c r="S83" i="1"/>
  <c r="R83" i="1"/>
  <c r="V83" i="1"/>
  <c r="U83" i="1"/>
  <c r="T59" i="1"/>
  <c r="S59" i="1"/>
  <c r="R59" i="1"/>
  <c r="V59" i="1"/>
  <c r="U59" i="1"/>
  <c r="T23" i="1"/>
  <c r="S23" i="1"/>
  <c r="R23" i="1"/>
  <c r="U23" i="1"/>
  <c r="V23" i="1"/>
  <c r="T91" i="1"/>
  <c r="S91" i="1"/>
  <c r="R91" i="1"/>
  <c r="V91" i="1"/>
  <c r="U91" i="1"/>
  <c r="T39" i="1"/>
  <c r="S39" i="1"/>
  <c r="R39" i="1"/>
  <c r="V39" i="1"/>
  <c r="U39" i="1"/>
  <c r="T95" i="1"/>
  <c r="S95" i="1"/>
  <c r="R95" i="1"/>
  <c r="V95" i="1"/>
  <c r="U95" i="1"/>
  <c r="V72" i="1"/>
  <c r="U72" i="1"/>
  <c r="T72" i="1"/>
  <c r="S72" i="1"/>
  <c r="R72" i="1"/>
  <c r="V56" i="1"/>
  <c r="U56" i="1"/>
  <c r="S56" i="1"/>
  <c r="T56" i="1"/>
  <c r="R56" i="1"/>
  <c r="T51" i="1"/>
  <c r="S51" i="1"/>
  <c r="R51" i="1"/>
  <c r="U51" i="1"/>
  <c r="V51" i="1"/>
  <c r="U8" i="1"/>
  <c r="T8" i="1"/>
  <c r="R8" i="1"/>
  <c r="S8" i="1"/>
  <c r="V8" i="1"/>
  <c r="V100" i="1"/>
  <c r="U100" i="1"/>
  <c r="T100" i="1"/>
  <c r="S100" i="1"/>
  <c r="R100" i="1"/>
  <c r="V116" i="1"/>
  <c r="U116" i="1"/>
  <c r="T116" i="1"/>
  <c r="S116" i="1"/>
  <c r="R116" i="1"/>
  <c r="V108" i="1"/>
  <c r="U108" i="1"/>
  <c r="T108" i="1"/>
  <c r="S108" i="1"/>
  <c r="R108" i="1"/>
  <c r="V32" i="1"/>
  <c r="U32" i="1"/>
  <c r="T32" i="1"/>
  <c r="S32" i="1"/>
  <c r="R32" i="1"/>
  <c r="S19" i="1"/>
  <c r="R19" i="1"/>
  <c r="V19" i="1"/>
  <c r="U19" i="1"/>
  <c r="T19" i="1"/>
  <c r="V68" i="1"/>
  <c r="U68" i="1"/>
  <c r="T68" i="1"/>
  <c r="S68" i="1"/>
  <c r="R68" i="1"/>
  <c r="T107" i="1"/>
  <c r="S107" i="1"/>
  <c r="R107" i="1"/>
  <c r="V107" i="1"/>
  <c r="U107" i="1"/>
  <c r="T31" i="1"/>
  <c r="S31" i="1"/>
  <c r="R31" i="1"/>
  <c r="V31" i="1"/>
  <c r="U31" i="1"/>
  <c r="V48" i="1"/>
  <c r="U48" i="1"/>
  <c r="T48" i="1"/>
  <c r="S48" i="1"/>
  <c r="R48" i="1"/>
  <c r="V28" i="1"/>
  <c r="U28" i="1"/>
  <c r="T28" i="1"/>
  <c r="S28" i="1"/>
  <c r="R28" i="1"/>
  <c r="V40" i="1"/>
  <c r="U40" i="1"/>
  <c r="T40" i="1"/>
  <c r="S40" i="1"/>
  <c r="R40" i="1"/>
  <c r="V44" i="1"/>
  <c r="U44" i="1"/>
  <c r="T44" i="1"/>
  <c r="S44" i="1"/>
  <c r="R44" i="1"/>
  <c r="T67" i="1"/>
  <c r="S67" i="1"/>
  <c r="R67" i="1"/>
  <c r="V67" i="1"/>
  <c r="U67" i="1"/>
  <c r="T43" i="1"/>
  <c r="S43" i="1"/>
  <c r="R43" i="1"/>
  <c r="V43" i="1"/>
  <c r="U43" i="1"/>
  <c r="T27" i="1"/>
  <c r="S27" i="1"/>
  <c r="R27" i="1"/>
  <c r="V27" i="1"/>
  <c r="U27" i="1"/>
  <c r="V52" i="1"/>
  <c r="U52" i="1"/>
  <c r="T52" i="1"/>
  <c r="S52" i="1"/>
  <c r="R52" i="1"/>
  <c r="U16" i="1"/>
  <c r="T16" i="1"/>
  <c r="S16" i="1"/>
  <c r="R16" i="1"/>
  <c r="V16" i="1"/>
  <c r="T111" i="1"/>
  <c r="S111" i="1"/>
  <c r="R111" i="1"/>
  <c r="V111" i="1"/>
  <c r="U111" i="1"/>
  <c r="V84" i="1"/>
  <c r="U84" i="1"/>
  <c r="T84" i="1"/>
  <c r="S84" i="1"/>
  <c r="R84" i="1"/>
  <c r="V24" i="1"/>
  <c r="U24" i="1"/>
  <c r="T24" i="1"/>
  <c r="S24" i="1"/>
  <c r="R24" i="1"/>
</calcChain>
</file>

<file path=xl/sharedStrings.xml><?xml version="1.0" encoding="utf-8"?>
<sst xmlns="http://schemas.openxmlformats.org/spreadsheetml/2006/main" count="491" uniqueCount="238">
  <si>
    <t>Personeelsnummer</t>
  </si>
  <si>
    <t>Achternaam</t>
  </si>
  <si>
    <t>Voornaam</t>
  </si>
  <si>
    <t>Wekenteller</t>
  </si>
  <si>
    <t>Fase Tarief</t>
  </si>
  <si>
    <t>Schaal</t>
  </si>
  <si>
    <t>Uurloon incl. ATV</t>
  </si>
  <si>
    <t>Uurloon excl. ATV</t>
  </si>
  <si>
    <t>Functie toeslag</t>
  </si>
  <si>
    <t>orf</t>
  </si>
  <si>
    <t>TF</t>
  </si>
  <si>
    <t>OF</t>
  </si>
  <si>
    <t>ATV</t>
  </si>
  <si>
    <t>marge</t>
  </si>
  <si>
    <t>Fase tarief</t>
  </si>
  <si>
    <t>ORF</t>
  </si>
  <si>
    <t>Artini</t>
  </si>
  <si>
    <t>Paolo</t>
  </si>
  <si>
    <t>A</t>
  </si>
  <si>
    <t>B1</t>
  </si>
  <si>
    <t>Babics</t>
  </si>
  <si>
    <t>David</t>
  </si>
  <si>
    <t>B</t>
  </si>
  <si>
    <t>A1</t>
  </si>
  <si>
    <t>Cabla</t>
  </si>
  <si>
    <t>Robert</t>
  </si>
  <si>
    <t>A0</t>
  </si>
  <si>
    <t>C</t>
  </si>
  <si>
    <t>Costa Vinhas</t>
  </si>
  <si>
    <t>Elisabete</t>
  </si>
  <si>
    <t>Dekanova</t>
  </si>
  <si>
    <t>Katarina</t>
  </si>
  <si>
    <t>Farcas</t>
  </si>
  <si>
    <t>Glabien</t>
  </si>
  <si>
    <t>Dariusz</t>
  </si>
  <si>
    <t>C5</t>
  </si>
  <si>
    <t>Jakubiak</t>
  </si>
  <si>
    <t>Marta</t>
  </si>
  <si>
    <t>Kaziura</t>
  </si>
  <si>
    <t>Julia</t>
  </si>
  <si>
    <t>Katarzyna</t>
  </si>
  <si>
    <t>B3</t>
  </si>
  <si>
    <t>Wiktor</t>
  </si>
  <si>
    <t>C1</t>
  </si>
  <si>
    <t>Koziol</t>
  </si>
  <si>
    <t>Marek</t>
  </si>
  <si>
    <t>Kulesza</t>
  </si>
  <si>
    <t>Arkadiusz</t>
  </si>
  <si>
    <t>Madej</t>
  </si>
  <si>
    <t>Madry</t>
  </si>
  <si>
    <t>Oliwier</t>
  </si>
  <si>
    <t>Pasiali</t>
  </si>
  <si>
    <t>Krystyna</t>
  </si>
  <si>
    <t>B5</t>
  </si>
  <si>
    <t>Pires Alves</t>
  </si>
  <si>
    <t>Przybyszewska</t>
  </si>
  <si>
    <t>Elzbieta</t>
  </si>
  <si>
    <t>A3</t>
  </si>
  <si>
    <t>Raczynska</t>
  </si>
  <si>
    <t>Natalia</t>
  </si>
  <si>
    <t>Robakowski</t>
  </si>
  <si>
    <t>Przemyslaw</t>
  </si>
  <si>
    <t>C0</t>
  </si>
  <si>
    <t>Seciu</t>
  </si>
  <si>
    <t>Marius</t>
  </si>
  <si>
    <t>Vrzalova</t>
  </si>
  <si>
    <t>Lucie</t>
  </si>
  <si>
    <t>Wach</t>
  </si>
  <si>
    <t>Piotr</t>
  </si>
  <si>
    <t>C2</t>
  </si>
  <si>
    <t>Wegrzecki</t>
  </si>
  <si>
    <t>Mateusz</t>
  </si>
  <si>
    <t>Zmijewska</t>
  </si>
  <si>
    <t>Magdalena</t>
  </si>
  <si>
    <t>Agafitei</t>
  </si>
  <si>
    <t>Ioan</t>
  </si>
  <si>
    <t>Augustinaitis</t>
  </si>
  <si>
    <t>Audrius</t>
  </si>
  <si>
    <t>Baraniuk</t>
  </si>
  <si>
    <t>Beata</t>
  </si>
  <si>
    <t>Bernat</t>
  </si>
  <si>
    <t>Bienkowska</t>
  </si>
  <si>
    <t>Bernardeta</t>
  </si>
  <si>
    <t>Bierczak</t>
  </si>
  <si>
    <t>Bruzdzinski</t>
  </si>
  <si>
    <t>Marcel</t>
  </si>
  <si>
    <t>Cabrera Sanchez</t>
  </si>
  <si>
    <t>Borja</t>
  </si>
  <si>
    <t>Castillo Arias</t>
  </si>
  <si>
    <t>Edwin Jose</t>
  </si>
  <si>
    <t>Chiaga</t>
  </si>
  <si>
    <t>Ionut</t>
  </si>
  <si>
    <t>Cieslak</t>
  </si>
  <si>
    <t>Grazyna</t>
  </si>
  <si>
    <t>Comiza</t>
  </si>
  <si>
    <t>Correa Aretino</t>
  </si>
  <si>
    <t>Joaquin</t>
  </si>
  <si>
    <t>Costa</t>
  </si>
  <si>
    <t>Pedro</t>
  </si>
  <si>
    <t>Cotofrea</t>
  </si>
  <si>
    <t>Stefan-Bogdan</t>
  </si>
  <si>
    <t>Cristu</t>
  </si>
  <si>
    <t>Virgil</t>
  </si>
  <si>
    <t>A2</t>
  </si>
  <si>
    <t>Cwioro</t>
  </si>
  <si>
    <t>Agnieszka</t>
  </si>
  <si>
    <t>A5</t>
  </si>
  <si>
    <t>Cyran</t>
  </si>
  <si>
    <t>Anna</t>
  </si>
  <si>
    <t>Czajkowski</t>
  </si>
  <si>
    <t>Jaroslaw</t>
  </si>
  <si>
    <t>C3</t>
  </si>
  <si>
    <t>Dalalau</t>
  </si>
  <si>
    <t>Gabriel</t>
  </si>
  <si>
    <t>Dijs</t>
  </si>
  <si>
    <t>Hendrick</t>
  </si>
  <si>
    <t>Dlugolecki</t>
  </si>
  <si>
    <t>Grzegorz</t>
  </si>
  <si>
    <t>Drabik</t>
  </si>
  <si>
    <t>Renata</t>
  </si>
  <si>
    <t>Drozdziel</t>
  </si>
  <si>
    <t>Martin</t>
  </si>
  <si>
    <t>B2</t>
  </si>
  <si>
    <t>Filipek</t>
  </si>
  <si>
    <t>Damian</t>
  </si>
  <si>
    <t>Gajewska</t>
  </si>
  <si>
    <t>B4</t>
  </si>
  <si>
    <t>Jankowski</t>
  </si>
  <si>
    <t>Andrzej</t>
  </si>
  <si>
    <t>Jaworski</t>
  </si>
  <si>
    <t>Patryk</t>
  </si>
  <si>
    <t>Kedziora</t>
  </si>
  <si>
    <t>Kijak</t>
  </si>
  <si>
    <t>Dominik</t>
  </si>
  <si>
    <t>Hanna</t>
  </si>
  <si>
    <t>Koson</t>
  </si>
  <si>
    <t>Adrian</t>
  </si>
  <si>
    <t>Kovacova</t>
  </si>
  <si>
    <t>Martina</t>
  </si>
  <si>
    <t>Kupcik</t>
  </si>
  <si>
    <t>Stanislav</t>
  </si>
  <si>
    <t>Kupcikova</t>
  </si>
  <si>
    <t>Iva</t>
  </si>
  <si>
    <t>A4</t>
  </si>
  <si>
    <t>Kutermak</t>
  </si>
  <si>
    <t>Dawid</t>
  </si>
  <si>
    <t>C4</t>
  </si>
  <si>
    <t>Lenart</t>
  </si>
  <si>
    <t>Richard</t>
  </si>
  <si>
    <t>Lopusiewicz</t>
  </si>
  <si>
    <t>Maciej</t>
  </si>
  <si>
    <t>Slawomir</t>
  </si>
  <si>
    <t>Magon</t>
  </si>
  <si>
    <t>Bartlomiej</t>
  </si>
  <si>
    <t>Major</t>
  </si>
  <si>
    <t>Daria</t>
  </si>
  <si>
    <t>Marczak</t>
  </si>
  <si>
    <t>Marques</t>
  </si>
  <si>
    <t>Wilson</t>
  </si>
  <si>
    <t>Matiscik</t>
  </si>
  <si>
    <t>Vladimir</t>
  </si>
  <si>
    <t>Michalik</t>
  </si>
  <si>
    <t>Kamil</t>
  </si>
  <si>
    <t>Mika</t>
  </si>
  <si>
    <t>Patrycja</t>
  </si>
  <si>
    <t>Mikulska</t>
  </si>
  <si>
    <t>Mlynarczyk</t>
  </si>
  <si>
    <t>Bogumil</t>
  </si>
  <si>
    <t>Mogilnicka</t>
  </si>
  <si>
    <t>Muc</t>
  </si>
  <si>
    <t>Jerzy</t>
  </si>
  <si>
    <t>Muszczek</t>
  </si>
  <si>
    <t>Nowak</t>
  </si>
  <si>
    <t>Ogiela</t>
  </si>
  <si>
    <t>Pasieka</t>
  </si>
  <si>
    <t>Malgorzata</t>
  </si>
  <si>
    <t>Peixoto</t>
  </si>
  <si>
    <t>Mathew</t>
  </si>
  <si>
    <t>D1</t>
  </si>
  <si>
    <t>Perczyk</t>
  </si>
  <si>
    <t>Justyna</t>
  </si>
  <si>
    <t>Piksa</t>
  </si>
  <si>
    <t>Sandra</t>
  </si>
  <si>
    <t>Pikta</t>
  </si>
  <si>
    <t>Daniel</t>
  </si>
  <si>
    <t>Poplonski</t>
  </si>
  <si>
    <t>Tomasz</t>
  </si>
  <si>
    <t>Proschl</t>
  </si>
  <si>
    <t>Lukas</t>
  </si>
  <si>
    <t>Przydatek</t>
  </si>
  <si>
    <t>Pyc</t>
  </si>
  <si>
    <t>Recka</t>
  </si>
  <si>
    <t>Skorczewski</t>
  </si>
  <si>
    <t>Skrzypczak</t>
  </si>
  <si>
    <t>Kewin</t>
  </si>
  <si>
    <t>Solomonova</t>
  </si>
  <si>
    <t>Nikola</t>
  </si>
  <si>
    <t>Stankiewicz</t>
  </si>
  <si>
    <t>Lucyna</t>
  </si>
  <si>
    <t>Stepien</t>
  </si>
  <si>
    <t>Konrad</t>
  </si>
  <si>
    <t>Sztabinska</t>
  </si>
  <si>
    <t>Szulewska</t>
  </si>
  <si>
    <t>Dorota</t>
  </si>
  <si>
    <t>Tranevicius</t>
  </si>
  <si>
    <t>Martynas</t>
  </si>
  <si>
    <t>E5</t>
  </si>
  <si>
    <t>Wajler</t>
  </si>
  <si>
    <t>Kamila</t>
  </si>
  <si>
    <t>Wielgus</t>
  </si>
  <si>
    <t>Wilczak</t>
  </si>
  <si>
    <t>Wolanin</t>
  </si>
  <si>
    <t>Almasiova</t>
  </si>
  <si>
    <t>Bianka</t>
  </si>
  <si>
    <t>Anitei</t>
  </si>
  <si>
    <t>Catalina</t>
  </si>
  <si>
    <t>Jankowska</t>
  </si>
  <si>
    <t>Paulina</t>
  </si>
  <si>
    <t>Kasileviciute</t>
  </si>
  <si>
    <t>Gerda</t>
  </si>
  <si>
    <t>Kosior</t>
  </si>
  <si>
    <t>Majewski</t>
  </si>
  <si>
    <t>Gerard</t>
  </si>
  <si>
    <t>Mankowska</t>
  </si>
  <si>
    <t>Mikiciuk</t>
  </si>
  <si>
    <t>Milon</t>
  </si>
  <si>
    <t>Oliwia</t>
  </si>
  <si>
    <t>Sersnovs</t>
  </si>
  <si>
    <t>Aleksandrs</t>
  </si>
  <si>
    <t>Slosiar</t>
  </si>
  <si>
    <t>Tomas</t>
  </si>
  <si>
    <t>Spevakova</t>
  </si>
  <si>
    <t>Olivia</t>
  </si>
  <si>
    <t>Tkachuk</t>
  </si>
  <si>
    <t>Vadym</t>
  </si>
  <si>
    <t>Urbanowicz</t>
  </si>
  <si>
    <t>Veres</t>
  </si>
  <si>
    <t>Matej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</si>
</sst>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.0000_ ;_ * \-#,##0.0000_ ;_ * &quot;-&quot;??_ ;_ @_ "/>
    <numFmt numFmtId="165" formatCode="_(&quot;€&quot;* #,##0.00_);_(&quot;€&quot;* \(#,##0.00\);_(&quot;€&quot;* &quot;-&quot;??_);_(@_)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44" fontId="2" fillId="0" borderId="1" xfId="2" applyFont="1" applyFill="1" applyBorder="1"/>
    <xf numFmtId="44" fontId="2" fillId="0" borderId="2" xfId="2" applyFont="1" applyFill="1" applyBorder="1"/>
    <xf numFmtId="164" fontId="0" fillId="0" borderId="0" xfId="1" applyNumberFormat="1" applyFont="1"/>
    <xf numFmtId="0" fontId="0" fillId="0" borderId="1" xfId="0" applyBorder="1"/>
    <xf numFmtId="44" fontId="0" fillId="0" borderId="0" xfId="2" applyFont="1" applyFill="1"/>
    <xf numFmtId="165" fontId="5" fillId="0" borderId="0" xfId="0" applyNumberFormat="1" applyFont="1"/>
    <xf numFmtId="165" fontId="0" fillId="0" borderId="0" xfId="0" applyNumberFormat="1"/>
    <xf numFmtId="166" fontId="6" fillId="0" borderId="1" xfId="0" applyNumberFormat="1" applyFont="1" applyBorder="1" applyAlignment="1">
      <alignment horizontal="center"/>
    </xf>
    <xf numFmtId="164" fontId="0" fillId="0" borderId="0" xfId="1" applyNumberFormat="1" applyFont="1" applyFill="1"/>
    <xf numFmtId="164" fontId="2" fillId="0" borderId="3" xfId="1" applyNumberFormat="1" applyFont="1" applyBorder="1"/>
    <xf numFmtId="0" fontId="3" fillId="0" borderId="3" xfId="0" applyFont="1" applyBorder="1"/>
    <xf numFmtId="9" fontId="4" fillId="0" borderId="3" xfId="3" applyFont="1" applyFill="1" applyBorder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7C7E-2B3B-47CF-9529-BF97BCADE480}">
  <dimension ref="A1:AF118"/>
  <sheetViews>
    <sheetView tabSelected="1" topLeftCell="H1" workbookViewId="0">
      <pane ySplit="1" topLeftCell="A71" activePane="bottomLeft" state="frozen"/>
      <selection pane="bottomLeft" activeCell="H21" sqref="H21"/>
    </sheetView>
  </sheetViews>
  <sheetFormatPr baseColWidth="10" defaultColWidth="8.83203125" defaultRowHeight="15" x14ac:dyDescent="0.2"/>
  <cols>
    <col min="1" max="1" width="19" bestFit="1" customWidth="1"/>
    <col min="2" max="2" width="15.83203125" bestFit="1" customWidth="1"/>
    <col min="3" max="3" width="14" bestFit="1" customWidth="1"/>
    <col min="4" max="4" width="12.1640625" bestFit="1" customWidth="1"/>
    <col min="5" max="5" width="10.6640625" bestFit="1" customWidth="1"/>
    <col min="6" max="6" width="6.83203125" bestFit="1" customWidth="1"/>
    <col min="7" max="7" width="17.33203125" style="6" bestFit="1" customWidth="1"/>
    <col min="8" max="8" width="17.6640625" style="6" bestFit="1" customWidth="1"/>
    <col min="9" max="9" width="15.6640625" style="6" bestFit="1" customWidth="1"/>
    <col min="10" max="13" width="7.5" style="10" bestFit="1" customWidth="1"/>
    <col min="14" max="14" width="4.6640625" bestFit="1" customWidth="1"/>
    <col min="15" max="15" width="6.6640625" bestFit="1" customWidth="1"/>
    <col min="16" max="16" width="8.5" customWidth="1"/>
    <col min="17" max="26" width="8" bestFit="1" customWidth="1"/>
    <col min="28" max="28" width="10.5" bestFit="1" customWidth="1"/>
    <col min="29" max="32" width="6.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12</v>
      </c>
      <c r="O1" s="12" t="s">
        <v>13</v>
      </c>
      <c r="P1" s="12"/>
      <c r="Q1" s="13">
        <v>1</v>
      </c>
      <c r="R1" s="13">
        <v>1.33</v>
      </c>
      <c r="S1" s="13">
        <v>1.35</v>
      </c>
      <c r="T1" s="13">
        <v>1.8</v>
      </c>
      <c r="U1" s="13">
        <v>2</v>
      </c>
      <c r="V1" s="13">
        <v>3</v>
      </c>
      <c r="W1" s="13">
        <v>1.4</v>
      </c>
      <c r="X1" s="13">
        <v>1.8</v>
      </c>
      <c r="Y1" s="13">
        <v>2</v>
      </c>
      <c r="Z1" s="13">
        <v>3</v>
      </c>
      <c r="AB1" s="5" t="s">
        <v>14</v>
      </c>
      <c r="AC1" s="5" t="s">
        <v>15</v>
      </c>
      <c r="AD1" s="5" t="s">
        <v>10</v>
      </c>
      <c r="AE1" s="5" t="s">
        <v>11</v>
      </c>
      <c r="AF1" s="5" t="s">
        <v>12</v>
      </c>
    </row>
    <row r="2" spans="1:32" x14ac:dyDescent="0.2">
      <c r="A2">
        <v>441359</v>
      </c>
      <c r="B2" t="s">
        <v>16</v>
      </c>
      <c r="C2" t="s">
        <v>17</v>
      </c>
      <c r="D2">
        <v>40</v>
      </c>
      <c r="E2" t="s">
        <v>18</v>
      </c>
      <c r="F2" t="s">
        <v>19</v>
      </c>
      <c r="G2" s="6">
        <v>16.899999999999999</v>
      </c>
      <c r="H2" s="6">
        <v>15.93</v>
      </c>
      <c r="I2" s="6">
        <v>0</v>
      </c>
      <c r="J2" s="4">
        <f>_xlfn.XLOOKUP(E2,AB:AB,AC:AC)</f>
        <v>1.7024999999999999</v>
      </c>
      <c r="K2" s="4">
        <f>_xlfn.XLOOKUP(E2,AB:AB,AD:AD)</f>
        <v>1.5642</v>
      </c>
      <c r="L2" s="4">
        <f>_xlfn.XLOOKUP(E2,AB:AB,AE:AE)</f>
        <v>1.3552</v>
      </c>
      <c r="M2" s="4">
        <f>_xlfn.XLOOKUP(E2,AB:AB,AF:AF)</f>
        <v>1.3552</v>
      </c>
      <c r="N2">
        <v>0</v>
      </c>
      <c r="O2" s="7">
        <v>2.99</v>
      </c>
      <c r="P2" s="7"/>
      <c r="Q2" s="8">
        <f>G2*J2+G2*M2*N2+O2+(I2*K2)</f>
        <v>31.762249999999995</v>
      </c>
      <c r="R2" s="8">
        <f>Q2+G2*(R$1-1)*K2</f>
        <v>40.485793399999999</v>
      </c>
      <c r="S2" s="8">
        <f>Q2+G2*(S$1-1)*K2</f>
        <v>41.014492999999995</v>
      </c>
      <c r="T2" s="8">
        <f>Q2+G2*(T$1-1)*K2</f>
        <v>52.910233999999996</v>
      </c>
      <c r="U2" s="8">
        <f>Q2+G2*(U$1-1)*K2</f>
        <v>58.19722999999999</v>
      </c>
      <c r="V2" s="8">
        <f>Q2+G2*(V$1-1)*K2</f>
        <v>84.632209999999986</v>
      </c>
      <c r="W2" s="8">
        <f>H2*W$1*L2</f>
        <v>30.2236704</v>
      </c>
      <c r="X2" s="8">
        <f>H2*X$1*L2</f>
        <v>38.859004800000001</v>
      </c>
      <c r="Y2" s="8">
        <f>H2*Y$1*L2</f>
        <v>43.176671999999996</v>
      </c>
      <c r="Z2" s="8">
        <f>H2*Z$1*L2</f>
        <v>64.765007999999995</v>
      </c>
      <c r="AB2" s="5" t="s">
        <v>18</v>
      </c>
      <c r="AC2" s="9">
        <v>1.7024999999999999</v>
      </c>
      <c r="AD2" s="9">
        <v>1.5642</v>
      </c>
      <c r="AE2" s="9">
        <v>1.3552</v>
      </c>
      <c r="AF2" s="9">
        <v>1.3552</v>
      </c>
    </row>
    <row r="3" spans="1:32" x14ac:dyDescent="0.2">
      <c r="A3">
        <v>422226</v>
      </c>
      <c r="B3" t="s">
        <v>20</v>
      </c>
      <c r="C3" t="s">
        <v>21</v>
      </c>
      <c r="D3">
        <v>82</v>
      </c>
      <c r="E3" t="s">
        <v>22</v>
      </c>
      <c r="F3" t="s">
        <v>23</v>
      </c>
      <c r="G3" s="6">
        <v>16.22</v>
      </c>
      <c r="H3" s="6">
        <v>15.28</v>
      </c>
      <c r="I3" s="6">
        <v>0</v>
      </c>
      <c r="J3" s="4">
        <f t="shared" ref="J3:J66" si="0">_xlfn.XLOOKUP(E3,AB:AB,AC:AC)</f>
        <v>1.7068000000000001</v>
      </c>
      <c r="K3" s="4">
        <f t="shared" ref="K3:K66" si="1">_xlfn.XLOOKUP(E3,AB:AB,AD:AD)</f>
        <v>1.5528</v>
      </c>
      <c r="L3" s="4">
        <f t="shared" ref="L3:L66" si="2">_xlfn.XLOOKUP(E3,AB:AB,AE:AE)</f>
        <v>1.3391999999999999</v>
      </c>
      <c r="M3" s="4">
        <f t="shared" ref="M3:M66" si="3">_xlfn.XLOOKUP(E3,AB:AB,AF:AF)</f>
        <v>1.3391999999999999</v>
      </c>
      <c r="N3">
        <v>0</v>
      </c>
      <c r="O3" s="7">
        <v>2.99</v>
      </c>
      <c r="P3" s="7"/>
      <c r="Q3" s="8">
        <f t="shared" ref="Q3:Q66" si="4">G3*J3+G3*M3*N3+O3+(I3*K3)</f>
        <v>30.674295999999998</v>
      </c>
      <c r="R3" s="8">
        <f t="shared" ref="R3:R66" si="5">Q3+G3*(R$1-1)*K3</f>
        <v>38.985813280000002</v>
      </c>
      <c r="S3" s="8">
        <f t="shared" ref="S3:S66" si="6">Q3+G3*(S$1-1)*K3</f>
        <v>39.489541600000003</v>
      </c>
      <c r="T3" s="8">
        <f t="shared" ref="T3:T66" si="7">Q3+G3*(T$1-1)*K3</f>
        <v>50.823428799999995</v>
      </c>
      <c r="U3" s="8">
        <f t="shared" ref="U3:U66" si="8">Q3+G3*(U$1-1)*K3</f>
        <v>55.860711999999992</v>
      </c>
      <c r="V3" s="8">
        <f t="shared" ref="V3:V66" si="9">Q3+G3*(V$1-1)*K3</f>
        <v>81.047127999999987</v>
      </c>
      <c r="W3" s="8">
        <f t="shared" ref="W3:W66" si="10">H3*W$1*L3</f>
        <v>28.648166399999997</v>
      </c>
      <c r="X3" s="8">
        <f t="shared" ref="X3:X66" si="11">H3*X$1*L3</f>
        <v>36.833356799999997</v>
      </c>
      <c r="Y3" s="8">
        <f t="shared" ref="Y3:Y66" si="12">H3*Y$1*L3</f>
        <v>40.925951999999995</v>
      </c>
      <c r="Z3" s="8">
        <f t="shared" ref="Z3:Z66" si="13">H3*Z$1*L3</f>
        <v>61.388927999999993</v>
      </c>
      <c r="AB3" s="5" t="s">
        <v>22</v>
      </c>
      <c r="AC3" s="9">
        <v>1.7068000000000001</v>
      </c>
      <c r="AD3" s="9">
        <v>1.5528</v>
      </c>
      <c r="AE3" s="9">
        <v>1.3391999999999999</v>
      </c>
      <c r="AF3" s="9">
        <v>1.3391999999999999</v>
      </c>
    </row>
    <row r="4" spans="1:32" x14ac:dyDescent="0.2">
      <c r="A4">
        <v>452150</v>
      </c>
      <c r="B4" t="s">
        <v>24</v>
      </c>
      <c r="C4" t="s">
        <v>25</v>
      </c>
      <c r="D4">
        <v>18</v>
      </c>
      <c r="E4" t="s">
        <v>18</v>
      </c>
      <c r="F4" t="s">
        <v>26</v>
      </c>
      <c r="G4" s="6">
        <v>16.010000000000002</v>
      </c>
      <c r="H4" s="6">
        <v>15.09</v>
      </c>
      <c r="I4" s="6">
        <v>0</v>
      </c>
      <c r="J4" s="4">
        <f t="shared" si="0"/>
        <v>1.7024999999999999</v>
      </c>
      <c r="K4" s="4">
        <f t="shared" si="1"/>
        <v>1.5642</v>
      </c>
      <c r="L4" s="4">
        <f t="shared" si="2"/>
        <v>1.3552</v>
      </c>
      <c r="M4" s="4">
        <f t="shared" si="3"/>
        <v>1.3552</v>
      </c>
      <c r="N4">
        <v>0</v>
      </c>
      <c r="O4" s="7">
        <v>2.99</v>
      </c>
      <c r="P4" s="7"/>
      <c r="Q4" s="8">
        <f t="shared" si="4"/>
        <v>30.247025000000001</v>
      </c>
      <c r="R4" s="8">
        <f t="shared" si="5"/>
        <v>38.511162859999999</v>
      </c>
      <c r="S4" s="8">
        <f t="shared" si="6"/>
        <v>39.012019700000003</v>
      </c>
      <c r="T4" s="8">
        <f t="shared" si="7"/>
        <v>50.2812986</v>
      </c>
      <c r="U4" s="8">
        <f t="shared" si="8"/>
        <v>55.289867000000001</v>
      </c>
      <c r="V4" s="8">
        <f t="shared" si="9"/>
        <v>80.332709000000008</v>
      </c>
      <c r="W4" s="8">
        <f t="shared" si="10"/>
        <v>28.629955199999998</v>
      </c>
      <c r="X4" s="8">
        <f t="shared" si="11"/>
        <v>36.809942399999997</v>
      </c>
      <c r="Y4" s="8">
        <f t="shared" si="12"/>
        <v>40.899935999999997</v>
      </c>
      <c r="Z4" s="8">
        <f t="shared" si="13"/>
        <v>61.349903999999995</v>
      </c>
      <c r="AB4" s="5" t="s">
        <v>27</v>
      </c>
      <c r="AC4" s="9">
        <v>1.6496999999999999</v>
      </c>
      <c r="AD4" s="9">
        <v>1.5022</v>
      </c>
      <c r="AE4" s="9">
        <v>1.2898000000000001</v>
      </c>
      <c r="AF4" s="9">
        <v>1.2898000000000001</v>
      </c>
    </row>
    <row r="5" spans="1:32" x14ac:dyDescent="0.2">
      <c r="A5">
        <v>441215</v>
      </c>
      <c r="B5" t="s">
        <v>28</v>
      </c>
      <c r="C5" t="s">
        <v>29</v>
      </c>
      <c r="D5">
        <v>38</v>
      </c>
      <c r="E5" t="s">
        <v>18</v>
      </c>
      <c r="F5" t="s">
        <v>23</v>
      </c>
      <c r="G5" s="6">
        <v>16.22</v>
      </c>
      <c r="H5" s="6">
        <v>15.28</v>
      </c>
      <c r="I5" s="6">
        <v>0</v>
      </c>
      <c r="J5" s="4">
        <f t="shared" si="0"/>
        <v>1.7024999999999999</v>
      </c>
      <c r="K5" s="4">
        <f t="shared" si="1"/>
        <v>1.5642</v>
      </c>
      <c r="L5" s="4">
        <f t="shared" si="2"/>
        <v>1.3552</v>
      </c>
      <c r="M5" s="4">
        <f t="shared" si="3"/>
        <v>1.3552</v>
      </c>
      <c r="N5">
        <v>0</v>
      </c>
      <c r="O5" s="7">
        <v>2.99</v>
      </c>
      <c r="P5" s="7"/>
      <c r="Q5" s="8">
        <f t="shared" si="4"/>
        <v>30.604549999999996</v>
      </c>
      <c r="R5" s="8">
        <f t="shared" si="5"/>
        <v>38.977086919999998</v>
      </c>
      <c r="S5" s="8">
        <f t="shared" si="6"/>
        <v>39.484513399999997</v>
      </c>
      <c r="T5" s="8">
        <f t="shared" si="7"/>
        <v>50.901609199999996</v>
      </c>
      <c r="U5" s="8">
        <f t="shared" si="8"/>
        <v>55.97587399999999</v>
      </c>
      <c r="V5" s="8">
        <f t="shared" si="9"/>
        <v>81.347197999999992</v>
      </c>
      <c r="W5" s="8">
        <f t="shared" si="10"/>
        <v>28.990438399999999</v>
      </c>
      <c r="X5" s="8">
        <f t="shared" si="11"/>
        <v>37.273420799999997</v>
      </c>
      <c r="Y5" s="8">
        <f t="shared" si="12"/>
        <v>41.414911999999994</v>
      </c>
      <c r="Z5" s="8">
        <f t="shared" si="13"/>
        <v>62.122367999999994</v>
      </c>
    </row>
    <row r="6" spans="1:32" x14ac:dyDescent="0.2">
      <c r="A6">
        <v>452125</v>
      </c>
      <c r="B6" t="s">
        <v>30</v>
      </c>
      <c r="C6" t="s">
        <v>31</v>
      </c>
      <c r="D6">
        <v>13</v>
      </c>
      <c r="E6" t="s">
        <v>18</v>
      </c>
      <c r="F6" t="s">
        <v>26</v>
      </c>
      <c r="G6" s="6">
        <v>16.010000000000002</v>
      </c>
      <c r="H6" s="6">
        <v>15.09</v>
      </c>
      <c r="I6" s="6">
        <v>0</v>
      </c>
      <c r="J6" s="4">
        <f t="shared" si="0"/>
        <v>1.7024999999999999</v>
      </c>
      <c r="K6" s="4">
        <f t="shared" si="1"/>
        <v>1.5642</v>
      </c>
      <c r="L6" s="4">
        <f t="shared" si="2"/>
        <v>1.3552</v>
      </c>
      <c r="M6" s="4">
        <f t="shared" si="3"/>
        <v>1.3552</v>
      </c>
      <c r="N6">
        <v>0</v>
      </c>
      <c r="O6" s="7">
        <v>2.99</v>
      </c>
      <c r="P6" s="7"/>
      <c r="Q6" s="8">
        <f t="shared" si="4"/>
        <v>30.247025000000001</v>
      </c>
      <c r="R6" s="8">
        <f t="shared" si="5"/>
        <v>38.511162859999999</v>
      </c>
      <c r="S6" s="8">
        <f t="shared" si="6"/>
        <v>39.012019700000003</v>
      </c>
      <c r="T6" s="8">
        <f t="shared" si="7"/>
        <v>50.2812986</v>
      </c>
      <c r="U6" s="8">
        <f t="shared" si="8"/>
        <v>55.289867000000001</v>
      </c>
      <c r="V6" s="8">
        <f t="shared" si="9"/>
        <v>80.332709000000008</v>
      </c>
      <c r="W6" s="8">
        <f t="shared" si="10"/>
        <v>28.629955199999998</v>
      </c>
      <c r="X6" s="8">
        <f t="shared" si="11"/>
        <v>36.809942399999997</v>
      </c>
      <c r="Y6" s="8">
        <f t="shared" si="12"/>
        <v>40.899935999999997</v>
      </c>
      <c r="Z6" s="8">
        <f t="shared" si="13"/>
        <v>61.349903999999995</v>
      </c>
    </row>
    <row r="7" spans="1:32" x14ac:dyDescent="0.2">
      <c r="A7">
        <v>457891</v>
      </c>
      <c r="B7" t="s">
        <v>32</v>
      </c>
      <c r="C7" t="s">
        <v>25</v>
      </c>
      <c r="D7">
        <v>1</v>
      </c>
      <c r="E7" t="s">
        <v>18</v>
      </c>
      <c r="F7" t="s">
        <v>26</v>
      </c>
      <c r="G7" s="6">
        <v>16.010000000000002</v>
      </c>
      <c r="H7" s="6">
        <v>15.09</v>
      </c>
      <c r="I7" s="6">
        <v>0</v>
      </c>
      <c r="J7" s="4">
        <f t="shared" si="0"/>
        <v>1.7024999999999999</v>
      </c>
      <c r="K7" s="4">
        <f t="shared" si="1"/>
        <v>1.5642</v>
      </c>
      <c r="L7" s="4">
        <f t="shared" si="2"/>
        <v>1.3552</v>
      </c>
      <c r="M7" s="4">
        <f t="shared" si="3"/>
        <v>1.3552</v>
      </c>
      <c r="N7">
        <v>0</v>
      </c>
      <c r="O7" s="7">
        <v>2.99</v>
      </c>
      <c r="P7" s="7"/>
      <c r="Q7" s="8">
        <f t="shared" si="4"/>
        <v>30.247025000000001</v>
      </c>
      <c r="R7" s="8">
        <f t="shared" si="5"/>
        <v>38.511162859999999</v>
      </c>
      <c r="S7" s="8">
        <f t="shared" si="6"/>
        <v>39.012019700000003</v>
      </c>
      <c r="T7" s="8">
        <f t="shared" si="7"/>
        <v>50.2812986</v>
      </c>
      <c r="U7" s="8">
        <f t="shared" si="8"/>
        <v>55.289867000000001</v>
      </c>
      <c r="V7" s="8">
        <f t="shared" si="9"/>
        <v>80.332709000000008</v>
      </c>
      <c r="W7" s="8">
        <f t="shared" si="10"/>
        <v>28.629955199999998</v>
      </c>
      <c r="X7" s="8">
        <f t="shared" si="11"/>
        <v>36.809942399999997</v>
      </c>
      <c r="Y7" s="8">
        <f t="shared" si="12"/>
        <v>40.899935999999997</v>
      </c>
      <c r="Z7" s="8">
        <f t="shared" si="13"/>
        <v>61.349903999999995</v>
      </c>
    </row>
    <row r="8" spans="1:32" x14ac:dyDescent="0.2">
      <c r="A8">
        <v>374814</v>
      </c>
      <c r="B8" t="s">
        <v>33</v>
      </c>
      <c r="C8" t="s">
        <v>34</v>
      </c>
      <c r="D8">
        <v>320</v>
      </c>
      <c r="E8" t="s">
        <v>27</v>
      </c>
      <c r="F8" t="s">
        <v>35</v>
      </c>
      <c r="G8" s="6">
        <v>18.239999999999998</v>
      </c>
      <c r="H8" s="6">
        <v>17.190000000000001</v>
      </c>
      <c r="I8" s="6">
        <v>0</v>
      </c>
      <c r="J8" s="4">
        <f t="shared" si="0"/>
        <v>1.6496999999999999</v>
      </c>
      <c r="K8" s="4">
        <f t="shared" si="1"/>
        <v>1.5022</v>
      </c>
      <c r="L8" s="4">
        <f t="shared" si="2"/>
        <v>1.2898000000000001</v>
      </c>
      <c r="M8" s="4">
        <f t="shared" si="3"/>
        <v>1.2898000000000001</v>
      </c>
      <c r="N8">
        <v>0</v>
      </c>
      <c r="O8" s="7">
        <v>2.99</v>
      </c>
      <c r="P8" s="7"/>
      <c r="Q8" s="8">
        <f t="shared" si="4"/>
        <v>33.080527999999994</v>
      </c>
      <c r="R8" s="8">
        <f t="shared" si="5"/>
        <v>42.122570239999995</v>
      </c>
      <c r="S8" s="8">
        <f t="shared" si="6"/>
        <v>42.670572799999995</v>
      </c>
      <c r="T8" s="8">
        <f t="shared" si="7"/>
        <v>55.000630399999991</v>
      </c>
      <c r="U8" s="8">
        <f t="shared" si="8"/>
        <v>60.480655999999996</v>
      </c>
      <c r="V8" s="8">
        <f t="shared" si="9"/>
        <v>87.880783999999991</v>
      </c>
      <c r="W8" s="8">
        <f t="shared" si="10"/>
        <v>31.040326799999999</v>
      </c>
      <c r="X8" s="8">
        <f t="shared" si="11"/>
        <v>39.908991600000007</v>
      </c>
      <c r="Y8" s="8">
        <f t="shared" si="12"/>
        <v>44.343324000000003</v>
      </c>
      <c r="Z8" s="8">
        <f t="shared" si="13"/>
        <v>66.514986000000007</v>
      </c>
    </row>
    <row r="9" spans="1:32" x14ac:dyDescent="0.2">
      <c r="A9">
        <v>449065</v>
      </c>
      <c r="B9" t="s">
        <v>36</v>
      </c>
      <c r="C9" t="s">
        <v>37</v>
      </c>
      <c r="D9">
        <v>5</v>
      </c>
      <c r="E9" t="s">
        <v>18</v>
      </c>
      <c r="F9" t="s">
        <v>26</v>
      </c>
      <c r="G9" s="6">
        <v>16.010000000000002</v>
      </c>
      <c r="H9" s="6">
        <v>15.09</v>
      </c>
      <c r="I9" s="6">
        <v>0</v>
      </c>
      <c r="J9" s="4">
        <f t="shared" si="0"/>
        <v>1.7024999999999999</v>
      </c>
      <c r="K9" s="4">
        <f t="shared" si="1"/>
        <v>1.5642</v>
      </c>
      <c r="L9" s="4">
        <f t="shared" si="2"/>
        <v>1.3552</v>
      </c>
      <c r="M9" s="4">
        <f t="shared" si="3"/>
        <v>1.3552</v>
      </c>
      <c r="N9">
        <v>0</v>
      </c>
      <c r="O9" s="7">
        <v>2.99</v>
      </c>
      <c r="P9" s="7"/>
      <c r="Q9" s="8">
        <f t="shared" si="4"/>
        <v>30.247025000000001</v>
      </c>
      <c r="R9" s="8">
        <f t="shared" si="5"/>
        <v>38.511162859999999</v>
      </c>
      <c r="S9" s="8">
        <f t="shared" si="6"/>
        <v>39.012019700000003</v>
      </c>
      <c r="T9" s="8">
        <f t="shared" si="7"/>
        <v>50.2812986</v>
      </c>
      <c r="U9" s="8">
        <f t="shared" si="8"/>
        <v>55.289867000000001</v>
      </c>
      <c r="V9" s="8">
        <f t="shared" si="9"/>
        <v>80.332709000000008</v>
      </c>
      <c r="W9" s="8">
        <f t="shared" si="10"/>
        <v>28.629955199999998</v>
      </c>
      <c r="X9" s="8">
        <f t="shared" si="11"/>
        <v>36.809942399999997</v>
      </c>
      <c r="Y9" s="8">
        <f t="shared" si="12"/>
        <v>40.899935999999997</v>
      </c>
      <c r="Z9" s="8">
        <f t="shared" si="13"/>
        <v>61.349903999999995</v>
      </c>
    </row>
    <row r="10" spans="1:32" x14ac:dyDescent="0.2">
      <c r="A10">
        <v>439647</v>
      </c>
      <c r="B10" t="s">
        <v>38</v>
      </c>
      <c r="C10" t="s">
        <v>39</v>
      </c>
      <c r="D10">
        <v>43</v>
      </c>
      <c r="E10" t="s">
        <v>18</v>
      </c>
      <c r="F10" t="s">
        <v>23</v>
      </c>
      <c r="G10" s="6">
        <v>16.22</v>
      </c>
      <c r="H10" s="6">
        <v>15.28</v>
      </c>
      <c r="I10" s="6">
        <v>0</v>
      </c>
      <c r="J10" s="4">
        <f t="shared" si="0"/>
        <v>1.7024999999999999</v>
      </c>
      <c r="K10" s="4">
        <f t="shared" si="1"/>
        <v>1.5642</v>
      </c>
      <c r="L10" s="4">
        <f t="shared" si="2"/>
        <v>1.3552</v>
      </c>
      <c r="M10" s="4">
        <f t="shared" si="3"/>
        <v>1.3552</v>
      </c>
      <c r="N10">
        <v>0</v>
      </c>
      <c r="O10" s="7">
        <v>2.99</v>
      </c>
      <c r="P10" s="7"/>
      <c r="Q10" s="8">
        <f t="shared" si="4"/>
        <v>30.604549999999996</v>
      </c>
      <c r="R10" s="8">
        <f t="shared" si="5"/>
        <v>38.977086919999998</v>
      </c>
      <c r="S10" s="8">
        <f t="shared" si="6"/>
        <v>39.484513399999997</v>
      </c>
      <c r="T10" s="8">
        <f t="shared" si="7"/>
        <v>50.901609199999996</v>
      </c>
      <c r="U10" s="8">
        <f t="shared" si="8"/>
        <v>55.97587399999999</v>
      </c>
      <c r="V10" s="8">
        <f t="shared" si="9"/>
        <v>81.347197999999992</v>
      </c>
      <c r="W10" s="8">
        <f t="shared" si="10"/>
        <v>28.990438399999999</v>
      </c>
      <c r="X10" s="8">
        <f t="shared" si="11"/>
        <v>37.273420799999997</v>
      </c>
      <c r="Y10" s="8">
        <f t="shared" si="12"/>
        <v>41.414911999999994</v>
      </c>
      <c r="Z10" s="8">
        <f t="shared" si="13"/>
        <v>62.122367999999994</v>
      </c>
    </row>
    <row r="11" spans="1:32" x14ac:dyDescent="0.2">
      <c r="A11">
        <v>379213</v>
      </c>
      <c r="B11" t="s">
        <v>38</v>
      </c>
      <c r="C11" t="s">
        <v>40</v>
      </c>
      <c r="D11">
        <v>155</v>
      </c>
      <c r="E11" t="s">
        <v>22</v>
      </c>
      <c r="F11" t="s">
        <v>41</v>
      </c>
      <c r="G11" s="6">
        <v>17.34</v>
      </c>
      <c r="H11" s="6">
        <v>16.34</v>
      </c>
      <c r="I11" s="6">
        <v>0</v>
      </c>
      <c r="J11" s="4">
        <f t="shared" si="0"/>
        <v>1.7068000000000001</v>
      </c>
      <c r="K11" s="4">
        <f t="shared" si="1"/>
        <v>1.5528</v>
      </c>
      <c r="L11" s="4">
        <f t="shared" si="2"/>
        <v>1.3391999999999999</v>
      </c>
      <c r="M11" s="4">
        <f t="shared" si="3"/>
        <v>1.3391999999999999</v>
      </c>
      <c r="N11">
        <v>0</v>
      </c>
      <c r="O11" s="7">
        <v>2.99</v>
      </c>
      <c r="P11" s="7"/>
      <c r="Q11" s="8">
        <f t="shared" si="4"/>
        <v>32.585912</v>
      </c>
      <c r="R11" s="8">
        <f t="shared" si="5"/>
        <v>41.471344160000001</v>
      </c>
      <c r="S11" s="8">
        <f t="shared" si="6"/>
        <v>42.009855200000004</v>
      </c>
      <c r="T11" s="8">
        <f t="shared" si="7"/>
        <v>54.126353600000002</v>
      </c>
      <c r="U11" s="8">
        <f t="shared" si="8"/>
        <v>59.511464000000004</v>
      </c>
      <c r="V11" s="8">
        <f t="shared" si="9"/>
        <v>86.437016</v>
      </c>
      <c r="W11" s="8">
        <f t="shared" si="10"/>
        <v>30.635539199999997</v>
      </c>
      <c r="X11" s="8">
        <f t="shared" si="11"/>
        <v>39.3885504</v>
      </c>
      <c r="Y11" s="8">
        <f t="shared" si="12"/>
        <v>43.765056000000001</v>
      </c>
      <c r="Z11" s="8">
        <f t="shared" si="13"/>
        <v>65.647583999999995</v>
      </c>
    </row>
    <row r="12" spans="1:32" x14ac:dyDescent="0.2">
      <c r="A12">
        <v>441264</v>
      </c>
      <c r="B12" t="s">
        <v>38</v>
      </c>
      <c r="C12" t="s">
        <v>42</v>
      </c>
      <c r="D12">
        <v>38</v>
      </c>
      <c r="E12" t="s">
        <v>18</v>
      </c>
      <c r="F12" t="s">
        <v>43</v>
      </c>
      <c r="G12" s="6">
        <v>17.28</v>
      </c>
      <c r="H12" s="6">
        <v>16.29</v>
      </c>
      <c r="I12" s="6">
        <v>0</v>
      </c>
      <c r="J12" s="4">
        <f t="shared" si="0"/>
        <v>1.7024999999999999</v>
      </c>
      <c r="K12" s="4">
        <f t="shared" si="1"/>
        <v>1.5642</v>
      </c>
      <c r="L12" s="4">
        <f t="shared" si="2"/>
        <v>1.3552</v>
      </c>
      <c r="M12" s="4">
        <f t="shared" si="3"/>
        <v>1.3552</v>
      </c>
      <c r="N12">
        <v>0</v>
      </c>
      <c r="O12" s="7">
        <v>2.99</v>
      </c>
      <c r="P12" s="7"/>
      <c r="Q12" s="8">
        <f t="shared" si="4"/>
        <v>32.409199999999998</v>
      </c>
      <c r="R12" s="8">
        <f t="shared" si="5"/>
        <v>41.328894079999998</v>
      </c>
      <c r="S12" s="8">
        <f t="shared" si="6"/>
        <v>41.8694816</v>
      </c>
      <c r="T12" s="8">
        <f t="shared" si="7"/>
        <v>54.032700800000001</v>
      </c>
      <c r="U12" s="8">
        <f t="shared" si="8"/>
        <v>59.438575999999998</v>
      </c>
      <c r="V12" s="8">
        <f t="shared" si="9"/>
        <v>86.467951999999997</v>
      </c>
      <c r="W12" s="8">
        <f t="shared" si="10"/>
        <v>30.906691199999994</v>
      </c>
      <c r="X12" s="8">
        <f t="shared" si="11"/>
        <v>39.737174400000001</v>
      </c>
      <c r="Y12" s="8">
        <f t="shared" si="12"/>
        <v>44.152415999999995</v>
      </c>
      <c r="Z12" s="8">
        <f t="shared" si="13"/>
        <v>66.228623999999996</v>
      </c>
    </row>
    <row r="13" spans="1:32" x14ac:dyDescent="0.2">
      <c r="A13">
        <v>456408</v>
      </c>
      <c r="B13" t="s">
        <v>44</v>
      </c>
      <c r="C13" t="s">
        <v>45</v>
      </c>
      <c r="D13">
        <v>7</v>
      </c>
      <c r="E13" t="s">
        <v>18</v>
      </c>
      <c r="F13" t="s">
        <v>26</v>
      </c>
      <c r="G13" s="6">
        <v>16.010000000000002</v>
      </c>
      <c r="H13" s="6">
        <v>15.09</v>
      </c>
      <c r="I13" s="6">
        <v>0</v>
      </c>
      <c r="J13" s="4">
        <f t="shared" si="0"/>
        <v>1.7024999999999999</v>
      </c>
      <c r="K13" s="4">
        <f t="shared" si="1"/>
        <v>1.5642</v>
      </c>
      <c r="L13" s="4">
        <f t="shared" si="2"/>
        <v>1.3552</v>
      </c>
      <c r="M13" s="4">
        <f t="shared" si="3"/>
        <v>1.3552</v>
      </c>
      <c r="N13">
        <v>0</v>
      </c>
      <c r="O13" s="7">
        <v>2.99</v>
      </c>
      <c r="P13" s="7"/>
      <c r="Q13" s="8">
        <f t="shared" si="4"/>
        <v>30.247025000000001</v>
      </c>
      <c r="R13" s="8">
        <f t="shared" si="5"/>
        <v>38.511162859999999</v>
      </c>
      <c r="S13" s="8">
        <f t="shared" si="6"/>
        <v>39.012019700000003</v>
      </c>
      <c r="T13" s="8">
        <f t="shared" si="7"/>
        <v>50.2812986</v>
      </c>
      <c r="U13" s="8">
        <f t="shared" si="8"/>
        <v>55.289867000000001</v>
      </c>
      <c r="V13" s="8">
        <f t="shared" si="9"/>
        <v>80.332709000000008</v>
      </c>
      <c r="W13" s="8">
        <f t="shared" si="10"/>
        <v>28.629955199999998</v>
      </c>
      <c r="X13" s="8">
        <f t="shared" si="11"/>
        <v>36.809942399999997</v>
      </c>
      <c r="Y13" s="8">
        <f t="shared" si="12"/>
        <v>40.899935999999997</v>
      </c>
      <c r="Z13" s="8">
        <f t="shared" si="13"/>
        <v>61.349903999999995</v>
      </c>
    </row>
    <row r="14" spans="1:32" x14ac:dyDescent="0.2">
      <c r="A14">
        <v>439825</v>
      </c>
      <c r="B14" t="s">
        <v>46</v>
      </c>
      <c r="C14" t="s">
        <v>47</v>
      </c>
      <c r="D14">
        <v>9</v>
      </c>
      <c r="E14" t="s">
        <v>18</v>
      </c>
      <c r="F14" t="s">
        <v>26</v>
      </c>
      <c r="G14" s="6">
        <v>16.010000000000002</v>
      </c>
      <c r="H14" s="6">
        <v>15.09</v>
      </c>
      <c r="I14" s="6">
        <v>0</v>
      </c>
      <c r="J14" s="4">
        <f t="shared" si="0"/>
        <v>1.7024999999999999</v>
      </c>
      <c r="K14" s="4">
        <f t="shared" si="1"/>
        <v>1.5642</v>
      </c>
      <c r="L14" s="4">
        <f t="shared" si="2"/>
        <v>1.3552</v>
      </c>
      <c r="M14" s="4">
        <f t="shared" si="3"/>
        <v>1.3552</v>
      </c>
      <c r="N14">
        <v>0</v>
      </c>
      <c r="O14" s="7">
        <v>2.99</v>
      </c>
      <c r="P14" s="7"/>
      <c r="Q14" s="8">
        <f t="shared" si="4"/>
        <v>30.247025000000001</v>
      </c>
      <c r="R14" s="8">
        <f t="shared" si="5"/>
        <v>38.511162859999999</v>
      </c>
      <c r="S14" s="8">
        <f t="shared" si="6"/>
        <v>39.012019700000003</v>
      </c>
      <c r="T14" s="8">
        <f t="shared" si="7"/>
        <v>50.2812986</v>
      </c>
      <c r="U14" s="8">
        <f t="shared" si="8"/>
        <v>55.289867000000001</v>
      </c>
      <c r="V14" s="8">
        <f t="shared" si="9"/>
        <v>80.332709000000008</v>
      </c>
      <c r="W14" s="8">
        <f t="shared" si="10"/>
        <v>28.629955199999998</v>
      </c>
      <c r="X14" s="8">
        <f t="shared" si="11"/>
        <v>36.809942399999997</v>
      </c>
      <c r="Y14" s="8">
        <f t="shared" si="12"/>
        <v>40.899935999999997</v>
      </c>
      <c r="Z14" s="8">
        <f t="shared" si="13"/>
        <v>61.349903999999995</v>
      </c>
    </row>
    <row r="15" spans="1:32" x14ac:dyDescent="0.2">
      <c r="A15">
        <v>433027</v>
      </c>
      <c r="B15" t="s">
        <v>48</v>
      </c>
      <c r="C15" t="s">
        <v>37</v>
      </c>
      <c r="D15">
        <v>64</v>
      </c>
      <c r="E15" t="s">
        <v>22</v>
      </c>
      <c r="F15" t="s">
        <v>23</v>
      </c>
      <c r="G15" s="6">
        <v>16.22</v>
      </c>
      <c r="H15" s="6">
        <v>15.28</v>
      </c>
      <c r="I15" s="6">
        <v>0</v>
      </c>
      <c r="J15" s="4">
        <f t="shared" si="0"/>
        <v>1.7068000000000001</v>
      </c>
      <c r="K15" s="4">
        <f t="shared" si="1"/>
        <v>1.5528</v>
      </c>
      <c r="L15" s="4">
        <f t="shared" si="2"/>
        <v>1.3391999999999999</v>
      </c>
      <c r="M15" s="4">
        <f t="shared" si="3"/>
        <v>1.3391999999999999</v>
      </c>
      <c r="N15">
        <v>0</v>
      </c>
      <c r="O15" s="7">
        <v>2.99</v>
      </c>
      <c r="P15" s="7"/>
      <c r="Q15" s="8">
        <f t="shared" si="4"/>
        <v>30.674295999999998</v>
      </c>
      <c r="R15" s="8">
        <f t="shared" si="5"/>
        <v>38.985813280000002</v>
      </c>
      <c r="S15" s="8">
        <f t="shared" si="6"/>
        <v>39.489541600000003</v>
      </c>
      <c r="T15" s="8">
        <f t="shared" si="7"/>
        <v>50.823428799999995</v>
      </c>
      <c r="U15" s="8">
        <f t="shared" si="8"/>
        <v>55.860711999999992</v>
      </c>
      <c r="V15" s="8">
        <f t="shared" si="9"/>
        <v>81.047127999999987</v>
      </c>
      <c r="W15" s="8">
        <f t="shared" si="10"/>
        <v>28.648166399999997</v>
      </c>
      <c r="X15" s="8">
        <f t="shared" si="11"/>
        <v>36.833356799999997</v>
      </c>
      <c r="Y15" s="8">
        <f t="shared" si="12"/>
        <v>40.925951999999995</v>
      </c>
      <c r="Z15" s="8">
        <f t="shared" si="13"/>
        <v>61.388927999999993</v>
      </c>
    </row>
    <row r="16" spans="1:32" x14ac:dyDescent="0.2">
      <c r="A16">
        <v>448519</v>
      </c>
      <c r="B16" t="s">
        <v>49</v>
      </c>
      <c r="C16" t="s">
        <v>50</v>
      </c>
      <c r="D16">
        <v>24</v>
      </c>
      <c r="E16" t="s">
        <v>18</v>
      </c>
      <c r="F16" t="s">
        <v>26</v>
      </c>
      <c r="G16" s="6">
        <v>16.010000000000002</v>
      </c>
      <c r="H16" s="6">
        <v>15.09</v>
      </c>
      <c r="I16" s="6">
        <v>0</v>
      </c>
      <c r="J16" s="4">
        <f t="shared" si="0"/>
        <v>1.7024999999999999</v>
      </c>
      <c r="K16" s="4">
        <f t="shared" si="1"/>
        <v>1.5642</v>
      </c>
      <c r="L16" s="4">
        <f t="shared" si="2"/>
        <v>1.3552</v>
      </c>
      <c r="M16" s="4">
        <f t="shared" si="3"/>
        <v>1.3552</v>
      </c>
      <c r="N16">
        <v>0</v>
      </c>
      <c r="O16" s="7">
        <v>2.99</v>
      </c>
      <c r="P16" s="7"/>
      <c r="Q16" s="8">
        <f t="shared" si="4"/>
        <v>30.247025000000001</v>
      </c>
      <c r="R16" s="8">
        <f t="shared" si="5"/>
        <v>38.511162859999999</v>
      </c>
      <c r="S16" s="8">
        <f t="shared" si="6"/>
        <v>39.012019700000003</v>
      </c>
      <c r="T16" s="8">
        <f t="shared" si="7"/>
        <v>50.2812986</v>
      </c>
      <c r="U16" s="8">
        <f t="shared" si="8"/>
        <v>55.289867000000001</v>
      </c>
      <c r="V16" s="8">
        <f t="shared" si="9"/>
        <v>80.332709000000008</v>
      </c>
      <c r="W16" s="8">
        <f t="shared" si="10"/>
        <v>28.629955199999998</v>
      </c>
      <c r="X16" s="8">
        <f t="shared" si="11"/>
        <v>36.809942399999997</v>
      </c>
      <c r="Y16" s="8">
        <f t="shared" si="12"/>
        <v>40.899935999999997</v>
      </c>
      <c r="Z16" s="8">
        <f t="shared" si="13"/>
        <v>61.349903999999995</v>
      </c>
    </row>
    <row r="17" spans="1:26" x14ac:dyDescent="0.2">
      <c r="A17">
        <v>374909</v>
      </c>
      <c r="B17" t="s">
        <v>51</v>
      </c>
      <c r="C17" t="s">
        <v>52</v>
      </c>
      <c r="D17">
        <v>330</v>
      </c>
      <c r="E17" t="s">
        <v>27</v>
      </c>
      <c r="F17" t="s">
        <v>53</v>
      </c>
      <c r="G17" s="6">
        <v>17.8</v>
      </c>
      <c r="H17" s="6">
        <v>16.760000000000002</v>
      </c>
      <c r="I17" s="6">
        <v>0</v>
      </c>
      <c r="J17" s="4">
        <f t="shared" si="0"/>
        <v>1.6496999999999999</v>
      </c>
      <c r="K17" s="4">
        <f t="shared" si="1"/>
        <v>1.5022</v>
      </c>
      <c r="L17" s="4">
        <f t="shared" si="2"/>
        <v>1.2898000000000001</v>
      </c>
      <c r="M17" s="4">
        <f t="shared" si="3"/>
        <v>1.2898000000000001</v>
      </c>
      <c r="N17">
        <v>0</v>
      </c>
      <c r="O17" s="7">
        <v>2.99</v>
      </c>
      <c r="P17" s="7"/>
      <c r="Q17" s="8">
        <f t="shared" si="4"/>
        <v>32.354660000000003</v>
      </c>
      <c r="R17" s="8">
        <f t="shared" si="5"/>
        <v>41.178582800000001</v>
      </c>
      <c r="S17" s="8">
        <f t="shared" si="6"/>
        <v>41.713366000000008</v>
      </c>
      <c r="T17" s="8">
        <f t="shared" si="7"/>
        <v>53.745988000000004</v>
      </c>
      <c r="U17" s="8">
        <f t="shared" si="8"/>
        <v>59.093820000000008</v>
      </c>
      <c r="V17" s="8">
        <f t="shared" si="9"/>
        <v>85.832980000000006</v>
      </c>
      <c r="W17" s="8">
        <f t="shared" si="10"/>
        <v>30.263867200000004</v>
      </c>
      <c r="X17" s="8">
        <f t="shared" si="11"/>
        <v>38.910686400000003</v>
      </c>
      <c r="Y17" s="8">
        <f t="shared" si="12"/>
        <v>43.234096000000008</v>
      </c>
      <c r="Z17" s="8">
        <f t="shared" si="13"/>
        <v>64.851144000000005</v>
      </c>
    </row>
    <row r="18" spans="1:26" x14ac:dyDescent="0.2">
      <c r="A18">
        <v>441218</v>
      </c>
      <c r="B18" t="s">
        <v>54</v>
      </c>
      <c r="C18" t="s">
        <v>21</v>
      </c>
      <c r="D18">
        <v>38</v>
      </c>
      <c r="E18" t="s">
        <v>18</v>
      </c>
      <c r="F18" t="s">
        <v>23</v>
      </c>
      <c r="G18" s="6">
        <v>16.22</v>
      </c>
      <c r="H18" s="6">
        <v>15.28</v>
      </c>
      <c r="I18" s="6">
        <v>0</v>
      </c>
      <c r="J18" s="4">
        <f t="shared" si="0"/>
        <v>1.7024999999999999</v>
      </c>
      <c r="K18" s="4">
        <f t="shared" si="1"/>
        <v>1.5642</v>
      </c>
      <c r="L18" s="4">
        <f t="shared" si="2"/>
        <v>1.3552</v>
      </c>
      <c r="M18" s="4">
        <f t="shared" si="3"/>
        <v>1.3552</v>
      </c>
      <c r="N18">
        <v>0</v>
      </c>
      <c r="O18" s="7">
        <v>2.99</v>
      </c>
      <c r="P18" s="7"/>
      <c r="Q18" s="8">
        <f t="shared" si="4"/>
        <v>30.604549999999996</v>
      </c>
      <c r="R18" s="8">
        <f t="shared" si="5"/>
        <v>38.977086919999998</v>
      </c>
      <c r="S18" s="8">
        <f t="shared" si="6"/>
        <v>39.484513399999997</v>
      </c>
      <c r="T18" s="8">
        <f t="shared" si="7"/>
        <v>50.901609199999996</v>
      </c>
      <c r="U18" s="8">
        <f t="shared" si="8"/>
        <v>55.97587399999999</v>
      </c>
      <c r="V18" s="8">
        <f t="shared" si="9"/>
        <v>81.347197999999992</v>
      </c>
      <c r="W18" s="8">
        <f t="shared" si="10"/>
        <v>28.990438399999999</v>
      </c>
      <c r="X18" s="8">
        <f t="shared" si="11"/>
        <v>37.273420799999997</v>
      </c>
      <c r="Y18" s="8">
        <f t="shared" si="12"/>
        <v>41.414911999999994</v>
      </c>
      <c r="Z18" s="8">
        <f t="shared" si="13"/>
        <v>62.122367999999994</v>
      </c>
    </row>
    <row r="19" spans="1:26" x14ac:dyDescent="0.2">
      <c r="A19">
        <v>349359</v>
      </c>
      <c r="B19" t="s">
        <v>55</v>
      </c>
      <c r="C19" t="s">
        <v>56</v>
      </c>
      <c r="D19">
        <v>151</v>
      </c>
      <c r="E19" t="s">
        <v>22</v>
      </c>
      <c r="F19" t="s">
        <v>57</v>
      </c>
      <c r="G19" s="6">
        <v>16.63</v>
      </c>
      <c r="H19" s="6">
        <v>15.67</v>
      </c>
      <c r="I19" s="6">
        <v>0</v>
      </c>
      <c r="J19" s="4">
        <f t="shared" si="0"/>
        <v>1.7068000000000001</v>
      </c>
      <c r="K19" s="4">
        <f t="shared" si="1"/>
        <v>1.5528</v>
      </c>
      <c r="L19" s="4">
        <f t="shared" si="2"/>
        <v>1.3391999999999999</v>
      </c>
      <c r="M19" s="4">
        <f t="shared" si="3"/>
        <v>1.3391999999999999</v>
      </c>
      <c r="N19">
        <v>0</v>
      </c>
      <c r="O19" s="7">
        <v>2.99</v>
      </c>
      <c r="P19" s="7"/>
      <c r="Q19" s="8">
        <f t="shared" si="4"/>
        <v>31.374084000000003</v>
      </c>
      <c r="R19" s="8">
        <f t="shared" si="5"/>
        <v>39.895695120000006</v>
      </c>
      <c r="S19" s="8">
        <f t="shared" si="6"/>
        <v>40.412156400000001</v>
      </c>
      <c r="T19" s="8">
        <f t="shared" si="7"/>
        <v>52.032535199999998</v>
      </c>
      <c r="U19" s="8">
        <f t="shared" si="8"/>
        <v>57.197147999999999</v>
      </c>
      <c r="V19" s="8">
        <f t="shared" si="9"/>
        <v>83.020212000000001</v>
      </c>
      <c r="W19" s="8">
        <f t="shared" si="10"/>
        <v>29.379369599999997</v>
      </c>
      <c r="X19" s="8">
        <f t="shared" si="11"/>
        <v>37.7734752</v>
      </c>
      <c r="Y19" s="8">
        <f t="shared" si="12"/>
        <v>41.970528000000002</v>
      </c>
      <c r="Z19" s="8">
        <f t="shared" si="13"/>
        <v>62.955791999999995</v>
      </c>
    </row>
    <row r="20" spans="1:26" x14ac:dyDescent="0.2">
      <c r="A20">
        <v>373732</v>
      </c>
      <c r="B20" t="s">
        <v>58</v>
      </c>
      <c r="C20" t="s">
        <v>59</v>
      </c>
      <c r="D20">
        <v>4</v>
      </c>
      <c r="E20" t="s">
        <v>18</v>
      </c>
      <c r="F20" t="s">
        <v>26</v>
      </c>
      <c r="G20" s="6">
        <v>16.010000000000002</v>
      </c>
      <c r="H20" s="6">
        <v>15.09</v>
      </c>
      <c r="I20" s="6">
        <v>0</v>
      </c>
      <c r="J20" s="4">
        <f t="shared" si="0"/>
        <v>1.7024999999999999</v>
      </c>
      <c r="K20" s="4">
        <f t="shared" si="1"/>
        <v>1.5642</v>
      </c>
      <c r="L20" s="4">
        <f t="shared" si="2"/>
        <v>1.3552</v>
      </c>
      <c r="M20" s="4">
        <f t="shared" si="3"/>
        <v>1.3552</v>
      </c>
      <c r="N20">
        <v>0</v>
      </c>
      <c r="O20" s="7">
        <v>2.99</v>
      </c>
      <c r="P20" s="7"/>
      <c r="Q20" s="8">
        <f t="shared" si="4"/>
        <v>30.247025000000001</v>
      </c>
      <c r="R20" s="8">
        <f t="shared" si="5"/>
        <v>38.511162859999999</v>
      </c>
      <c r="S20" s="8">
        <f t="shared" si="6"/>
        <v>39.012019700000003</v>
      </c>
      <c r="T20" s="8">
        <f t="shared" si="7"/>
        <v>50.2812986</v>
      </c>
      <c r="U20" s="8">
        <f t="shared" si="8"/>
        <v>55.289867000000001</v>
      </c>
      <c r="V20" s="8">
        <f t="shared" si="9"/>
        <v>80.332709000000008</v>
      </c>
      <c r="W20" s="8">
        <f t="shared" si="10"/>
        <v>28.629955199999998</v>
      </c>
      <c r="X20" s="8">
        <f t="shared" si="11"/>
        <v>36.809942399999997</v>
      </c>
      <c r="Y20" s="8">
        <f t="shared" si="12"/>
        <v>40.899935999999997</v>
      </c>
      <c r="Z20" s="8">
        <f t="shared" si="13"/>
        <v>61.349903999999995</v>
      </c>
    </row>
    <row r="21" spans="1:26" x14ac:dyDescent="0.2">
      <c r="A21">
        <v>414172</v>
      </c>
      <c r="B21" t="s">
        <v>60</v>
      </c>
      <c r="C21" t="s">
        <v>61</v>
      </c>
      <c r="D21">
        <v>30</v>
      </c>
      <c r="E21" t="s">
        <v>18</v>
      </c>
      <c r="F21" t="s">
        <v>62</v>
      </c>
      <c r="G21" s="6">
        <v>17.04</v>
      </c>
      <c r="H21" s="6">
        <v>16.059999999999999</v>
      </c>
      <c r="I21" s="6">
        <v>0</v>
      </c>
      <c r="J21" s="4">
        <f t="shared" si="0"/>
        <v>1.7024999999999999</v>
      </c>
      <c r="K21" s="4">
        <f t="shared" si="1"/>
        <v>1.5642</v>
      </c>
      <c r="L21" s="4">
        <f t="shared" si="2"/>
        <v>1.3552</v>
      </c>
      <c r="M21" s="4">
        <f t="shared" si="3"/>
        <v>1.3552</v>
      </c>
      <c r="N21">
        <v>0</v>
      </c>
      <c r="O21" s="7">
        <v>2.99</v>
      </c>
      <c r="P21" s="7"/>
      <c r="Q21" s="8">
        <f t="shared" si="4"/>
        <v>32.000599999999999</v>
      </c>
      <c r="R21" s="8">
        <f t="shared" si="5"/>
        <v>40.796409439999998</v>
      </c>
      <c r="S21" s="8">
        <f t="shared" si="6"/>
        <v>41.3294888</v>
      </c>
      <c r="T21" s="8">
        <f t="shared" si="7"/>
        <v>53.323774399999998</v>
      </c>
      <c r="U21" s="8">
        <f t="shared" si="8"/>
        <v>58.654567999999998</v>
      </c>
      <c r="V21" s="8">
        <f t="shared" si="9"/>
        <v>85.308536000000004</v>
      </c>
      <c r="W21" s="8">
        <f t="shared" si="10"/>
        <v>30.470316799999996</v>
      </c>
      <c r="X21" s="8">
        <f t="shared" si="11"/>
        <v>39.176121599999995</v>
      </c>
      <c r="Y21" s="8">
        <f t="shared" si="12"/>
        <v>43.529023999999993</v>
      </c>
      <c r="Z21" s="8">
        <f t="shared" si="13"/>
        <v>65.293535999999989</v>
      </c>
    </row>
    <row r="22" spans="1:26" x14ac:dyDescent="0.2">
      <c r="A22">
        <v>449344</v>
      </c>
      <c r="B22" t="s">
        <v>63</v>
      </c>
      <c r="C22" t="s">
        <v>64</v>
      </c>
      <c r="D22">
        <v>22</v>
      </c>
      <c r="E22" t="s">
        <v>18</v>
      </c>
      <c r="F22" t="s">
        <v>62</v>
      </c>
      <c r="G22" s="6">
        <v>17.04</v>
      </c>
      <c r="H22" s="6">
        <v>16.059999999999999</v>
      </c>
      <c r="I22" s="6">
        <v>0</v>
      </c>
      <c r="J22" s="4">
        <f t="shared" si="0"/>
        <v>1.7024999999999999</v>
      </c>
      <c r="K22" s="4">
        <f t="shared" si="1"/>
        <v>1.5642</v>
      </c>
      <c r="L22" s="4">
        <f t="shared" si="2"/>
        <v>1.3552</v>
      </c>
      <c r="M22" s="4">
        <f t="shared" si="3"/>
        <v>1.3552</v>
      </c>
      <c r="N22">
        <v>0</v>
      </c>
      <c r="O22" s="7">
        <v>2.99</v>
      </c>
      <c r="P22" s="7"/>
      <c r="Q22" s="8">
        <f t="shared" si="4"/>
        <v>32.000599999999999</v>
      </c>
      <c r="R22" s="8">
        <f t="shared" si="5"/>
        <v>40.796409439999998</v>
      </c>
      <c r="S22" s="8">
        <f t="shared" si="6"/>
        <v>41.3294888</v>
      </c>
      <c r="T22" s="8">
        <f t="shared" si="7"/>
        <v>53.323774399999998</v>
      </c>
      <c r="U22" s="8">
        <f t="shared" si="8"/>
        <v>58.654567999999998</v>
      </c>
      <c r="V22" s="8">
        <f t="shared" si="9"/>
        <v>85.308536000000004</v>
      </c>
      <c r="W22" s="8">
        <f t="shared" si="10"/>
        <v>30.470316799999996</v>
      </c>
      <c r="X22" s="8">
        <f t="shared" si="11"/>
        <v>39.176121599999995</v>
      </c>
      <c r="Y22" s="8">
        <f t="shared" si="12"/>
        <v>43.529023999999993</v>
      </c>
      <c r="Z22" s="8">
        <f t="shared" si="13"/>
        <v>65.293535999999989</v>
      </c>
    </row>
    <row r="23" spans="1:26" x14ac:dyDescent="0.2">
      <c r="A23">
        <v>403690</v>
      </c>
      <c r="B23" t="s">
        <v>65</v>
      </c>
      <c r="C23" t="s">
        <v>66</v>
      </c>
      <c r="D23">
        <v>6</v>
      </c>
      <c r="E23" t="s">
        <v>18</v>
      </c>
      <c r="F23" t="s">
        <v>26</v>
      </c>
      <c r="G23" s="6">
        <v>16.010000000000002</v>
      </c>
      <c r="H23" s="6">
        <v>15.09</v>
      </c>
      <c r="I23" s="6">
        <v>0</v>
      </c>
      <c r="J23" s="4">
        <f t="shared" si="0"/>
        <v>1.7024999999999999</v>
      </c>
      <c r="K23" s="4">
        <f t="shared" si="1"/>
        <v>1.5642</v>
      </c>
      <c r="L23" s="4">
        <f t="shared" si="2"/>
        <v>1.3552</v>
      </c>
      <c r="M23" s="4">
        <f t="shared" si="3"/>
        <v>1.3552</v>
      </c>
      <c r="N23">
        <v>0</v>
      </c>
      <c r="O23" s="7">
        <v>2.99</v>
      </c>
      <c r="P23" s="7"/>
      <c r="Q23" s="8">
        <f t="shared" si="4"/>
        <v>30.247025000000001</v>
      </c>
      <c r="R23" s="8">
        <f t="shared" si="5"/>
        <v>38.511162859999999</v>
      </c>
      <c r="S23" s="8">
        <f t="shared" si="6"/>
        <v>39.012019700000003</v>
      </c>
      <c r="T23" s="8">
        <f t="shared" si="7"/>
        <v>50.2812986</v>
      </c>
      <c r="U23" s="8">
        <f t="shared" si="8"/>
        <v>55.289867000000001</v>
      </c>
      <c r="V23" s="8">
        <f t="shared" si="9"/>
        <v>80.332709000000008</v>
      </c>
      <c r="W23" s="8">
        <f t="shared" si="10"/>
        <v>28.629955199999998</v>
      </c>
      <c r="X23" s="8">
        <f t="shared" si="11"/>
        <v>36.809942399999997</v>
      </c>
      <c r="Y23" s="8">
        <f t="shared" si="12"/>
        <v>40.899935999999997</v>
      </c>
      <c r="Z23" s="8">
        <f t="shared" si="13"/>
        <v>61.349903999999995</v>
      </c>
    </row>
    <row r="24" spans="1:26" x14ac:dyDescent="0.2">
      <c r="A24">
        <v>326167</v>
      </c>
      <c r="B24" t="s">
        <v>67</v>
      </c>
      <c r="C24" t="s">
        <v>68</v>
      </c>
      <c r="D24">
        <v>121</v>
      </c>
      <c r="E24" t="s">
        <v>22</v>
      </c>
      <c r="F24" t="s">
        <v>69</v>
      </c>
      <c r="G24" s="6">
        <v>17.52</v>
      </c>
      <c r="H24" s="6">
        <v>16.510000000000002</v>
      </c>
      <c r="I24" s="6">
        <v>0</v>
      </c>
      <c r="J24" s="4">
        <f t="shared" si="0"/>
        <v>1.7068000000000001</v>
      </c>
      <c r="K24" s="4">
        <f t="shared" si="1"/>
        <v>1.5528</v>
      </c>
      <c r="L24" s="4">
        <f t="shared" si="2"/>
        <v>1.3391999999999999</v>
      </c>
      <c r="M24" s="4">
        <f t="shared" si="3"/>
        <v>1.3391999999999999</v>
      </c>
      <c r="N24">
        <v>0</v>
      </c>
      <c r="O24" s="7">
        <v>2.99</v>
      </c>
      <c r="P24" s="7"/>
      <c r="Q24" s="8">
        <f t="shared" si="4"/>
        <v>32.893135999999998</v>
      </c>
      <c r="R24" s="8">
        <f t="shared" si="5"/>
        <v>41.870804480000004</v>
      </c>
      <c r="S24" s="8">
        <f t="shared" si="6"/>
        <v>42.414905599999997</v>
      </c>
      <c r="T24" s="8">
        <f t="shared" si="7"/>
        <v>54.657180799999999</v>
      </c>
      <c r="U24" s="8">
        <f t="shared" si="8"/>
        <v>60.098191999999997</v>
      </c>
      <c r="V24" s="8">
        <f t="shared" si="9"/>
        <v>87.303247999999996</v>
      </c>
      <c r="W24" s="8">
        <f t="shared" si="10"/>
        <v>30.954268800000001</v>
      </c>
      <c r="X24" s="8">
        <f t="shared" si="11"/>
        <v>39.798345600000005</v>
      </c>
      <c r="Y24" s="8">
        <f t="shared" si="12"/>
        <v>44.220384000000003</v>
      </c>
      <c r="Z24" s="8">
        <f t="shared" si="13"/>
        <v>66.330575999999994</v>
      </c>
    </row>
    <row r="25" spans="1:26" x14ac:dyDescent="0.2">
      <c r="A25">
        <v>308621</v>
      </c>
      <c r="B25" t="s">
        <v>70</v>
      </c>
      <c r="C25" t="s">
        <v>71</v>
      </c>
      <c r="D25">
        <v>2</v>
      </c>
      <c r="E25" t="s">
        <v>18</v>
      </c>
      <c r="F25" t="s">
        <v>26</v>
      </c>
      <c r="G25" s="6">
        <v>16.010000000000002</v>
      </c>
      <c r="H25" s="6">
        <v>15.09</v>
      </c>
      <c r="I25" s="6">
        <v>0</v>
      </c>
      <c r="J25" s="4">
        <f t="shared" si="0"/>
        <v>1.7024999999999999</v>
      </c>
      <c r="K25" s="4">
        <f t="shared" si="1"/>
        <v>1.5642</v>
      </c>
      <c r="L25" s="4">
        <f t="shared" si="2"/>
        <v>1.3552</v>
      </c>
      <c r="M25" s="4">
        <f t="shared" si="3"/>
        <v>1.3552</v>
      </c>
      <c r="N25">
        <v>0</v>
      </c>
      <c r="O25" s="7">
        <v>2.99</v>
      </c>
      <c r="P25" s="7"/>
      <c r="Q25" s="8">
        <f t="shared" si="4"/>
        <v>30.247025000000001</v>
      </c>
      <c r="R25" s="8">
        <f t="shared" si="5"/>
        <v>38.511162859999999</v>
      </c>
      <c r="S25" s="8">
        <f t="shared" si="6"/>
        <v>39.012019700000003</v>
      </c>
      <c r="T25" s="8">
        <f t="shared" si="7"/>
        <v>50.2812986</v>
      </c>
      <c r="U25" s="8">
        <f t="shared" si="8"/>
        <v>55.289867000000001</v>
      </c>
      <c r="V25" s="8">
        <f t="shared" si="9"/>
        <v>80.332709000000008</v>
      </c>
      <c r="W25" s="8">
        <f t="shared" si="10"/>
        <v>28.629955199999998</v>
      </c>
      <c r="X25" s="8">
        <f t="shared" si="11"/>
        <v>36.809942399999997</v>
      </c>
      <c r="Y25" s="8">
        <f t="shared" si="12"/>
        <v>40.899935999999997</v>
      </c>
      <c r="Z25" s="8">
        <f t="shared" si="13"/>
        <v>61.349903999999995</v>
      </c>
    </row>
    <row r="26" spans="1:26" x14ac:dyDescent="0.2">
      <c r="A26">
        <v>451013</v>
      </c>
      <c r="B26" t="s">
        <v>72</v>
      </c>
      <c r="C26" t="s">
        <v>73</v>
      </c>
      <c r="D26">
        <v>15</v>
      </c>
      <c r="E26" t="s">
        <v>18</v>
      </c>
      <c r="F26" t="s">
        <v>26</v>
      </c>
      <c r="G26" s="6">
        <v>16.010000000000002</v>
      </c>
      <c r="H26" s="6">
        <v>15.09</v>
      </c>
      <c r="I26" s="6">
        <v>0</v>
      </c>
      <c r="J26" s="4">
        <f t="shared" si="0"/>
        <v>1.7024999999999999</v>
      </c>
      <c r="K26" s="4">
        <f t="shared" si="1"/>
        <v>1.5642</v>
      </c>
      <c r="L26" s="4">
        <f t="shared" si="2"/>
        <v>1.3552</v>
      </c>
      <c r="M26" s="4">
        <f t="shared" si="3"/>
        <v>1.3552</v>
      </c>
      <c r="N26">
        <v>0</v>
      </c>
      <c r="O26" s="7">
        <v>2.99</v>
      </c>
      <c r="P26" s="7"/>
      <c r="Q26" s="8">
        <f t="shared" si="4"/>
        <v>30.247025000000001</v>
      </c>
      <c r="R26" s="8">
        <f t="shared" si="5"/>
        <v>38.511162859999999</v>
      </c>
      <c r="S26" s="8">
        <f t="shared" si="6"/>
        <v>39.012019700000003</v>
      </c>
      <c r="T26" s="8">
        <f t="shared" si="7"/>
        <v>50.2812986</v>
      </c>
      <c r="U26" s="8">
        <f t="shared" si="8"/>
        <v>55.289867000000001</v>
      </c>
      <c r="V26" s="8">
        <f t="shared" si="9"/>
        <v>80.332709000000008</v>
      </c>
      <c r="W26" s="8">
        <f t="shared" si="10"/>
        <v>28.629955199999998</v>
      </c>
      <c r="X26" s="8">
        <f t="shared" si="11"/>
        <v>36.809942399999997</v>
      </c>
      <c r="Y26" s="8">
        <f t="shared" si="12"/>
        <v>40.899935999999997</v>
      </c>
      <c r="Z26" s="8">
        <f t="shared" si="13"/>
        <v>61.349903999999995</v>
      </c>
    </row>
    <row r="27" spans="1:26" x14ac:dyDescent="0.2">
      <c r="A27">
        <v>446563</v>
      </c>
      <c r="B27" t="s">
        <v>74</v>
      </c>
      <c r="C27" t="s">
        <v>75</v>
      </c>
      <c r="D27">
        <v>29</v>
      </c>
      <c r="E27" t="s">
        <v>18</v>
      </c>
      <c r="F27" t="s">
        <v>62</v>
      </c>
      <c r="G27" s="6">
        <v>17.04</v>
      </c>
      <c r="H27" s="6">
        <v>16.059999999999999</v>
      </c>
      <c r="I27" s="6">
        <v>0</v>
      </c>
      <c r="J27" s="4">
        <f t="shared" si="0"/>
        <v>1.7024999999999999</v>
      </c>
      <c r="K27" s="4">
        <f t="shared" si="1"/>
        <v>1.5642</v>
      </c>
      <c r="L27" s="4">
        <f t="shared" si="2"/>
        <v>1.3552</v>
      </c>
      <c r="M27" s="4">
        <f t="shared" si="3"/>
        <v>1.3552</v>
      </c>
      <c r="N27">
        <v>0</v>
      </c>
      <c r="O27" s="7">
        <v>2.99</v>
      </c>
      <c r="P27" s="7"/>
      <c r="Q27" s="8">
        <f t="shared" si="4"/>
        <v>32.000599999999999</v>
      </c>
      <c r="R27" s="8">
        <f t="shared" si="5"/>
        <v>40.796409439999998</v>
      </c>
      <c r="S27" s="8">
        <f t="shared" si="6"/>
        <v>41.3294888</v>
      </c>
      <c r="T27" s="8">
        <f t="shared" si="7"/>
        <v>53.323774399999998</v>
      </c>
      <c r="U27" s="8">
        <f t="shared" si="8"/>
        <v>58.654567999999998</v>
      </c>
      <c r="V27" s="8">
        <f t="shared" si="9"/>
        <v>85.308536000000004</v>
      </c>
      <c r="W27" s="8">
        <f t="shared" si="10"/>
        <v>30.470316799999996</v>
      </c>
      <c r="X27" s="8">
        <f t="shared" si="11"/>
        <v>39.176121599999995</v>
      </c>
      <c r="Y27" s="8">
        <f t="shared" si="12"/>
        <v>43.529023999999993</v>
      </c>
      <c r="Z27" s="8">
        <f t="shared" si="13"/>
        <v>65.293535999999989</v>
      </c>
    </row>
    <row r="28" spans="1:26" x14ac:dyDescent="0.2">
      <c r="A28">
        <v>440540</v>
      </c>
      <c r="B28" t="s">
        <v>76</v>
      </c>
      <c r="C28" t="s">
        <v>77</v>
      </c>
      <c r="D28">
        <v>43</v>
      </c>
      <c r="E28" t="s">
        <v>18</v>
      </c>
      <c r="F28" t="s">
        <v>43</v>
      </c>
      <c r="G28" s="6">
        <v>17.28</v>
      </c>
      <c r="H28" s="6">
        <v>16.29</v>
      </c>
      <c r="I28" s="6">
        <v>0</v>
      </c>
      <c r="J28" s="4">
        <f t="shared" si="0"/>
        <v>1.7024999999999999</v>
      </c>
      <c r="K28" s="4">
        <f t="shared" si="1"/>
        <v>1.5642</v>
      </c>
      <c r="L28" s="4">
        <f t="shared" si="2"/>
        <v>1.3552</v>
      </c>
      <c r="M28" s="4">
        <f t="shared" si="3"/>
        <v>1.3552</v>
      </c>
      <c r="N28">
        <v>0</v>
      </c>
      <c r="O28" s="7">
        <v>2.99</v>
      </c>
      <c r="P28" s="7"/>
      <c r="Q28" s="8">
        <f t="shared" si="4"/>
        <v>32.409199999999998</v>
      </c>
      <c r="R28" s="8">
        <f t="shared" si="5"/>
        <v>41.328894079999998</v>
      </c>
      <c r="S28" s="8">
        <f t="shared" si="6"/>
        <v>41.8694816</v>
      </c>
      <c r="T28" s="8">
        <f t="shared" si="7"/>
        <v>54.032700800000001</v>
      </c>
      <c r="U28" s="8">
        <f t="shared" si="8"/>
        <v>59.438575999999998</v>
      </c>
      <c r="V28" s="8">
        <f t="shared" si="9"/>
        <v>86.467951999999997</v>
      </c>
      <c r="W28" s="8">
        <f t="shared" si="10"/>
        <v>30.906691199999994</v>
      </c>
      <c r="X28" s="8">
        <f t="shared" si="11"/>
        <v>39.737174400000001</v>
      </c>
      <c r="Y28" s="8">
        <f t="shared" si="12"/>
        <v>44.152415999999995</v>
      </c>
      <c r="Z28" s="8">
        <f t="shared" si="13"/>
        <v>66.228623999999996</v>
      </c>
    </row>
    <row r="29" spans="1:26" x14ac:dyDescent="0.2">
      <c r="A29">
        <v>399664</v>
      </c>
      <c r="B29" t="s">
        <v>78</v>
      </c>
      <c r="C29" t="s">
        <v>79</v>
      </c>
      <c r="D29">
        <v>51</v>
      </c>
      <c r="E29" t="s">
        <v>18</v>
      </c>
      <c r="F29" t="s">
        <v>23</v>
      </c>
      <c r="G29" s="6">
        <v>16.22</v>
      </c>
      <c r="H29" s="6">
        <v>15.28</v>
      </c>
      <c r="I29" s="6">
        <v>0</v>
      </c>
      <c r="J29" s="4">
        <f t="shared" si="0"/>
        <v>1.7024999999999999</v>
      </c>
      <c r="K29" s="4">
        <f t="shared" si="1"/>
        <v>1.5642</v>
      </c>
      <c r="L29" s="4">
        <f t="shared" si="2"/>
        <v>1.3552</v>
      </c>
      <c r="M29" s="4">
        <f t="shared" si="3"/>
        <v>1.3552</v>
      </c>
      <c r="N29">
        <v>0</v>
      </c>
      <c r="O29" s="7">
        <v>2.99</v>
      </c>
      <c r="P29" s="7"/>
      <c r="Q29" s="8">
        <f t="shared" si="4"/>
        <v>30.604549999999996</v>
      </c>
      <c r="R29" s="8">
        <f t="shared" si="5"/>
        <v>38.977086919999998</v>
      </c>
      <c r="S29" s="8">
        <f t="shared" si="6"/>
        <v>39.484513399999997</v>
      </c>
      <c r="T29" s="8">
        <f t="shared" si="7"/>
        <v>50.901609199999996</v>
      </c>
      <c r="U29" s="8">
        <f t="shared" si="8"/>
        <v>55.97587399999999</v>
      </c>
      <c r="V29" s="8">
        <f t="shared" si="9"/>
        <v>81.347197999999992</v>
      </c>
      <c r="W29" s="8">
        <f t="shared" si="10"/>
        <v>28.990438399999999</v>
      </c>
      <c r="X29" s="8">
        <f t="shared" si="11"/>
        <v>37.273420799999997</v>
      </c>
      <c r="Y29" s="8">
        <f t="shared" si="12"/>
        <v>41.414911999999994</v>
      </c>
      <c r="Z29" s="8">
        <f t="shared" si="13"/>
        <v>62.122367999999994</v>
      </c>
    </row>
    <row r="30" spans="1:26" x14ac:dyDescent="0.2">
      <c r="A30">
        <v>456600</v>
      </c>
      <c r="B30" t="s">
        <v>80</v>
      </c>
      <c r="C30" t="s">
        <v>40</v>
      </c>
      <c r="D30">
        <v>5</v>
      </c>
      <c r="E30" t="s">
        <v>18</v>
      </c>
      <c r="F30" t="s">
        <v>26</v>
      </c>
      <c r="G30" s="6">
        <v>16.010000000000002</v>
      </c>
      <c r="H30" s="6">
        <v>15.09</v>
      </c>
      <c r="I30" s="6">
        <v>0</v>
      </c>
      <c r="J30" s="4">
        <f t="shared" si="0"/>
        <v>1.7024999999999999</v>
      </c>
      <c r="K30" s="4">
        <f t="shared" si="1"/>
        <v>1.5642</v>
      </c>
      <c r="L30" s="4">
        <f t="shared" si="2"/>
        <v>1.3552</v>
      </c>
      <c r="M30" s="4">
        <f t="shared" si="3"/>
        <v>1.3552</v>
      </c>
      <c r="N30">
        <v>0</v>
      </c>
      <c r="O30" s="7">
        <v>2.99</v>
      </c>
      <c r="P30" s="7"/>
      <c r="Q30" s="8">
        <f t="shared" si="4"/>
        <v>30.247025000000001</v>
      </c>
      <c r="R30" s="8">
        <f t="shared" si="5"/>
        <v>38.511162859999999</v>
      </c>
      <c r="S30" s="8">
        <f t="shared" si="6"/>
        <v>39.012019700000003</v>
      </c>
      <c r="T30" s="8">
        <f t="shared" si="7"/>
        <v>50.2812986</v>
      </c>
      <c r="U30" s="8">
        <f t="shared" si="8"/>
        <v>55.289867000000001</v>
      </c>
      <c r="V30" s="8">
        <f t="shared" si="9"/>
        <v>80.332709000000008</v>
      </c>
      <c r="W30" s="8">
        <f t="shared" si="10"/>
        <v>28.629955199999998</v>
      </c>
      <c r="X30" s="8">
        <f t="shared" si="11"/>
        <v>36.809942399999997</v>
      </c>
      <c r="Y30" s="8">
        <f t="shared" si="12"/>
        <v>40.899935999999997</v>
      </c>
      <c r="Z30" s="8">
        <f t="shared" si="13"/>
        <v>61.349903999999995</v>
      </c>
    </row>
    <row r="31" spans="1:26" x14ac:dyDescent="0.2">
      <c r="A31">
        <v>450962</v>
      </c>
      <c r="B31" t="s">
        <v>81</v>
      </c>
      <c r="C31" t="s">
        <v>82</v>
      </c>
      <c r="D31">
        <v>14</v>
      </c>
      <c r="E31" t="s">
        <v>18</v>
      </c>
      <c r="F31" t="s">
        <v>26</v>
      </c>
      <c r="G31" s="6">
        <v>16.010000000000002</v>
      </c>
      <c r="H31" s="6">
        <v>15.09</v>
      </c>
      <c r="I31" s="6">
        <v>0</v>
      </c>
      <c r="J31" s="4">
        <f t="shared" si="0"/>
        <v>1.7024999999999999</v>
      </c>
      <c r="K31" s="4">
        <f t="shared" si="1"/>
        <v>1.5642</v>
      </c>
      <c r="L31" s="4">
        <f t="shared" si="2"/>
        <v>1.3552</v>
      </c>
      <c r="M31" s="4">
        <f t="shared" si="3"/>
        <v>1.3552</v>
      </c>
      <c r="N31">
        <v>0</v>
      </c>
      <c r="O31" s="7">
        <v>2.99</v>
      </c>
      <c r="P31" s="7"/>
      <c r="Q31" s="8">
        <f t="shared" si="4"/>
        <v>30.247025000000001</v>
      </c>
      <c r="R31" s="8">
        <f t="shared" si="5"/>
        <v>38.511162859999999</v>
      </c>
      <c r="S31" s="8">
        <f t="shared" si="6"/>
        <v>39.012019700000003</v>
      </c>
      <c r="T31" s="8">
        <f t="shared" si="7"/>
        <v>50.2812986</v>
      </c>
      <c r="U31" s="8">
        <f t="shared" si="8"/>
        <v>55.289867000000001</v>
      </c>
      <c r="V31" s="8">
        <f t="shared" si="9"/>
        <v>80.332709000000008</v>
      </c>
      <c r="W31" s="8">
        <f t="shared" si="10"/>
        <v>28.629955199999998</v>
      </c>
      <c r="X31" s="8">
        <f t="shared" si="11"/>
        <v>36.809942399999997</v>
      </c>
      <c r="Y31" s="8">
        <f t="shared" si="12"/>
        <v>40.899935999999997</v>
      </c>
      <c r="Z31" s="8">
        <f t="shared" si="13"/>
        <v>61.349903999999995</v>
      </c>
    </row>
    <row r="32" spans="1:26" x14ac:dyDescent="0.2">
      <c r="A32">
        <v>413691</v>
      </c>
      <c r="B32" t="s">
        <v>83</v>
      </c>
      <c r="C32" t="s">
        <v>68</v>
      </c>
      <c r="D32">
        <v>50</v>
      </c>
      <c r="E32" t="s">
        <v>18</v>
      </c>
      <c r="F32" t="s">
        <v>43</v>
      </c>
      <c r="G32" s="6">
        <v>17.28</v>
      </c>
      <c r="H32" s="6">
        <v>16.29</v>
      </c>
      <c r="I32" s="6">
        <v>0</v>
      </c>
      <c r="J32" s="4">
        <f t="shared" si="0"/>
        <v>1.7024999999999999</v>
      </c>
      <c r="K32" s="4">
        <f t="shared" si="1"/>
        <v>1.5642</v>
      </c>
      <c r="L32" s="4">
        <f t="shared" si="2"/>
        <v>1.3552</v>
      </c>
      <c r="M32" s="4">
        <f t="shared" si="3"/>
        <v>1.3552</v>
      </c>
      <c r="N32">
        <v>0</v>
      </c>
      <c r="O32" s="7">
        <v>2.99</v>
      </c>
      <c r="P32" s="7"/>
      <c r="Q32" s="8">
        <f t="shared" si="4"/>
        <v>32.409199999999998</v>
      </c>
      <c r="R32" s="8">
        <f t="shared" si="5"/>
        <v>41.328894079999998</v>
      </c>
      <c r="S32" s="8">
        <f t="shared" si="6"/>
        <v>41.8694816</v>
      </c>
      <c r="T32" s="8">
        <f t="shared" si="7"/>
        <v>54.032700800000001</v>
      </c>
      <c r="U32" s="8">
        <f t="shared" si="8"/>
        <v>59.438575999999998</v>
      </c>
      <c r="V32" s="8">
        <f t="shared" si="9"/>
        <v>86.467951999999997</v>
      </c>
      <c r="W32" s="8">
        <f t="shared" si="10"/>
        <v>30.906691199999994</v>
      </c>
      <c r="X32" s="8">
        <f t="shared" si="11"/>
        <v>39.737174400000001</v>
      </c>
      <c r="Y32" s="8">
        <f t="shared" si="12"/>
        <v>44.152415999999995</v>
      </c>
      <c r="Z32" s="8">
        <f t="shared" si="13"/>
        <v>66.228623999999996</v>
      </c>
    </row>
    <row r="33" spans="1:26" x14ac:dyDescent="0.2">
      <c r="A33">
        <v>451815</v>
      </c>
      <c r="B33" t="s">
        <v>84</v>
      </c>
      <c r="C33" t="s">
        <v>85</v>
      </c>
      <c r="D33">
        <v>19</v>
      </c>
      <c r="E33" t="s">
        <v>18</v>
      </c>
      <c r="F33" t="s">
        <v>26</v>
      </c>
      <c r="G33" s="6">
        <v>16.010000000000002</v>
      </c>
      <c r="H33" s="6">
        <v>15.09</v>
      </c>
      <c r="I33" s="6">
        <v>0</v>
      </c>
      <c r="J33" s="4">
        <f t="shared" si="0"/>
        <v>1.7024999999999999</v>
      </c>
      <c r="K33" s="4">
        <f t="shared" si="1"/>
        <v>1.5642</v>
      </c>
      <c r="L33" s="4">
        <f t="shared" si="2"/>
        <v>1.3552</v>
      </c>
      <c r="M33" s="4">
        <f t="shared" si="3"/>
        <v>1.3552</v>
      </c>
      <c r="N33">
        <v>0</v>
      </c>
      <c r="O33" s="7">
        <v>2.99</v>
      </c>
      <c r="P33" s="7"/>
      <c r="Q33" s="8">
        <f t="shared" si="4"/>
        <v>30.247025000000001</v>
      </c>
      <c r="R33" s="8">
        <f t="shared" si="5"/>
        <v>38.511162859999999</v>
      </c>
      <c r="S33" s="8">
        <f t="shared" si="6"/>
        <v>39.012019700000003</v>
      </c>
      <c r="T33" s="8">
        <f t="shared" si="7"/>
        <v>50.2812986</v>
      </c>
      <c r="U33" s="8">
        <f t="shared" si="8"/>
        <v>55.289867000000001</v>
      </c>
      <c r="V33" s="8">
        <f t="shared" si="9"/>
        <v>80.332709000000008</v>
      </c>
      <c r="W33" s="8">
        <f t="shared" si="10"/>
        <v>28.629955199999998</v>
      </c>
      <c r="X33" s="8">
        <f t="shared" si="11"/>
        <v>36.809942399999997</v>
      </c>
      <c r="Y33" s="8">
        <f t="shared" si="12"/>
        <v>40.899935999999997</v>
      </c>
      <c r="Z33" s="8">
        <f t="shared" si="13"/>
        <v>61.349903999999995</v>
      </c>
    </row>
    <row r="34" spans="1:26" x14ac:dyDescent="0.2">
      <c r="A34">
        <v>456483</v>
      </c>
      <c r="B34" t="s">
        <v>86</v>
      </c>
      <c r="C34" t="s">
        <v>87</v>
      </c>
      <c r="D34">
        <v>6</v>
      </c>
      <c r="E34" t="s">
        <v>18</v>
      </c>
      <c r="F34" t="s">
        <v>26</v>
      </c>
      <c r="G34" s="6">
        <v>16.010000000000002</v>
      </c>
      <c r="H34" s="6">
        <v>15.09</v>
      </c>
      <c r="I34" s="6">
        <v>0</v>
      </c>
      <c r="J34" s="4">
        <f t="shared" si="0"/>
        <v>1.7024999999999999</v>
      </c>
      <c r="K34" s="4">
        <f t="shared" si="1"/>
        <v>1.5642</v>
      </c>
      <c r="L34" s="4">
        <f t="shared" si="2"/>
        <v>1.3552</v>
      </c>
      <c r="M34" s="4">
        <f t="shared" si="3"/>
        <v>1.3552</v>
      </c>
      <c r="N34">
        <v>0</v>
      </c>
      <c r="O34" s="7">
        <v>2.99</v>
      </c>
      <c r="P34" s="7"/>
      <c r="Q34" s="8">
        <f t="shared" si="4"/>
        <v>30.247025000000001</v>
      </c>
      <c r="R34" s="8">
        <f t="shared" si="5"/>
        <v>38.511162859999999</v>
      </c>
      <c r="S34" s="8">
        <f t="shared" si="6"/>
        <v>39.012019700000003</v>
      </c>
      <c r="T34" s="8">
        <f t="shared" si="7"/>
        <v>50.2812986</v>
      </c>
      <c r="U34" s="8">
        <f t="shared" si="8"/>
        <v>55.289867000000001</v>
      </c>
      <c r="V34" s="8">
        <f t="shared" si="9"/>
        <v>80.332709000000008</v>
      </c>
      <c r="W34" s="8">
        <f t="shared" si="10"/>
        <v>28.629955199999998</v>
      </c>
      <c r="X34" s="8">
        <f t="shared" si="11"/>
        <v>36.809942399999997</v>
      </c>
      <c r="Y34" s="8">
        <f t="shared" si="12"/>
        <v>40.899935999999997</v>
      </c>
      <c r="Z34" s="8">
        <f t="shared" si="13"/>
        <v>61.349903999999995</v>
      </c>
    </row>
    <row r="35" spans="1:26" x14ac:dyDescent="0.2">
      <c r="A35">
        <v>457228</v>
      </c>
      <c r="B35" t="s">
        <v>88</v>
      </c>
      <c r="C35" t="s">
        <v>89</v>
      </c>
      <c r="D35">
        <v>4</v>
      </c>
      <c r="E35" t="s">
        <v>18</v>
      </c>
      <c r="F35" t="s">
        <v>26</v>
      </c>
      <c r="G35" s="6">
        <v>16.010000000000002</v>
      </c>
      <c r="H35" s="6">
        <v>15.09</v>
      </c>
      <c r="I35" s="6">
        <v>0</v>
      </c>
      <c r="J35" s="4">
        <f t="shared" si="0"/>
        <v>1.7024999999999999</v>
      </c>
      <c r="K35" s="4">
        <f t="shared" si="1"/>
        <v>1.5642</v>
      </c>
      <c r="L35" s="4">
        <f t="shared" si="2"/>
        <v>1.3552</v>
      </c>
      <c r="M35" s="4">
        <f t="shared" si="3"/>
        <v>1.3552</v>
      </c>
      <c r="N35">
        <v>0</v>
      </c>
      <c r="O35" s="7">
        <v>2.99</v>
      </c>
      <c r="P35" s="7"/>
      <c r="Q35" s="8">
        <f t="shared" si="4"/>
        <v>30.247025000000001</v>
      </c>
      <c r="R35" s="8">
        <f t="shared" si="5"/>
        <v>38.511162859999999</v>
      </c>
      <c r="S35" s="8">
        <f t="shared" si="6"/>
        <v>39.012019700000003</v>
      </c>
      <c r="T35" s="8">
        <f t="shared" si="7"/>
        <v>50.2812986</v>
      </c>
      <c r="U35" s="8">
        <f t="shared" si="8"/>
        <v>55.289867000000001</v>
      </c>
      <c r="V35" s="8">
        <f t="shared" si="9"/>
        <v>80.332709000000008</v>
      </c>
      <c r="W35" s="8">
        <f t="shared" si="10"/>
        <v>28.629955199999998</v>
      </c>
      <c r="X35" s="8">
        <f t="shared" si="11"/>
        <v>36.809942399999997</v>
      </c>
      <c r="Y35" s="8">
        <f t="shared" si="12"/>
        <v>40.899935999999997</v>
      </c>
      <c r="Z35" s="8">
        <f t="shared" si="13"/>
        <v>61.349903999999995</v>
      </c>
    </row>
    <row r="36" spans="1:26" x14ac:dyDescent="0.2">
      <c r="A36">
        <v>457423</v>
      </c>
      <c r="B36" t="s">
        <v>90</v>
      </c>
      <c r="C36" t="s">
        <v>91</v>
      </c>
      <c r="D36">
        <v>4</v>
      </c>
      <c r="E36" t="s">
        <v>18</v>
      </c>
      <c r="F36" t="s">
        <v>26</v>
      </c>
      <c r="G36" s="6">
        <v>16.010000000000002</v>
      </c>
      <c r="H36" s="6">
        <v>15.09</v>
      </c>
      <c r="I36" s="6">
        <v>0</v>
      </c>
      <c r="J36" s="4">
        <f t="shared" si="0"/>
        <v>1.7024999999999999</v>
      </c>
      <c r="K36" s="4">
        <f t="shared" si="1"/>
        <v>1.5642</v>
      </c>
      <c r="L36" s="4">
        <f t="shared" si="2"/>
        <v>1.3552</v>
      </c>
      <c r="M36" s="4">
        <f t="shared" si="3"/>
        <v>1.3552</v>
      </c>
      <c r="N36">
        <v>0</v>
      </c>
      <c r="O36" s="7">
        <v>2.99</v>
      </c>
      <c r="P36" s="7"/>
      <c r="Q36" s="8">
        <f t="shared" si="4"/>
        <v>30.247025000000001</v>
      </c>
      <c r="R36" s="8">
        <f t="shared" si="5"/>
        <v>38.511162859999999</v>
      </c>
      <c r="S36" s="8">
        <f t="shared" si="6"/>
        <v>39.012019700000003</v>
      </c>
      <c r="T36" s="8">
        <f t="shared" si="7"/>
        <v>50.2812986</v>
      </c>
      <c r="U36" s="8">
        <f t="shared" si="8"/>
        <v>55.289867000000001</v>
      </c>
      <c r="V36" s="8">
        <f t="shared" si="9"/>
        <v>80.332709000000008</v>
      </c>
      <c r="W36" s="8">
        <f t="shared" si="10"/>
        <v>28.629955199999998</v>
      </c>
      <c r="X36" s="8">
        <f t="shared" si="11"/>
        <v>36.809942399999997</v>
      </c>
      <c r="Y36" s="8">
        <f t="shared" si="12"/>
        <v>40.899935999999997</v>
      </c>
      <c r="Z36" s="8">
        <f t="shared" si="13"/>
        <v>61.349903999999995</v>
      </c>
    </row>
    <row r="37" spans="1:26" x14ac:dyDescent="0.2">
      <c r="A37">
        <v>429969</v>
      </c>
      <c r="B37" t="s">
        <v>92</v>
      </c>
      <c r="C37" t="s">
        <v>93</v>
      </c>
      <c r="D37">
        <v>34</v>
      </c>
      <c r="E37" t="s">
        <v>18</v>
      </c>
      <c r="F37" t="s">
        <v>23</v>
      </c>
      <c r="G37" s="6">
        <v>16.22</v>
      </c>
      <c r="H37" s="6">
        <v>15.28</v>
      </c>
      <c r="I37" s="6">
        <v>0</v>
      </c>
      <c r="J37" s="4">
        <f t="shared" si="0"/>
        <v>1.7024999999999999</v>
      </c>
      <c r="K37" s="4">
        <f t="shared" si="1"/>
        <v>1.5642</v>
      </c>
      <c r="L37" s="4">
        <f t="shared" si="2"/>
        <v>1.3552</v>
      </c>
      <c r="M37" s="4">
        <f t="shared" si="3"/>
        <v>1.3552</v>
      </c>
      <c r="N37">
        <v>0</v>
      </c>
      <c r="O37" s="7">
        <v>2.99</v>
      </c>
      <c r="P37" s="7"/>
      <c r="Q37" s="8">
        <f t="shared" si="4"/>
        <v>30.604549999999996</v>
      </c>
      <c r="R37" s="8">
        <f t="shared" si="5"/>
        <v>38.977086919999998</v>
      </c>
      <c r="S37" s="8">
        <f t="shared" si="6"/>
        <v>39.484513399999997</v>
      </c>
      <c r="T37" s="8">
        <f t="shared" si="7"/>
        <v>50.901609199999996</v>
      </c>
      <c r="U37" s="8">
        <f t="shared" si="8"/>
        <v>55.97587399999999</v>
      </c>
      <c r="V37" s="8">
        <f t="shared" si="9"/>
        <v>81.347197999999992</v>
      </c>
      <c r="W37" s="8">
        <f t="shared" si="10"/>
        <v>28.990438399999999</v>
      </c>
      <c r="X37" s="8">
        <f t="shared" si="11"/>
        <v>37.273420799999997</v>
      </c>
      <c r="Y37" s="8">
        <f t="shared" si="12"/>
        <v>41.414911999999994</v>
      </c>
      <c r="Z37" s="8">
        <f t="shared" si="13"/>
        <v>62.122367999999994</v>
      </c>
    </row>
    <row r="38" spans="1:26" x14ac:dyDescent="0.2">
      <c r="A38">
        <v>453177</v>
      </c>
      <c r="B38" t="s">
        <v>94</v>
      </c>
      <c r="C38" t="s">
        <v>75</v>
      </c>
      <c r="D38">
        <v>6</v>
      </c>
      <c r="E38" t="s">
        <v>18</v>
      </c>
      <c r="F38" t="s">
        <v>26</v>
      </c>
      <c r="G38" s="6">
        <v>16.010000000000002</v>
      </c>
      <c r="H38" s="6">
        <v>15.09</v>
      </c>
      <c r="I38" s="6">
        <v>0</v>
      </c>
      <c r="J38" s="4">
        <f t="shared" si="0"/>
        <v>1.7024999999999999</v>
      </c>
      <c r="K38" s="4">
        <f t="shared" si="1"/>
        <v>1.5642</v>
      </c>
      <c r="L38" s="4">
        <f t="shared" si="2"/>
        <v>1.3552</v>
      </c>
      <c r="M38" s="4">
        <f t="shared" si="3"/>
        <v>1.3552</v>
      </c>
      <c r="N38">
        <v>0</v>
      </c>
      <c r="O38" s="7">
        <v>2.99</v>
      </c>
      <c r="P38" s="7"/>
      <c r="Q38" s="8">
        <f t="shared" si="4"/>
        <v>30.247025000000001</v>
      </c>
      <c r="R38" s="8">
        <f t="shared" si="5"/>
        <v>38.511162859999999</v>
      </c>
      <c r="S38" s="8">
        <f t="shared" si="6"/>
        <v>39.012019700000003</v>
      </c>
      <c r="T38" s="8">
        <f t="shared" si="7"/>
        <v>50.2812986</v>
      </c>
      <c r="U38" s="8">
        <f t="shared" si="8"/>
        <v>55.289867000000001</v>
      </c>
      <c r="V38" s="8">
        <f t="shared" si="9"/>
        <v>80.332709000000008</v>
      </c>
      <c r="W38" s="8">
        <f t="shared" si="10"/>
        <v>28.629955199999998</v>
      </c>
      <c r="X38" s="8">
        <f t="shared" si="11"/>
        <v>36.809942399999997</v>
      </c>
      <c r="Y38" s="8">
        <f t="shared" si="12"/>
        <v>40.899935999999997</v>
      </c>
      <c r="Z38" s="8">
        <f t="shared" si="13"/>
        <v>61.349903999999995</v>
      </c>
    </row>
    <row r="39" spans="1:26" x14ac:dyDescent="0.2">
      <c r="A39">
        <v>456329</v>
      </c>
      <c r="B39" t="s">
        <v>95</v>
      </c>
      <c r="C39" t="s">
        <v>96</v>
      </c>
      <c r="D39">
        <v>3</v>
      </c>
      <c r="E39" t="s">
        <v>18</v>
      </c>
      <c r="F39" t="s">
        <v>26</v>
      </c>
      <c r="G39" s="6">
        <v>16.010000000000002</v>
      </c>
      <c r="H39" s="6">
        <v>15.09</v>
      </c>
      <c r="I39" s="6">
        <v>0</v>
      </c>
      <c r="J39" s="4">
        <f t="shared" si="0"/>
        <v>1.7024999999999999</v>
      </c>
      <c r="K39" s="4">
        <f t="shared" si="1"/>
        <v>1.5642</v>
      </c>
      <c r="L39" s="4">
        <f t="shared" si="2"/>
        <v>1.3552</v>
      </c>
      <c r="M39" s="4">
        <f t="shared" si="3"/>
        <v>1.3552</v>
      </c>
      <c r="N39">
        <v>0</v>
      </c>
      <c r="O39" s="7">
        <v>2.99</v>
      </c>
      <c r="P39" s="7"/>
      <c r="Q39" s="8">
        <f t="shared" si="4"/>
        <v>30.247025000000001</v>
      </c>
      <c r="R39" s="8">
        <f t="shared" si="5"/>
        <v>38.511162859999999</v>
      </c>
      <c r="S39" s="8">
        <f t="shared" si="6"/>
        <v>39.012019700000003</v>
      </c>
      <c r="T39" s="8">
        <f t="shared" si="7"/>
        <v>50.2812986</v>
      </c>
      <c r="U39" s="8">
        <f t="shared" si="8"/>
        <v>55.289867000000001</v>
      </c>
      <c r="V39" s="8">
        <f t="shared" si="9"/>
        <v>80.332709000000008</v>
      </c>
      <c r="W39" s="8">
        <f t="shared" si="10"/>
        <v>28.629955199999998</v>
      </c>
      <c r="X39" s="8">
        <f t="shared" si="11"/>
        <v>36.809942399999997</v>
      </c>
      <c r="Y39" s="8">
        <f t="shared" si="12"/>
        <v>40.899935999999997</v>
      </c>
      <c r="Z39" s="8">
        <f t="shared" si="13"/>
        <v>61.349903999999995</v>
      </c>
    </row>
    <row r="40" spans="1:26" x14ac:dyDescent="0.2">
      <c r="A40">
        <v>423898</v>
      </c>
      <c r="B40" t="s">
        <v>97</v>
      </c>
      <c r="C40" t="s">
        <v>98</v>
      </c>
      <c r="D40">
        <v>72</v>
      </c>
      <c r="E40" t="s">
        <v>22</v>
      </c>
      <c r="F40" t="s">
        <v>43</v>
      </c>
      <c r="G40" s="6">
        <v>17.28</v>
      </c>
      <c r="H40" s="6">
        <v>16.29</v>
      </c>
      <c r="I40" s="6">
        <v>0</v>
      </c>
      <c r="J40" s="4">
        <f t="shared" si="0"/>
        <v>1.7068000000000001</v>
      </c>
      <c r="K40" s="4">
        <f t="shared" si="1"/>
        <v>1.5528</v>
      </c>
      <c r="L40" s="4">
        <f t="shared" si="2"/>
        <v>1.3391999999999999</v>
      </c>
      <c r="M40" s="4">
        <f t="shared" si="3"/>
        <v>1.3391999999999999</v>
      </c>
      <c r="N40">
        <v>0</v>
      </c>
      <c r="O40" s="7">
        <v>2.99</v>
      </c>
      <c r="P40" s="7"/>
      <c r="Q40" s="8">
        <f t="shared" si="4"/>
        <v>32.483504000000003</v>
      </c>
      <c r="R40" s="8">
        <f t="shared" si="5"/>
        <v>41.338190720000007</v>
      </c>
      <c r="S40" s="8">
        <f t="shared" si="6"/>
        <v>41.874838400000009</v>
      </c>
      <c r="T40" s="8">
        <f t="shared" si="7"/>
        <v>53.9494112</v>
      </c>
      <c r="U40" s="8">
        <f t="shared" si="8"/>
        <v>59.315888000000001</v>
      </c>
      <c r="V40" s="8">
        <f t="shared" si="9"/>
        <v>86.148272000000006</v>
      </c>
      <c r="W40" s="8">
        <f t="shared" si="10"/>
        <v>30.541795199999996</v>
      </c>
      <c r="X40" s="8">
        <f t="shared" si="11"/>
        <v>39.2680224</v>
      </c>
      <c r="Y40" s="8">
        <f t="shared" si="12"/>
        <v>43.631135999999998</v>
      </c>
      <c r="Z40" s="8">
        <f t="shared" si="13"/>
        <v>65.446703999999997</v>
      </c>
    </row>
    <row r="41" spans="1:26" x14ac:dyDescent="0.2">
      <c r="A41">
        <v>416718</v>
      </c>
      <c r="B41" t="s">
        <v>99</v>
      </c>
      <c r="C41" t="s">
        <v>100</v>
      </c>
      <c r="D41">
        <v>39</v>
      </c>
      <c r="E41" t="s">
        <v>18</v>
      </c>
      <c r="F41" t="s">
        <v>43</v>
      </c>
      <c r="G41" s="6">
        <v>17.28</v>
      </c>
      <c r="H41" s="6">
        <v>16.29</v>
      </c>
      <c r="I41" s="6">
        <v>0</v>
      </c>
      <c r="J41" s="4">
        <f t="shared" si="0"/>
        <v>1.7024999999999999</v>
      </c>
      <c r="K41" s="4">
        <f t="shared" si="1"/>
        <v>1.5642</v>
      </c>
      <c r="L41" s="4">
        <f t="shared" si="2"/>
        <v>1.3552</v>
      </c>
      <c r="M41" s="4">
        <f t="shared" si="3"/>
        <v>1.3552</v>
      </c>
      <c r="N41">
        <v>0</v>
      </c>
      <c r="O41" s="7">
        <v>2.99</v>
      </c>
      <c r="P41" s="7"/>
      <c r="Q41" s="8">
        <f t="shared" si="4"/>
        <v>32.409199999999998</v>
      </c>
      <c r="R41" s="8">
        <f t="shared" si="5"/>
        <v>41.328894079999998</v>
      </c>
      <c r="S41" s="8">
        <f t="shared" si="6"/>
        <v>41.8694816</v>
      </c>
      <c r="T41" s="8">
        <f t="shared" si="7"/>
        <v>54.032700800000001</v>
      </c>
      <c r="U41" s="8">
        <f t="shared" si="8"/>
        <v>59.438575999999998</v>
      </c>
      <c r="V41" s="8">
        <f t="shared" si="9"/>
        <v>86.467951999999997</v>
      </c>
      <c r="W41" s="8">
        <f t="shared" si="10"/>
        <v>30.906691199999994</v>
      </c>
      <c r="X41" s="8">
        <f t="shared" si="11"/>
        <v>39.737174400000001</v>
      </c>
      <c r="Y41" s="8">
        <f t="shared" si="12"/>
        <v>44.152415999999995</v>
      </c>
      <c r="Z41" s="8">
        <f t="shared" si="13"/>
        <v>66.228623999999996</v>
      </c>
    </row>
    <row r="42" spans="1:26" x14ac:dyDescent="0.2">
      <c r="A42">
        <v>442415</v>
      </c>
      <c r="B42" t="s">
        <v>101</v>
      </c>
      <c r="C42" t="s">
        <v>102</v>
      </c>
      <c r="D42">
        <v>124</v>
      </c>
      <c r="E42" t="s">
        <v>22</v>
      </c>
      <c r="F42" t="s">
        <v>103</v>
      </c>
      <c r="G42" s="6">
        <v>16.43</v>
      </c>
      <c r="H42" s="6">
        <v>15.47</v>
      </c>
      <c r="I42" s="6">
        <v>0</v>
      </c>
      <c r="J42" s="4">
        <f t="shared" si="0"/>
        <v>1.7068000000000001</v>
      </c>
      <c r="K42" s="4">
        <f t="shared" si="1"/>
        <v>1.5528</v>
      </c>
      <c r="L42" s="4">
        <f t="shared" si="2"/>
        <v>1.3391999999999999</v>
      </c>
      <c r="M42" s="4">
        <f t="shared" si="3"/>
        <v>1.3391999999999999</v>
      </c>
      <c r="N42">
        <v>0</v>
      </c>
      <c r="O42" s="7">
        <v>2.99</v>
      </c>
      <c r="P42" s="7"/>
      <c r="Q42" s="8">
        <f t="shared" si="4"/>
        <v>31.032724000000002</v>
      </c>
      <c r="R42" s="8">
        <f t="shared" si="5"/>
        <v>39.451850320000005</v>
      </c>
      <c r="S42" s="8">
        <f t="shared" si="6"/>
        <v>39.962100400000004</v>
      </c>
      <c r="T42" s="8">
        <f t="shared" si="7"/>
        <v>51.4427272</v>
      </c>
      <c r="U42" s="8">
        <f t="shared" si="8"/>
        <v>56.545228000000002</v>
      </c>
      <c r="V42" s="8">
        <f t="shared" si="9"/>
        <v>82.057732000000001</v>
      </c>
      <c r="W42" s="8">
        <f t="shared" si="10"/>
        <v>29.0043936</v>
      </c>
      <c r="X42" s="8">
        <f t="shared" si="11"/>
        <v>37.291363199999999</v>
      </c>
      <c r="Y42" s="8">
        <f t="shared" si="12"/>
        <v>41.434848000000002</v>
      </c>
      <c r="Z42" s="8">
        <f t="shared" si="13"/>
        <v>62.152272000000004</v>
      </c>
    </row>
    <row r="43" spans="1:26" x14ac:dyDescent="0.2">
      <c r="A43">
        <v>374420</v>
      </c>
      <c r="B43" t="s">
        <v>104</v>
      </c>
      <c r="C43" t="s">
        <v>105</v>
      </c>
      <c r="D43">
        <v>274</v>
      </c>
      <c r="E43" t="s">
        <v>27</v>
      </c>
      <c r="F43" t="s">
        <v>106</v>
      </c>
      <c r="G43" s="6">
        <v>17.04</v>
      </c>
      <c r="H43" s="6">
        <v>16.07</v>
      </c>
      <c r="I43" s="6">
        <v>0</v>
      </c>
      <c r="J43" s="4">
        <f t="shared" si="0"/>
        <v>1.6496999999999999</v>
      </c>
      <c r="K43" s="4">
        <f t="shared" si="1"/>
        <v>1.5022</v>
      </c>
      <c r="L43" s="4">
        <f t="shared" si="2"/>
        <v>1.2898000000000001</v>
      </c>
      <c r="M43" s="4">
        <f t="shared" si="3"/>
        <v>1.2898000000000001</v>
      </c>
      <c r="N43">
        <v>0</v>
      </c>
      <c r="O43" s="7">
        <v>2.99</v>
      </c>
      <c r="P43" s="7"/>
      <c r="Q43" s="8">
        <f t="shared" si="4"/>
        <v>31.100887999999998</v>
      </c>
      <c r="R43" s="8">
        <f t="shared" si="5"/>
        <v>39.548059039999998</v>
      </c>
      <c r="S43" s="8">
        <f t="shared" si="6"/>
        <v>40.060008799999999</v>
      </c>
      <c r="T43" s="8">
        <f t="shared" si="7"/>
        <v>51.578878399999994</v>
      </c>
      <c r="U43" s="8">
        <f t="shared" si="8"/>
        <v>56.698375999999996</v>
      </c>
      <c r="V43" s="8">
        <f t="shared" si="9"/>
        <v>82.295863999999995</v>
      </c>
      <c r="W43" s="8">
        <f t="shared" si="10"/>
        <v>29.017920399999998</v>
      </c>
      <c r="X43" s="8">
        <f t="shared" si="11"/>
        <v>37.308754800000003</v>
      </c>
      <c r="Y43" s="8">
        <f t="shared" si="12"/>
        <v>41.454172</v>
      </c>
      <c r="Z43" s="8">
        <f t="shared" si="13"/>
        <v>62.181258000000007</v>
      </c>
    </row>
    <row r="44" spans="1:26" x14ac:dyDescent="0.2">
      <c r="A44">
        <v>374795</v>
      </c>
      <c r="B44" t="s">
        <v>107</v>
      </c>
      <c r="C44" t="s">
        <v>108</v>
      </c>
      <c r="D44">
        <v>113</v>
      </c>
      <c r="E44" t="s">
        <v>22</v>
      </c>
      <c r="F44" t="s">
        <v>103</v>
      </c>
      <c r="G44" s="6">
        <v>16.43</v>
      </c>
      <c r="H44" s="6">
        <v>15.47</v>
      </c>
      <c r="I44" s="6">
        <v>0</v>
      </c>
      <c r="J44" s="4">
        <f t="shared" si="0"/>
        <v>1.7068000000000001</v>
      </c>
      <c r="K44" s="4">
        <f t="shared" si="1"/>
        <v>1.5528</v>
      </c>
      <c r="L44" s="4">
        <f t="shared" si="2"/>
        <v>1.3391999999999999</v>
      </c>
      <c r="M44" s="4">
        <f t="shared" si="3"/>
        <v>1.3391999999999999</v>
      </c>
      <c r="N44">
        <v>0</v>
      </c>
      <c r="O44" s="7">
        <v>2.99</v>
      </c>
      <c r="P44" s="7"/>
      <c r="Q44" s="8">
        <f t="shared" si="4"/>
        <v>31.032724000000002</v>
      </c>
      <c r="R44" s="8">
        <f t="shared" si="5"/>
        <v>39.451850320000005</v>
      </c>
      <c r="S44" s="8">
        <f t="shared" si="6"/>
        <v>39.962100400000004</v>
      </c>
      <c r="T44" s="8">
        <f t="shared" si="7"/>
        <v>51.4427272</v>
      </c>
      <c r="U44" s="8">
        <f t="shared" si="8"/>
        <v>56.545228000000002</v>
      </c>
      <c r="V44" s="8">
        <f t="shared" si="9"/>
        <v>82.057732000000001</v>
      </c>
      <c r="W44" s="8">
        <f t="shared" si="10"/>
        <v>29.0043936</v>
      </c>
      <c r="X44" s="8">
        <f t="shared" si="11"/>
        <v>37.291363199999999</v>
      </c>
      <c r="Y44" s="8">
        <f t="shared" si="12"/>
        <v>41.434848000000002</v>
      </c>
      <c r="Z44" s="8">
        <f t="shared" si="13"/>
        <v>62.152272000000004</v>
      </c>
    </row>
    <row r="45" spans="1:26" x14ac:dyDescent="0.2">
      <c r="A45">
        <v>371131</v>
      </c>
      <c r="B45" t="s">
        <v>109</v>
      </c>
      <c r="C45" t="s">
        <v>110</v>
      </c>
      <c r="D45">
        <v>151</v>
      </c>
      <c r="E45" t="s">
        <v>22</v>
      </c>
      <c r="F45" t="s">
        <v>111</v>
      </c>
      <c r="G45" s="6">
        <v>17.75</v>
      </c>
      <c r="H45" s="6">
        <v>16.739999999999998</v>
      </c>
      <c r="I45" s="6">
        <v>0</v>
      </c>
      <c r="J45" s="4">
        <f t="shared" si="0"/>
        <v>1.7068000000000001</v>
      </c>
      <c r="K45" s="4">
        <f t="shared" si="1"/>
        <v>1.5528</v>
      </c>
      <c r="L45" s="4">
        <f t="shared" si="2"/>
        <v>1.3391999999999999</v>
      </c>
      <c r="M45" s="4">
        <f t="shared" si="3"/>
        <v>1.3391999999999999</v>
      </c>
      <c r="N45">
        <v>0</v>
      </c>
      <c r="O45" s="7">
        <v>2.99</v>
      </c>
      <c r="P45" s="7"/>
      <c r="Q45" s="8">
        <f t="shared" si="4"/>
        <v>33.285699999999999</v>
      </c>
      <c r="R45" s="8">
        <f t="shared" si="5"/>
        <v>42.381225999999998</v>
      </c>
      <c r="S45" s="8">
        <f t="shared" si="6"/>
        <v>42.932470000000002</v>
      </c>
      <c r="T45" s="8">
        <f t="shared" si="7"/>
        <v>55.335459999999998</v>
      </c>
      <c r="U45" s="8">
        <f t="shared" si="8"/>
        <v>60.847899999999996</v>
      </c>
      <c r="V45" s="8">
        <f t="shared" si="9"/>
        <v>88.4101</v>
      </c>
      <c r="W45" s="8">
        <f t="shared" si="10"/>
        <v>31.385491199999993</v>
      </c>
      <c r="X45" s="8">
        <f t="shared" si="11"/>
        <v>40.352774399999994</v>
      </c>
      <c r="Y45" s="8">
        <f t="shared" si="12"/>
        <v>44.836415999999993</v>
      </c>
      <c r="Z45" s="8">
        <f t="shared" si="13"/>
        <v>67.254623999999993</v>
      </c>
    </row>
    <row r="46" spans="1:26" x14ac:dyDescent="0.2">
      <c r="A46">
        <v>449771</v>
      </c>
      <c r="B46" t="s">
        <v>112</v>
      </c>
      <c r="C46" t="s">
        <v>113</v>
      </c>
      <c r="D46">
        <v>23</v>
      </c>
      <c r="E46" t="s">
        <v>18</v>
      </c>
      <c r="F46" t="s">
        <v>62</v>
      </c>
      <c r="G46" s="6">
        <v>17.04</v>
      </c>
      <c r="H46" s="6">
        <v>16.059999999999999</v>
      </c>
      <c r="I46" s="6">
        <v>0</v>
      </c>
      <c r="J46" s="4">
        <f t="shared" si="0"/>
        <v>1.7024999999999999</v>
      </c>
      <c r="K46" s="4">
        <f t="shared" si="1"/>
        <v>1.5642</v>
      </c>
      <c r="L46" s="4">
        <f t="shared" si="2"/>
        <v>1.3552</v>
      </c>
      <c r="M46" s="4">
        <f t="shared" si="3"/>
        <v>1.3552</v>
      </c>
      <c r="N46">
        <v>0</v>
      </c>
      <c r="O46" s="7">
        <v>2.99</v>
      </c>
      <c r="P46" s="7"/>
      <c r="Q46" s="8">
        <f t="shared" si="4"/>
        <v>32.000599999999999</v>
      </c>
      <c r="R46" s="8">
        <f t="shared" si="5"/>
        <v>40.796409439999998</v>
      </c>
      <c r="S46" s="8">
        <f t="shared" si="6"/>
        <v>41.3294888</v>
      </c>
      <c r="T46" s="8">
        <f t="shared" si="7"/>
        <v>53.323774399999998</v>
      </c>
      <c r="U46" s="8">
        <f t="shared" si="8"/>
        <v>58.654567999999998</v>
      </c>
      <c r="V46" s="8">
        <f t="shared" si="9"/>
        <v>85.308536000000004</v>
      </c>
      <c r="W46" s="8">
        <f t="shared" si="10"/>
        <v>30.470316799999996</v>
      </c>
      <c r="X46" s="8">
        <f t="shared" si="11"/>
        <v>39.176121599999995</v>
      </c>
      <c r="Y46" s="8">
        <f t="shared" si="12"/>
        <v>43.529023999999993</v>
      </c>
      <c r="Z46" s="8">
        <f t="shared" si="13"/>
        <v>65.293535999999989</v>
      </c>
    </row>
    <row r="47" spans="1:26" x14ac:dyDescent="0.2">
      <c r="A47">
        <v>456663</v>
      </c>
      <c r="B47" t="s">
        <v>114</v>
      </c>
      <c r="C47" t="s">
        <v>115</v>
      </c>
      <c r="D47">
        <v>1</v>
      </c>
      <c r="E47" t="s">
        <v>18</v>
      </c>
      <c r="F47" t="s">
        <v>26</v>
      </c>
      <c r="G47" s="6">
        <v>16.010000000000002</v>
      </c>
      <c r="H47" s="6">
        <v>15.09</v>
      </c>
      <c r="I47" s="6">
        <v>0</v>
      </c>
      <c r="J47" s="4">
        <f t="shared" si="0"/>
        <v>1.7024999999999999</v>
      </c>
      <c r="K47" s="4">
        <f t="shared" si="1"/>
        <v>1.5642</v>
      </c>
      <c r="L47" s="4">
        <f t="shared" si="2"/>
        <v>1.3552</v>
      </c>
      <c r="M47" s="4">
        <f t="shared" si="3"/>
        <v>1.3552</v>
      </c>
      <c r="N47">
        <v>0</v>
      </c>
      <c r="O47" s="7">
        <v>2.99</v>
      </c>
      <c r="P47" s="7"/>
      <c r="Q47" s="8">
        <f t="shared" si="4"/>
        <v>30.247025000000001</v>
      </c>
      <c r="R47" s="8">
        <f t="shared" si="5"/>
        <v>38.511162859999999</v>
      </c>
      <c r="S47" s="8">
        <f t="shared" si="6"/>
        <v>39.012019700000003</v>
      </c>
      <c r="T47" s="8">
        <f t="shared" si="7"/>
        <v>50.2812986</v>
      </c>
      <c r="U47" s="8">
        <f t="shared" si="8"/>
        <v>55.289867000000001</v>
      </c>
      <c r="V47" s="8">
        <f t="shared" si="9"/>
        <v>80.332709000000008</v>
      </c>
      <c r="W47" s="8">
        <f t="shared" si="10"/>
        <v>28.629955199999998</v>
      </c>
      <c r="X47" s="8">
        <f t="shared" si="11"/>
        <v>36.809942399999997</v>
      </c>
      <c r="Y47" s="8">
        <f t="shared" si="12"/>
        <v>40.899935999999997</v>
      </c>
      <c r="Z47" s="8">
        <f t="shared" si="13"/>
        <v>61.349903999999995</v>
      </c>
    </row>
    <row r="48" spans="1:26" x14ac:dyDescent="0.2">
      <c r="A48">
        <v>414948</v>
      </c>
      <c r="B48" t="s">
        <v>116</v>
      </c>
      <c r="C48" t="s">
        <v>117</v>
      </c>
      <c r="D48">
        <v>54</v>
      </c>
      <c r="E48" t="s">
        <v>22</v>
      </c>
      <c r="F48" t="s">
        <v>43</v>
      </c>
      <c r="G48" s="6">
        <v>17.28</v>
      </c>
      <c r="H48" s="6">
        <v>16.29</v>
      </c>
      <c r="I48" s="6">
        <v>0</v>
      </c>
      <c r="J48" s="4">
        <f t="shared" si="0"/>
        <v>1.7068000000000001</v>
      </c>
      <c r="K48" s="4">
        <f t="shared" si="1"/>
        <v>1.5528</v>
      </c>
      <c r="L48" s="4">
        <f t="shared" si="2"/>
        <v>1.3391999999999999</v>
      </c>
      <c r="M48" s="4">
        <f t="shared" si="3"/>
        <v>1.3391999999999999</v>
      </c>
      <c r="N48">
        <v>0</v>
      </c>
      <c r="O48" s="7">
        <v>2.99</v>
      </c>
      <c r="P48" s="7"/>
      <c r="Q48" s="8">
        <f t="shared" si="4"/>
        <v>32.483504000000003</v>
      </c>
      <c r="R48" s="8">
        <f t="shared" si="5"/>
        <v>41.338190720000007</v>
      </c>
      <c r="S48" s="8">
        <f t="shared" si="6"/>
        <v>41.874838400000009</v>
      </c>
      <c r="T48" s="8">
        <f t="shared" si="7"/>
        <v>53.9494112</v>
      </c>
      <c r="U48" s="8">
        <f t="shared" si="8"/>
        <v>59.315888000000001</v>
      </c>
      <c r="V48" s="8">
        <f t="shared" si="9"/>
        <v>86.148272000000006</v>
      </c>
      <c r="W48" s="8">
        <f t="shared" si="10"/>
        <v>30.541795199999996</v>
      </c>
      <c r="X48" s="8">
        <f t="shared" si="11"/>
        <v>39.2680224</v>
      </c>
      <c r="Y48" s="8">
        <f t="shared" si="12"/>
        <v>43.631135999999998</v>
      </c>
      <c r="Z48" s="8">
        <f t="shared" si="13"/>
        <v>65.446703999999997</v>
      </c>
    </row>
    <row r="49" spans="1:26" x14ac:dyDescent="0.2">
      <c r="A49">
        <v>380662</v>
      </c>
      <c r="B49" t="s">
        <v>118</v>
      </c>
      <c r="C49" t="s">
        <v>119</v>
      </c>
      <c r="D49">
        <v>140</v>
      </c>
      <c r="E49" t="s">
        <v>22</v>
      </c>
      <c r="F49" t="s">
        <v>103</v>
      </c>
      <c r="G49" s="6">
        <v>16.420000000000002</v>
      </c>
      <c r="H49" s="6">
        <v>15.47</v>
      </c>
      <c r="I49" s="6">
        <v>0</v>
      </c>
      <c r="J49" s="4">
        <f t="shared" si="0"/>
        <v>1.7068000000000001</v>
      </c>
      <c r="K49" s="4">
        <f t="shared" si="1"/>
        <v>1.5528</v>
      </c>
      <c r="L49" s="4">
        <f t="shared" si="2"/>
        <v>1.3391999999999999</v>
      </c>
      <c r="M49" s="4">
        <f t="shared" si="3"/>
        <v>1.3391999999999999</v>
      </c>
      <c r="N49">
        <v>0</v>
      </c>
      <c r="O49" s="7">
        <v>2.99</v>
      </c>
      <c r="P49" s="7"/>
      <c r="Q49" s="8">
        <f t="shared" si="4"/>
        <v>31.015656000000007</v>
      </c>
      <c r="R49" s="8">
        <f t="shared" si="5"/>
        <v>39.42965808000001</v>
      </c>
      <c r="S49" s="8">
        <f t="shared" si="6"/>
        <v>39.939597600000013</v>
      </c>
      <c r="T49" s="8">
        <f t="shared" si="7"/>
        <v>51.413236800000007</v>
      </c>
      <c r="U49" s="8">
        <f t="shared" si="8"/>
        <v>56.512632000000011</v>
      </c>
      <c r="V49" s="8">
        <f t="shared" si="9"/>
        <v>82.009608000000014</v>
      </c>
      <c r="W49" s="8">
        <f t="shared" si="10"/>
        <v>29.0043936</v>
      </c>
      <c r="X49" s="8">
        <f t="shared" si="11"/>
        <v>37.291363199999999</v>
      </c>
      <c r="Y49" s="8">
        <f t="shared" si="12"/>
        <v>41.434848000000002</v>
      </c>
      <c r="Z49" s="8">
        <f t="shared" si="13"/>
        <v>62.152272000000004</v>
      </c>
    </row>
    <row r="50" spans="1:26" x14ac:dyDescent="0.2">
      <c r="A50">
        <v>406836</v>
      </c>
      <c r="B50" t="s">
        <v>120</v>
      </c>
      <c r="C50" t="s">
        <v>121</v>
      </c>
      <c r="D50">
        <v>114</v>
      </c>
      <c r="E50" t="s">
        <v>22</v>
      </c>
      <c r="F50" t="s">
        <v>122</v>
      </c>
      <c r="G50" s="6">
        <v>17.12</v>
      </c>
      <c r="H50" s="6">
        <v>16.12</v>
      </c>
      <c r="I50" s="6">
        <v>0</v>
      </c>
      <c r="J50" s="4">
        <f t="shared" si="0"/>
        <v>1.7068000000000001</v>
      </c>
      <c r="K50" s="4">
        <f t="shared" si="1"/>
        <v>1.5528</v>
      </c>
      <c r="L50" s="4">
        <f t="shared" si="2"/>
        <v>1.3391999999999999</v>
      </c>
      <c r="M50" s="4">
        <f t="shared" si="3"/>
        <v>1.3391999999999999</v>
      </c>
      <c r="N50">
        <v>0</v>
      </c>
      <c r="O50" s="7">
        <v>2.99</v>
      </c>
      <c r="P50" s="7"/>
      <c r="Q50" s="8">
        <f t="shared" si="4"/>
        <v>32.210416000000002</v>
      </c>
      <c r="R50" s="8">
        <f t="shared" si="5"/>
        <v>40.983114880000002</v>
      </c>
      <c r="S50" s="8">
        <f t="shared" si="6"/>
        <v>41.514793600000004</v>
      </c>
      <c r="T50" s="8">
        <f t="shared" si="7"/>
        <v>53.477564800000003</v>
      </c>
      <c r="U50" s="8">
        <f t="shared" si="8"/>
        <v>58.794352000000003</v>
      </c>
      <c r="V50" s="8">
        <f t="shared" si="9"/>
        <v>85.378287999999998</v>
      </c>
      <c r="W50" s="8">
        <f t="shared" si="10"/>
        <v>30.223065600000002</v>
      </c>
      <c r="X50" s="8">
        <f t="shared" si="11"/>
        <v>38.858227200000002</v>
      </c>
      <c r="Y50" s="8">
        <f t="shared" si="12"/>
        <v>43.175808000000004</v>
      </c>
      <c r="Z50" s="8">
        <f t="shared" si="13"/>
        <v>64.763711999999998</v>
      </c>
    </row>
    <row r="51" spans="1:26" x14ac:dyDescent="0.2">
      <c r="A51">
        <v>429524</v>
      </c>
      <c r="B51" t="s">
        <v>123</v>
      </c>
      <c r="C51" t="s">
        <v>124</v>
      </c>
      <c r="D51">
        <v>53</v>
      </c>
      <c r="E51" t="s">
        <v>22</v>
      </c>
      <c r="F51" t="s">
        <v>43</v>
      </c>
      <c r="G51" s="6">
        <v>17.28</v>
      </c>
      <c r="H51" s="6">
        <v>16.29</v>
      </c>
      <c r="I51" s="6">
        <v>0</v>
      </c>
      <c r="J51" s="4">
        <f t="shared" si="0"/>
        <v>1.7068000000000001</v>
      </c>
      <c r="K51" s="4">
        <f t="shared" si="1"/>
        <v>1.5528</v>
      </c>
      <c r="L51" s="4">
        <f t="shared" si="2"/>
        <v>1.3391999999999999</v>
      </c>
      <c r="M51" s="4">
        <f t="shared" si="3"/>
        <v>1.3391999999999999</v>
      </c>
      <c r="N51">
        <v>0</v>
      </c>
      <c r="O51" s="7">
        <v>2.99</v>
      </c>
      <c r="P51" s="7"/>
      <c r="Q51" s="8">
        <f t="shared" si="4"/>
        <v>32.483504000000003</v>
      </c>
      <c r="R51" s="8">
        <f t="shared" si="5"/>
        <v>41.338190720000007</v>
      </c>
      <c r="S51" s="8">
        <f t="shared" si="6"/>
        <v>41.874838400000009</v>
      </c>
      <c r="T51" s="8">
        <f t="shared" si="7"/>
        <v>53.9494112</v>
      </c>
      <c r="U51" s="8">
        <f t="shared" si="8"/>
        <v>59.315888000000001</v>
      </c>
      <c r="V51" s="8">
        <f t="shared" si="9"/>
        <v>86.148272000000006</v>
      </c>
      <c r="W51" s="8">
        <f t="shared" si="10"/>
        <v>30.541795199999996</v>
      </c>
      <c r="X51" s="8">
        <f t="shared" si="11"/>
        <v>39.2680224</v>
      </c>
      <c r="Y51" s="8">
        <f t="shared" si="12"/>
        <v>43.631135999999998</v>
      </c>
      <c r="Z51" s="8">
        <f t="shared" si="13"/>
        <v>65.446703999999997</v>
      </c>
    </row>
    <row r="52" spans="1:26" x14ac:dyDescent="0.2">
      <c r="A52">
        <v>374953</v>
      </c>
      <c r="B52" t="s">
        <v>125</v>
      </c>
      <c r="C52" t="s">
        <v>108</v>
      </c>
      <c r="D52">
        <v>363</v>
      </c>
      <c r="E52" t="s">
        <v>27</v>
      </c>
      <c r="F52" t="s">
        <v>126</v>
      </c>
      <c r="G52" s="6">
        <v>17.559999999999999</v>
      </c>
      <c r="H52" s="6">
        <v>16.55</v>
      </c>
      <c r="I52" s="6">
        <v>0</v>
      </c>
      <c r="J52" s="4">
        <f t="shared" si="0"/>
        <v>1.6496999999999999</v>
      </c>
      <c r="K52" s="4">
        <f t="shared" si="1"/>
        <v>1.5022</v>
      </c>
      <c r="L52" s="4">
        <f t="shared" si="2"/>
        <v>1.2898000000000001</v>
      </c>
      <c r="M52" s="4">
        <f t="shared" si="3"/>
        <v>1.2898000000000001</v>
      </c>
      <c r="N52">
        <v>0</v>
      </c>
      <c r="O52" s="7">
        <v>2.99</v>
      </c>
      <c r="P52" s="7"/>
      <c r="Q52" s="8">
        <f t="shared" si="4"/>
        <v>31.958731999999998</v>
      </c>
      <c r="R52" s="8">
        <f t="shared" si="5"/>
        <v>40.663680559999996</v>
      </c>
      <c r="S52" s="8">
        <f t="shared" si="6"/>
        <v>41.191253199999998</v>
      </c>
      <c r="T52" s="8">
        <f t="shared" si="7"/>
        <v>53.061637599999997</v>
      </c>
      <c r="U52" s="8">
        <f t="shared" si="8"/>
        <v>58.337363999999994</v>
      </c>
      <c r="V52" s="8">
        <f t="shared" si="9"/>
        <v>84.71599599999999</v>
      </c>
      <c r="W52" s="8">
        <f t="shared" si="10"/>
        <v>29.884665999999999</v>
      </c>
      <c r="X52" s="8">
        <f t="shared" si="11"/>
        <v>38.423142000000006</v>
      </c>
      <c r="Y52" s="8">
        <f t="shared" si="12"/>
        <v>42.692380000000007</v>
      </c>
      <c r="Z52" s="8">
        <f t="shared" si="13"/>
        <v>64.038570000000007</v>
      </c>
    </row>
    <row r="53" spans="1:26" x14ac:dyDescent="0.2">
      <c r="A53">
        <v>375350</v>
      </c>
      <c r="B53" t="s">
        <v>127</v>
      </c>
      <c r="C53" t="s">
        <v>128</v>
      </c>
      <c r="D53">
        <v>64</v>
      </c>
      <c r="E53" t="s">
        <v>22</v>
      </c>
      <c r="F53" t="s">
        <v>35</v>
      </c>
      <c r="G53" s="6">
        <v>18.239999999999998</v>
      </c>
      <c r="H53" s="6">
        <v>17.190000000000001</v>
      </c>
      <c r="I53" s="6">
        <v>0</v>
      </c>
      <c r="J53" s="4">
        <f t="shared" si="0"/>
        <v>1.7068000000000001</v>
      </c>
      <c r="K53" s="4">
        <f t="shared" si="1"/>
        <v>1.5528</v>
      </c>
      <c r="L53" s="4">
        <f t="shared" si="2"/>
        <v>1.3391999999999999</v>
      </c>
      <c r="M53" s="4">
        <f t="shared" si="3"/>
        <v>1.3391999999999999</v>
      </c>
      <c r="N53">
        <v>0</v>
      </c>
      <c r="O53" s="7">
        <v>2.99</v>
      </c>
      <c r="P53" s="7"/>
      <c r="Q53" s="8">
        <f t="shared" si="4"/>
        <v>34.122031999999997</v>
      </c>
      <c r="R53" s="8">
        <f t="shared" si="5"/>
        <v>43.468645760000001</v>
      </c>
      <c r="S53" s="8">
        <f t="shared" si="6"/>
        <v>44.035107199999999</v>
      </c>
      <c r="T53" s="8">
        <f t="shared" si="7"/>
        <v>56.780489599999996</v>
      </c>
      <c r="U53" s="8">
        <f t="shared" si="8"/>
        <v>62.445103999999994</v>
      </c>
      <c r="V53" s="8">
        <f t="shared" si="9"/>
        <v>90.768175999999983</v>
      </c>
      <c r="W53" s="8">
        <f t="shared" si="10"/>
        <v>32.229187199999998</v>
      </c>
      <c r="X53" s="8">
        <f t="shared" si="11"/>
        <v>41.437526400000003</v>
      </c>
      <c r="Y53" s="8">
        <f t="shared" si="12"/>
        <v>46.041696000000002</v>
      </c>
      <c r="Z53" s="8">
        <f t="shared" si="13"/>
        <v>69.062544000000003</v>
      </c>
    </row>
    <row r="54" spans="1:26" x14ac:dyDescent="0.2">
      <c r="A54">
        <v>385157</v>
      </c>
      <c r="B54" t="s">
        <v>129</v>
      </c>
      <c r="C54" t="s">
        <v>130</v>
      </c>
      <c r="D54">
        <v>115</v>
      </c>
      <c r="E54" t="s">
        <v>22</v>
      </c>
      <c r="F54" t="s">
        <v>69</v>
      </c>
      <c r="G54" s="6">
        <v>17.52</v>
      </c>
      <c r="H54" s="6">
        <v>16.510000000000002</v>
      </c>
      <c r="I54" s="6">
        <v>0</v>
      </c>
      <c r="J54" s="4">
        <f t="shared" si="0"/>
        <v>1.7068000000000001</v>
      </c>
      <c r="K54" s="4">
        <f t="shared" si="1"/>
        <v>1.5528</v>
      </c>
      <c r="L54" s="4">
        <f t="shared" si="2"/>
        <v>1.3391999999999999</v>
      </c>
      <c r="M54" s="4">
        <f t="shared" si="3"/>
        <v>1.3391999999999999</v>
      </c>
      <c r="N54">
        <v>0</v>
      </c>
      <c r="O54" s="7">
        <v>2.99</v>
      </c>
      <c r="P54" s="7"/>
      <c r="Q54" s="8">
        <f t="shared" si="4"/>
        <v>32.893135999999998</v>
      </c>
      <c r="R54" s="8">
        <f t="shared" si="5"/>
        <v>41.870804480000004</v>
      </c>
      <c r="S54" s="8">
        <f t="shared" si="6"/>
        <v>42.414905599999997</v>
      </c>
      <c r="T54" s="8">
        <f t="shared" si="7"/>
        <v>54.657180799999999</v>
      </c>
      <c r="U54" s="8">
        <f t="shared" si="8"/>
        <v>60.098191999999997</v>
      </c>
      <c r="V54" s="8">
        <f t="shared" si="9"/>
        <v>87.303247999999996</v>
      </c>
      <c r="W54" s="8">
        <f t="shared" si="10"/>
        <v>30.954268800000001</v>
      </c>
      <c r="X54" s="8">
        <f t="shared" si="11"/>
        <v>39.798345600000005</v>
      </c>
      <c r="Y54" s="8">
        <f t="shared" si="12"/>
        <v>44.220384000000003</v>
      </c>
      <c r="Z54" s="8">
        <f t="shared" si="13"/>
        <v>66.330575999999994</v>
      </c>
    </row>
    <row r="55" spans="1:26" x14ac:dyDescent="0.2">
      <c r="A55">
        <v>368466</v>
      </c>
      <c r="B55" t="s">
        <v>131</v>
      </c>
      <c r="C55" t="s">
        <v>34</v>
      </c>
      <c r="D55">
        <v>4</v>
      </c>
      <c r="E55" t="s">
        <v>18</v>
      </c>
      <c r="F55" t="s">
        <v>26</v>
      </c>
      <c r="G55" s="6">
        <v>16.010000000000002</v>
      </c>
      <c r="H55" s="6">
        <v>15.09</v>
      </c>
      <c r="I55" s="6">
        <v>0</v>
      </c>
      <c r="J55" s="4">
        <f t="shared" si="0"/>
        <v>1.7024999999999999</v>
      </c>
      <c r="K55" s="4">
        <f t="shared" si="1"/>
        <v>1.5642</v>
      </c>
      <c r="L55" s="4">
        <f t="shared" si="2"/>
        <v>1.3552</v>
      </c>
      <c r="M55" s="4">
        <f t="shared" si="3"/>
        <v>1.3552</v>
      </c>
      <c r="N55">
        <v>0</v>
      </c>
      <c r="O55" s="7">
        <v>2.99</v>
      </c>
      <c r="P55" s="7"/>
      <c r="Q55" s="8">
        <f t="shared" si="4"/>
        <v>30.247025000000001</v>
      </c>
      <c r="R55" s="8">
        <f t="shared" si="5"/>
        <v>38.511162859999999</v>
      </c>
      <c r="S55" s="8">
        <f t="shared" si="6"/>
        <v>39.012019700000003</v>
      </c>
      <c r="T55" s="8">
        <f t="shared" si="7"/>
        <v>50.2812986</v>
      </c>
      <c r="U55" s="8">
        <f t="shared" si="8"/>
        <v>55.289867000000001</v>
      </c>
      <c r="V55" s="8">
        <f t="shared" si="9"/>
        <v>80.332709000000008</v>
      </c>
      <c r="W55" s="8">
        <f t="shared" si="10"/>
        <v>28.629955199999998</v>
      </c>
      <c r="X55" s="8">
        <f t="shared" si="11"/>
        <v>36.809942399999997</v>
      </c>
      <c r="Y55" s="8">
        <f t="shared" si="12"/>
        <v>40.899935999999997</v>
      </c>
      <c r="Z55" s="8">
        <f t="shared" si="13"/>
        <v>61.349903999999995</v>
      </c>
    </row>
    <row r="56" spans="1:26" x14ac:dyDescent="0.2">
      <c r="A56">
        <v>429551</v>
      </c>
      <c r="B56" t="s">
        <v>132</v>
      </c>
      <c r="C56" t="s">
        <v>133</v>
      </c>
      <c r="D56">
        <v>61</v>
      </c>
      <c r="E56" t="s">
        <v>22</v>
      </c>
      <c r="F56" t="s">
        <v>23</v>
      </c>
      <c r="G56" s="6">
        <v>16.22</v>
      </c>
      <c r="H56" s="6">
        <v>15.28</v>
      </c>
      <c r="I56" s="6">
        <v>0</v>
      </c>
      <c r="J56" s="4">
        <f t="shared" si="0"/>
        <v>1.7068000000000001</v>
      </c>
      <c r="K56" s="4">
        <f t="shared" si="1"/>
        <v>1.5528</v>
      </c>
      <c r="L56" s="4">
        <f t="shared" si="2"/>
        <v>1.3391999999999999</v>
      </c>
      <c r="M56" s="4">
        <f t="shared" si="3"/>
        <v>1.3391999999999999</v>
      </c>
      <c r="N56">
        <v>0</v>
      </c>
      <c r="O56" s="7">
        <v>2.99</v>
      </c>
      <c r="P56" s="7"/>
      <c r="Q56" s="8">
        <f t="shared" si="4"/>
        <v>30.674295999999998</v>
      </c>
      <c r="R56" s="8">
        <f t="shared" si="5"/>
        <v>38.985813280000002</v>
      </c>
      <c r="S56" s="8">
        <f t="shared" si="6"/>
        <v>39.489541600000003</v>
      </c>
      <c r="T56" s="8">
        <f t="shared" si="7"/>
        <v>50.823428799999995</v>
      </c>
      <c r="U56" s="8">
        <f t="shared" si="8"/>
        <v>55.860711999999992</v>
      </c>
      <c r="V56" s="8">
        <f t="shared" si="9"/>
        <v>81.047127999999987</v>
      </c>
      <c r="W56" s="8">
        <f t="shared" si="10"/>
        <v>28.648166399999997</v>
      </c>
      <c r="X56" s="8">
        <f t="shared" si="11"/>
        <v>36.833356799999997</v>
      </c>
      <c r="Y56" s="8">
        <f t="shared" si="12"/>
        <v>40.925951999999995</v>
      </c>
      <c r="Z56" s="8">
        <f t="shared" si="13"/>
        <v>61.388927999999993</v>
      </c>
    </row>
    <row r="57" spans="1:26" x14ac:dyDescent="0.2">
      <c r="A57">
        <v>429552</v>
      </c>
      <c r="B57" t="s">
        <v>132</v>
      </c>
      <c r="C57" t="s">
        <v>134</v>
      </c>
      <c r="D57">
        <v>61</v>
      </c>
      <c r="E57" t="s">
        <v>22</v>
      </c>
      <c r="F57" t="s">
        <v>23</v>
      </c>
      <c r="G57" s="6">
        <v>16.22</v>
      </c>
      <c r="H57" s="6">
        <v>15.28</v>
      </c>
      <c r="I57" s="6">
        <v>0</v>
      </c>
      <c r="J57" s="4">
        <f t="shared" si="0"/>
        <v>1.7068000000000001</v>
      </c>
      <c r="K57" s="4">
        <f t="shared" si="1"/>
        <v>1.5528</v>
      </c>
      <c r="L57" s="4">
        <f t="shared" si="2"/>
        <v>1.3391999999999999</v>
      </c>
      <c r="M57" s="4">
        <f t="shared" si="3"/>
        <v>1.3391999999999999</v>
      </c>
      <c r="N57">
        <v>0</v>
      </c>
      <c r="O57" s="7">
        <v>2.99</v>
      </c>
      <c r="P57" s="7"/>
      <c r="Q57" s="8">
        <f t="shared" si="4"/>
        <v>30.674295999999998</v>
      </c>
      <c r="R57" s="8">
        <f t="shared" si="5"/>
        <v>38.985813280000002</v>
      </c>
      <c r="S57" s="8">
        <f t="shared" si="6"/>
        <v>39.489541600000003</v>
      </c>
      <c r="T57" s="8">
        <f t="shared" si="7"/>
        <v>50.823428799999995</v>
      </c>
      <c r="U57" s="8">
        <f t="shared" si="8"/>
        <v>55.860711999999992</v>
      </c>
      <c r="V57" s="8">
        <f t="shared" si="9"/>
        <v>81.047127999999987</v>
      </c>
      <c r="W57" s="8">
        <f t="shared" si="10"/>
        <v>28.648166399999997</v>
      </c>
      <c r="X57" s="8">
        <f t="shared" si="11"/>
        <v>36.833356799999997</v>
      </c>
      <c r="Y57" s="8">
        <f t="shared" si="12"/>
        <v>40.925951999999995</v>
      </c>
      <c r="Z57" s="8">
        <f t="shared" si="13"/>
        <v>61.388927999999993</v>
      </c>
    </row>
    <row r="58" spans="1:26" x14ac:dyDescent="0.2">
      <c r="A58">
        <v>305518</v>
      </c>
      <c r="B58" t="s">
        <v>135</v>
      </c>
      <c r="C58" t="s">
        <v>136</v>
      </c>
      <c r="D58">
        <v>18</v>
      </c>
      <c r="E58" t="s">
        <v>18</v>
      </c>
      <c r="F58" t="s">
        <v>26</v>
      </c>
      <c r="G58" s="6">
        <v>16.010000000000002</v>
      </c>
      <c r="H58" s="6">
        <v>15.09</v>
      </c>
      <c r="I58" s="6">
        <v>0</v>
      </c>
      <c r="J58" s="4">
        <f t="shared" si="0"/>
        <v>1.7024999999999999</v>
      </c>
      <c r="K58" s="4">
        <f t="shared" si="1"/>
        <v>1.5642</v>
      </c>
      <c r="L58" s="4">
        <f t="shared" si="2"/>
        <v>1.3552</v>
      </c>
      <c r="M58" s="4">
        <f t="shared" si="3"/>
        <v>1.3552</v>
      </c>
      <c r="N58">
        <v>0</v>
      </c>
      <c r="O58" s="7">
        <v>2.99</v>
      </c>
      <c r="P58" s="7"/>
      <c r="Q58" s="8">
        <f t="shared" si="4"/>
        <v>30.247025000000001</v>
      </c>
      <c r="R58" s="8">
        <f t="shared" si="5"/>
        <v>38.511162859999999</v>
      </c>
      <c r="S58" s="8">
        <f t="shared" si="6"/>
        <v>39.012019700000003</v>
      </c>
      <c r="T58" s="8">
        <f t="shared" si="7"/>
        <v>50.2812986</v>
      </c>
      <c r="U58" s="8">
        <f t="shared" si="8"/>
        <v>55.289867000000001</v>
      </c>
      <c r="V58" s="8">
        <f t="shared" si="9"/>
        <v>80.332709000000008</v>
      </c>
      <c r="W58" s="8">
        <f t="shared" si="10"/>
        <v>28.629955199999998</v>
      </c>
      <c r="X58" s="8">
        <f t="shared" si="11"/>
        <v>36.809942399999997</v>
      </c>
      <c r="Y58" s="8">
        <f t="shared" si="12"/>
        <v>40.899935999999997</v>
      </c>
      <c r="Z58" s="8">
        <f t="shared" si="13"/>
        <v>61.349903999999995</v>
      </c>
    </row>
    <row r="59" spans="1:26" x14ac:dyDescent="0.2">
      <c r="A59">
        <v>416222</v>
      </c>
      <c r="B59" t="s">
        <v>137</v>
      </c>
      <c r="C59" t="s">
        <v>138</v>
      </c>
      <c r="D59">
        <v>50</v>
      </c>
      <c r="E59" t="s">
        <v>18</v>
      </c>
      <c r="F59" t="s">
        <v>23</v>
      </c>
      <c r="G59" s="6">
        <v>16.22</v>
      </c>
      <c r="H59" s="6">
        <v>15.28</v>
      </c>
      <c r="I59" s="6">
        <v>0</v>
      </c>
      <c r="J59" s="4">
        <f t="shared" si="0"/>
        <v>1.7024999999999999</v>
      </c>
      <c r="K59" s="4">
        <f t="shared" si="1"/>
        <v>1.5642</v>
      </c>
      <c r="L59" s="4">
        <f t="shared" si="2"/>
        <v>1.3552</v>
      </c>
      <c r="M59" s="4">
        <f t="shared" si="3"/>
        <v>1.3552</v>
      </c>
      <c r="N59">
        <v>0</v>
      </c>
      <c r="O59" s="7">
        <v>2.99</v>
      </c>
      <c r="P59" s="7"/>
      <c r="Q59" s="8">
        <f t="shared" si="4"/>
        <v>30.604549999999996</v>
      </c>
      <c r="R59" s="8">
        <f t="shared" si="5"/>
        <v>38.977086919999998</v>
      </c>
      <c r="S59" s="8">
        <f t="shared" si="6"/>
        <v>39.484513399999997</v>
      </c>
      <c r="T59" s="8">
        <f t="shared" si="7"/>
        <v>50.901609199999996</v>
      </c>
      <c r="U59" s="8">
        <f t="shared" si="8"/>
        <v>55.97587399999999</v>
      </c>
      <c r="V59" s="8">
        <f t="shared" si="9"/>
        <v>81.347197999999992</v>
      </c>
      <c r="W59" s="8">
        <f t="shared" si="10"/>
        <v>28.990438399999999</v>
      </c>
      <c r="X59" s="8">
        <f t="shared" si="11"/>
        <v>37.273420799999997</v>
      </c>
      <c r="Y59" s="8">
        <f t="shared" si="12"/>
        <v>41.414911999999994</v>
      </c>
      <c r="Z59" s="8">
        <f t="shared" si="13"/>
        <v>62.122367999999994</v>
      </c>
    </row>
    <row r="60" spans="1:26" x14ac:dyDescent="0.2">
      <c r="A60">
        <v>456186</v>
      </c>
      <c r="B60" t="s">
        <v>139</v>
      </c>
      <c r="C60" t="s">
        <v>140</v>
      </c>
      <c r="D60">
        <v>8</v>
      </c>
      <c r="E60" t="s">
        <v>18</v>
      </c>
      <c r="F60" t="s">
        <v>62</v>
      </c>
      <c r="G60" s="6">
        <v>17.04</v>
      </c>
      <c r="H60" s="6">
        <v>16.059999999999999</v>
      </c>
      <c r="I60" s="6">
        <v>0</v>
      </c>
      <c r="J60" s="4">
        <f t="shared" si="0"/>
        <v>1.7024999999999999</v>
      </c>
      <c r="K60" s="4">
        <f t="shared" si="1"/>
        <v>1.5642</v>
      </c>
      <c r="L60" s="4">
        <f t="shared" si="2"/>
        <v>1.3552</v>
      </c>
      <c r="M60" s="4">
        <f t="shared" si="3"/>
        <v>1.3552</v>
      </c>
      <c r="N60">
        <v>0</v>
      </c>
      <c r="O60" s="7">
        <v>2.99</v>
      </c>
      <c r="P60" s="7"/>
      <c r="Q60" s="8">
        <f t="shared" si="4"/>
        <v>32.000599999999999</v>
      </c>
      <c r="R60" s="8">
        <f t="shared" si="5"/>
        <v>40.796409439999998</v>
      </c>
      <c r="S60" s="8">
        <f t="shared" si="6"/>
        <v>41.3294888</v>
      </c>
      <c r="T60" s="8">
        <f t="shared" si="7"/>
        <v>53.323774399999998</v>
      </c>
      <c r="U60" s="8">
        <f t="shared" si="8"/>
        <v>58.654567999999998</v>
      </c>
      <c r="V60" s="8">
        <f t="shared" si="9"/>
        <v>85.308536000000004</v>
      </c>
      <c r="W60" s="8">
        <f t="shared" si="10"/>
        <v>30.470316799999996</v>
      </c>
      <c r="X60" s="8">
        <f t="shared" si="11"/>
        <v>39.176121599999995</v>
      </c>
      <c r="Y60" s="8">
        <f t="shared" si="12"/>
        <v>43.529023999999993</v>
      </c>
      <c r="Z60" s="8">
        <f t="shared" si="13"/>
        <v>65.293535999999989</v>
      </c>
    </row>
    <row r="61" spans="1:26" x14ac:dyDescent="0.2">
      <c r="A61">
        <v>374877</v>
      </c>
      <c r="B61" t="s">
        <v>141</v>
      </c>
      <c r="C61" t="s">
        <v>142</v>
      </c>
      <c r="D61">
        <v>206</v>
      </c>
      <c r="E61" t="s">
        <v>22</v>
      </c>
      <c r="F61" t="s">
        <v>143</v>
      </c>
      <c r="G61" s="6">
        <v>16.829999999999998</v>
      </c>
      <c r="H61" s="6">
        <v>15.86</v>
      </c>
      <c r="I61" s="6">
        <v>0</v>
      </c>
      <c r="J61" s="4">
        <f t="shared" si="0"/>
        <v>1.7068000000000001</v>
      </c>
      <c r="K61" s="4">
        <f t="shared" si="1"/>
        <v>1.5528</v>
      </c>
      <c r="L61" s="4">
        <f t="shared" si="2"/>
        <v>1.3391999999999999</v>
      </c>
      <c r="M61" s="4">
        <f t="shared" si="3"/>
        <v>1.3391999999999999</v>
      </c>
      <c r="N61">
        <v>0</v>
      </c>
      <c r="O61" s="7">
        <v>2.99</v>
      </c>
      <c r="P61" s="7"/>
      <c r="Q61" s="8">
        <f t="shared" si="4"/>
        <v>31.715443999999998</v>
      </c>
      <c r="R61" s="8">
        <f t="shared" si="5"/>
        <v>40.33953992</v>
      </c>
      <c r="S61" s="8">
        <f t="shared" si="6"/>
        <v>40.862212399999997</v>
      </c>
      <c r="T61" s="8">
        <f t="shared" si="7"/>
        <v>52.622343199999996</v>
      </c>
      <c r="U61" s="8">
        <f t="shared" si="8"/>
        <v>57.849067999999995</v>
      </c>
      <c r="V61" s="8">
        <f t="shared" si="9"/>
        <v>83.982691999999986</v>
      </c>
      <c r="W61" s="8">
        <f t="shared" si="10"/>
        <v>29.735596799999996</v>
      </c>
      <c r="X61" s="8">
        <f t="shared" si="11"/>
        <v>38.231481599999995</v>
      </c>
      <c r="Y61" s="8">
        <f t="shared" si="12"/>
        <v>42.479423999999995</v>
      </c>
      <c r="Z61" s="8">
        <f t="shared" si="13"/>
        <v>63.719135999999992</v>
      </c>
    </row>
    <row r="62" spans="1:26" x14ac:dyDescent="0.2">
      <c r="A62">
        <v>374801</v>
      </c>
      <c r="B62" t="s">
        <v>144</v>
      </c>
      <c r="C62" t="s">
        <v>145</v>
      </c>
      <c r="D62">
        <v>234</v>
      </c>
      <c r="E62" t="s">
        <v>27</v>
      </c>
      <c r="F62" t="s">
        <v>146</v>
      </c>
      <c r="G62" s="6">
        <v>18</v>
      </c>
      <c r="H62" s="6">
        <v>16.96</v>
      </c>
      <c r="I62" s="6">
        <v>0</v>
      </c>
      <c r="J62" s="4">
        <f t="shared" si="0"/>
        <v>1.6496999999999999</v>
      </c>
      <c r="K62" s="4">
        <f t="shared" si="1"/>
        <v>1.5022</v>
      </c>
      <c r="L62" s="4">
        <f t="shared" si="2"/>
        <v>1.2898000000000001</v>
      </c>
      <c r="M62" s="4">
        <f t="shared" si="3"/>
        <v>1.2898000000000001</v>
      </c>
      <c r="N62">
        <v>0</v>
      </c>
      <c r="O62" s="7">
        <v>2.99</v>
      </c>
      <c r="P62" s="7"/>
      <c r="Q62" s="8">
        <f t="shared" si="4"/>
        <v>32.684599999999996</v>
      </c>
      <c r="R62" s="8">
        <f t="shared" si="5"/>
        <v>41.607667999999997</v>
      </c>
      <c r="S62" s="8">
        <f t="shared" si="6"/>
        <v>42.14846</v>
      </c>
      <c r="T62" s="8">
        <f t="shared" si="7"/>
        <v>54.316279999999992</v>
      </c>
      <c r="U62" s="8">
        <f t="shared" si="8"/>
        <v>59.724199999999996</v>
      </c>
      <c r="V62" s="8">
        <f t="shared" si="9"/>
        <v>86.763800000000003</v>
      </c>
      <c r="W62" s="8">
        <f t="shared" si="10"/>
        <v>30.625011199999999</v>
      </c>
      <c r="X62" s="8">
        <f t="shared" si="11"/>
        <v>39.375014400000005</v>
      </c>
      <c r="Y62" s="8">
        <f t="shared" si="12"/>
        <v>43.750016000000002</v>
      </c>
      <c r="Z62" s="8">
        <f t="shared" si="13"/>
        <v>65.62502400000001</v>
      </c>
    </row>
    <row r="63" spans="1:26" x14ac:dyDescent="0.2">
      <c r="A63">
        <v>421063</v>
      </c>
      <c r="B63" t="s">
        <v>147</v>
      </c>
      <c r="C63" t="s">
        <v>148</v>
      </c>
      <c r="D63">
        <v>84</v>
      </c>
      <c r="E63" t="s">
        <v>22</v>
      </c>
      <c r="F63" t="s">
        <v>19</v>
      </c>
      <c r="G63" s="6">
        <v>16.899999999999999</v>
      </c>
      <c r="H63" s="6">
        <v>15.93</v>
      </c>
      <c r="I63" s="6">
        <v>0</v>
      </c>
      <c r="J63" s="4">
        <f t="shared" si="0"/>
        <v>1.7068000000000001</v>
      </c>
      <c r="K63" s="4">
        <f t="shared" si="1"/>
        <v>1.5528</v>
      </c>
      <c r="L63" s="4">
        <f t="shared" si="2"/>
        <v>1.3391999999999999</v>
      </c>
      <c r="M63" s="4">
        <f t="shared" si="3"/>
        <v>1.3391999999999999</v>
      </c>
      <c r="N63">
        <v>0</v>
      </c>
      <c r="O63" s="7">
        <v>2.99</v>
      </c>
      <c r="P63" s="7"/>
      <c r="Q63" s="8">
        <f t="shared" si="4"/>
        <v>31.834919999999997</v>
      </c>
      <c r="R63" s="8">
        <f t="shared" si="5"/>
        <v>40.494885599999996</v>
      </c>
      <c r="S63" s="8">
        <f t="shared" si="6"/>
        <v>41.019731999999998</v>
      </c>
      <c r="T63" s="8">
        <f t="shared" si="7"/>
        <v>52.828775999999991</v>
      </c>
      <c r="U63" s="8">
        <f t="shared" si="8"/>
        <v>58.077239999999989</v>
      </c>
      <c r="V63" s="8">
        <f t="shared" si="9"/>
        <v>84.319559999999996</v>
      </c>
      <c r="W63" s="8">
        <f t="shared" si="10"/>
        <v>29.866838399999999</v>
      </c>
      <c r="X63" s="8">
        <f t="shared" si="11"/>
        <v>38.4002208</v>
      </c>
      <c r="Y63" s="8">
        <f t="shared" si="12"/>
        <v>42.666911999999996</v>
      </c>
      <c r="Z63" s="8">
        <f t="shared" si="13"/>
        <v>64.000367999999995</v>
      </c>
    </row>
    <row r="64" spans="1:26" x14ac:dyDescent="0.2">
      <c r="A64">
        <v>454524</v>
      </c>
      <c r="B64" t="s">
        <v>149</v>
      </c>
      <c r="C64" t="s">
        <v>150</v>
      </c>
      <c r="D64">
        <v>13</v>
      </c>
      <c r="E64" t="s">
        <v>18</v>
      </c>
      <c r="F64" t="s">
        <v>26</v>
      </c>
      <c r="G64" s="6">
        <v>16.010000000000002</v>
      </c>
      <c r="H64" s="6">
        <v>15.09</v>
      </c>
      <c r="I64" s="6">
        <v>0</v>
      </c>
      <c r="J64" s="4">
        <f t="shared" si="0"/>
        <v>1.7024999999999999</v>
      </c>
      <c r="K64" s="4">
        <f t="shared" si="1"/>
        <v>1.5642</v>
      </c>
      <c r="L64" s="4">
        <f t="shared" si="2"/>
        <v>1.3552</v>
      </c>
      <c r="M64" s="4">
        <f t="shared" si="3"/>
        <v>1.3552</v>
      </c>
      <c r="N64">
        <v>0</v>
      </c>
      <c r="O64" s="7">
        <v>2.99</v>
      </c>
      <c r="P64" s="7"/>
      <c r="Q64" s="8">
        <f t="shared" si="4"/>
        <v>30.247025000000001</v>
      </c>
      <c r="R64" s="8">
        <f t="shared" si="5"/>
        <v>38.511162859999999</v>
      </c>
      <c r="S64" s="8">
        <f t="shared" si="6"/>
        <v>39.012019700000003</v>
      </c>
      <c r="T64" s="8">
        <f t="shared" si="7"/>
        <v>50.2812986</v>
      </c>
      <c r="U64" s="8">
        <f t="shared" si="8"/>
        <v>55.289867000000001</v>
      </c>
      <c r="V64" s="8">
        <f t="shared" si="9"/>
        <v>80.332709000000008</v>
      </c>
      <c r="W64" s="8">
        <f t="shared" si="10"/>
        <v>28.629955199999998</v>
      </c>
      <c r="X64" s="8">
        <f t="shared" si="11"/>
        <v>36.809942399999997</v>
      </c>
      <c r="Y64" s="8">
        <f t="shared" si="12"/>
        <v>40.899935999999997</v>
      </c>
      <c r="Z64" s="8">
        <f t="shared" si="13"/>
        <v>61.349903999999995</v>
      </c>
    </row>
    <row r="65" spans="1:26" x14ac:dyDescent="0.2">
      <c r="A65">
        <v>437474</v>
      </c>
      <c r="B65" t="s">
        <v>49</v>
      </c>
      <c r="C65" t="s">
        <v>151</v>
      </c>
      <c r="D65">
        <v>46</v>
      </c>
      <c r="E65" t="s">
        <v>18</v>
      </c>
      <c r="F65" t="s">
        <v>23</v>
      </c>
      <c r="G65" s="6">
        <v>16.22</v>
      </c>
      <c r="H65" s="6">
        <v>15.28</v>
      </c>
      <c r="I65" s="6">
        <v>0</v>
      </c>
      <c r="J65" s="4">
        <f t="shared" si="0"/>
        <v>1.7024999999999999</v>
      </c>
      <c r="K65" s="4">
        <f t="shared" si="1"/>
        <v>1.5642</v>
      </c>
      <c r="L65" s="4">
        <f t="shared" si="2"/>
        <v>1.3552</v>
      </c>
      <c r="M65" s="4">
        <f t="shared" si="3"/>
        <v>1.3552</v>
      </c>
      <c r="N65">
        <v>0</v>
      </c>
      <c r="O65" s="7">
        <v>2.99</v>
      </c>
      <c r="P65" s="7"/>
      <c r="Q65" s="8">
        <f t="shared" si="4"/>
        <v>30.604549999999996</v>
      </c>
      <c r="R65" s="8">
        <f t="shared" si="5"/>
        <v>38.977086919999998</v>
      </c>
      <c r="S65" s="8">
        <f t="shared" si="6"/>
        <v>39.484513399999997</v>
      </c>
      <c r="T65" s="8">
        <f t="shared" si="7"/>
        <v>50.901609199999996</v>
      </c>
      <c r="U65" s="8">
        <f t="shared" si="8"/>
        <v>55.97587399999999</v>
      </c>
      <c r="V65" s="8">
        <f t="shared" si="9"/>
        <v>81.347197999999992</v>
      </c>
      <c r="W65" s="8">
        <f t="shared" si="10"/>
        <v>28.990438399999999</v>
      </c>
      <c r="X65" s="8">
        <f t="shared" si="11"/>
        <v>37.273420799999997</v>
      </c>
      <c r="Y65" s="8">
        <f t="shared" si="12"/>
        <v>41.414911999999994</v>
      </c>
      <c r="Z65" s="8">
        <f t="shared" si="13"/>
        <v>62.122367999999994</v>
      </c>
    </row>
    <row r="66" spans="1:26" x14ac:dyDescent="0.2">
      <c r="A66">
        <v>428251</v>
      </c>
      <c r="B66" t="s">
        <v>152</v>
      </c>
      <c r="C66" t="s">
        <v>153</v>
      </c>
      <c r="D66">
        <v>4</v>
      </c>
      <c r="E66" t="s">
        <v>18</v>
      </c>
      <c r="F66" t="s">
        <v>26</v>
      </c>
      <c r="G66" s="6">
        <v>16.010000000000002</v>
      </c>
      <c r="H66" s="6">
        <v>15.09</v>
      </c>
      <c r="I66" s="6">
        <v>0</v>
      </c>
      <c r="J66" s="4">
        <f t="shared" si="0"/>
        <v>1.7024999999999999</v>
      </c>
      <c r="K66" s="4">
        <f t="shared" si="1"/>
        <v>1.5642</v>
      </c>
      <c r="L66" s="4">
        <f t="shared" si="2"/>
        <v>1.3552</v>
      </c>
      <c r="M66" s="4">
        <f t="shared" si="3"/>
        <v>1.3552</v>
      </c>
      <c r="N66">
        <v>0</v>
      </c>
      <c r="O66" s="7">
        <v>2.99</v>
      </c>
      <c r="P66" s="7"/>
      <c r="Q66" s="8">
        <f t="shared" si="4"/>
        <v>30.247025000000001</v>
      </c>
      <c r="R66" s="8">
        <f t="shared" si="5"/>
        <v>38.511162859999999</v>
      </c>
      <c r="S66" s="8">
        <f t="shared" si="6"/>
        <v>39.012019700000003</v>
      </c>
      <c r="T66" s="8">
        <f t="shared" si="7"/>
        <v>50.2812986</v>
      </c>
      <c r="U66" s="8">
        <f t="shared" si="8"/>
        <v>55.289867000000001</v>
      </c>
      <c r="V66" s="8">
        <f t="shared" si="9"/>
        <v>80.332709000000008</v>
      </c>
      <c r="W66" s="8">
        <f t="shared" si="10"/>
        <v>28.629955199999998</v>
      </c>
      <c r="X66" s="8">
        <f t="shared" si="11"/>
        <v>36.809942399999997</v>
      </c>
      <c r="Y66" s="8">
        <f t="shared" si="12"/>
        <v>40.899935999999997</v>
      </c>
      <c r="Z66" s="8">
        <f t="shared" si="13"/>
        <v>61.349903999999995</v>
      </c>
    </row>
    <row r="67" spans="1:26" x14ac:dyDescent="0.2">
      <c r="A67">
        <v>429728</v>
      </c>
      <c r="B67" t="s">
        <v>154</v>
      </c>
      <c r="C67" t="s">
        <v>155</v>
      </c>
      <c r="D67">
        <v>53</v>
      </c>
      <c r="E67" t="s">
        <v>22</v>
      </c>
      <c r="F67" t="s">
        <v>23</v>
      </c>
      <c r="G67" s="6">
        <v>16.22</v>
      </c>
      <c r="H67" s="6">
        <v>15.28</v>
      </c>
      <c r="I67" s="6">
        <v>0</v>
      </c>
      <c r="J67" s="4">
        <f t="shared" ref="J67:J118" si="14">_xlfn.XLOOKUP(E67,AB:AB,AC:AC)</f>
        <v>1.7068000000000001</v>
      </c>
      <c r="K67" s="4">
        <f t="shared" ref="K67:K118" si="15">_xlfn.XLOOKUP(E67,AB:AB,AD:AD)</f>
        <v>1.5528</v>
      </c>
      <c r="L67" s="4">
        <f t="shared" ref="L67:L118" si="16">_xlfn.XLOOKUP(E67,AB:AB,AE:AE)</f>
        <v>1.3391999999999999</v>
      </c>
      <c r="M67" s="4">
        <f t="shared" ref="M67:M118" si="17">_xlfn.XLOOKUP(E67,AB:AB,AF:AF)</f>
        <v>1.3391999999999999</v>
      </c>
      <c r="N67">
        <v>0</v>
      </c>
      <c r="O67" s="7">
        <v>2.99</v>
      </c>
      <c r="P67" s="7"/>
      <c r="Q67" s="8">
        <f t="shared" ref="Q67:Q118" si="18">G67*J67+G67*M67*N67+O67+(I67*K67)</f>
        <v>30.674295999999998</v>
      </c>
      <c r="R67" s="8">
        <f t="shared" ref="R67:R118" si="19">Q67+G67*(R$1-1)*K67</f>
        <v>38.985813280000002</v>
      </c>
      <c r="S67" s="8">
        <f t="shared" ref="S67:S118" si="20">Q67+G67*(S$1-1)*K67</f>
        <v>39.489541600000003</v>
      </c>
      <c r="T67" s="8">
        <f t="shared" ref="T67:T118" si="21">Q67+G67*(T$1-1)*K67</f>
        <v>50.823428799999995</v>
      </c>
      <c r="U67" s="8">
        <f t="shared" ref="U67:U118" si="22">Q67+G67*(U$1-1)*K67</f>
        <v>55.860711999999992</v>
      </c>
      <c r="V67" s="8">
        <f t="shared" ref="V67:V118" si="23">Q67+G67*(V$1-1)*K67</f>
        <v>81.047127999999987</v>
      </c>
      <c r="W67" s="8">
        <f t="shared" ref="W67:W118" si="24">H67*W$1*L67</f>
        <v>28.648166399999997</v>
      </c>
      <c r="X67" s="8">
        <f t="shared" ref="X67:X118" si="25">H67*X$1*L67</f>
        <v>36.833356799999997</v>
      </c>
      <c r="Y67" s="8">
        <f t="shared" ref="Y67:Y118" si="26">H67*Y$1*L67</f>
        <v>40.925951999999995</v>
      </c>
      <c r="Z67" s="8">
        <f t="shared" ref="Z67:Z118" si="27">H67*Z$1*L67</f>
        <v>61.388927999999993</v>
      </c>
    </row>
    <row r="68" spans="1:26" x14ac:dyDescent="0.2">
      <c r="A68">
        <v>374549</v>
      </c>
      <c r="B68" t="s">
        <v>156</v>
      </c>
      <c r="C68" t="s">
        <v>79</v>
      </c>
      <c r="D68">
        <v>211</v>
      </c>
      <c r="E68" t="s">
        <v>27</v>
      </c>
      <c r="F68" t="s">
        <v>143</v>
      </c>
      <c r="G68" s="6">
        <v>16.829999999999998</v>
      </c>
      <c r="H68" s="6">
        <v>15.86</v>
      </c>
      <c r="I68" s="6">
        <v>0</v>
      </c>
      <c r="J68" s="4">
        <f t="shared" si="14"/>
        <v>1.6496999999999999</v>
      </c>
      <c r="K68" s="4">
        <f t="shared" si="15"/>
        <v>1.5022</v>
      </c>
      <c r="L68" s="4">
        <f t="shared" si="16"/>
        <v>1.2898000000000001</v>
      </c>
      <c r="M68" s="4">
        <f t="shared" si="17"/>
        <v>1.2898000000000001</v>
      </c>
      <c r="N68">
        <v>0</v>
      </c>
      <c r="O68" s="7">
        <v>2.99</v>
      </c>
      <c r="P68" s="7"/>
      <c r="Q68" s="8">
        <f t="shared" si="18"/>
        <v>30.754450999999996</v>
      </c>
      <c r="R68" s="8">
        <f t="shared" si="19"/>
        <v>39.097519579999997</v>
      </c>
      <c r="S68" s="8">
        <f t="shared" si="20"/>
        <v>39.603160099999997</v>
      </c>
      <c r="T68" s="8">
        <f t="shared" si="21"/>
        <v>50.98007179999999</v>
      </c>
      <c r="U68" s="8">
        <f t="shared" si="22"/>
        <v>56.036476999999991</v>
      </c>
      <c r="V68" s="8">
        <f t="shared" si="23"/>
        <v>81.318502999999993</v>
      </c>
      <c r="W68" s="8">
        <f t="shared" si="24"/>
        <v>28.638719199999997</v>
      </c>
      <c r="X68" s="8">
        <f t="shared" si="25"/>
        <v>36.821210399999998</v>
      </c>
      <c r="Y68" s="8">
        <f t="shared" si="26"/>
        <v>40.912455999999999</v>
      </c>
      <c r="Z68" s="8">
        <f t="shared" si="27"/>
        <v>61.368684000000002</v>
      </c>
    </row>
    <row r="69" spans="1:26" x14ac:dyDescent="0.2">
      <c r="A69">
        <v>421714</v>
      </c>
      <c r="B69" t="s">
        <v>45</v>
      </c>
      <c r="C69" t="s">
        <v>73</v>
      </c>
      <c r="D69">
        <v>76</v>
      </c>
      <c r="E69" t="s">
        <v>22</v>
      </c>
      <c r="F69" t="s">
        <v>23</v>
      </c>
      <c r="G69" s="6">
        <v>16.22</v>
      </c>
      <c r="H69" s="6">
        <v>15.28</v>
      </c>
      <c r="I69" s="6">
        <v>0</v>
      </c>
      <c r="J69" s="4">
        <f t="shared" si="14"/>
        <v>1.7068000000000001</v>
      </c>
      <c r="K69" s="4">
        <f t="shared" si="15"/>
        <v>1.5528</v>
      </c>
      <c r="L69" s="4">
        <f t="shared" si="16"/>
        <v>1.3391999999999999</v>
      </c>
      <c r="M69" s="4">
        <f t="shared" si="17"/>
        <v>1.3391999999999999</v>
      </c>
      <c r="N69">
        <v>0</v>
      </c>
      <c r="O69" s="7">
        <v>2.99</v>
      </c>
      <c r="P69" s="7"/>
      <c r="Q69" s="8">
        <f t="shared" si="18"/>
        <v>30.674295999999998</v>
      </c>
      <c r="R69" s="8">
        <f t="shared" si="19"/>
        <v>38.985813280000002</v>
      </c>
      <c r="S69" s="8">
        <f t="shared" si="20"/>
        <v>39.489541600000003</v>
      </c>
      <c r="T69" s="8">
        <f t="shared" si="21"/>
        <v>50.823428799999995</v>
      </c>
      <c r="U69" s="8">
        <f t="shared" si="22"/>
        <v>55.860711999999992</v>
      </c>
      <c r="V69" s="8">
        <f t="shared" si="23"/>
        <v>81.047127999999987</v>
      </c>
      <c r="W69" s="8">
        <f t="shared" si="24"/>
        <v>28.648166399999997</v>
      </c>
      <c r="X69" s="8">
        <f t="shared" si="25"/>
        <v>36.833356799999997</v>
      </c>
      <c r="Y69" s="8">
        <f t="shared" si="26"/>
        <v>40.925951999999995</v>
      </c>
      <c r="Z69" s="8">
        <f t="shared" si="27"/>
        <v>61.388927999999993</v>
      </c>
    </row>
    <row r="70" spans="1:26" x14ac:dyDescent="0.2">
      <c r="A70">
        <v>422725</v>
      </c>
      <c r="B70" t="s">
        <v>157</v>
      </c>
      <c r="C70" t="s">
        <v>158</v>
      </c>
      <c r="D70">
        <v>81</v>
      </c>
      <c r="E70" t="s">
        <v>22</v>
      </c>
      <c r="F70" t="s">
        <v>43</v>
      </c>
      <c r="G70" s="6">
        <v>17.28</v>
      </c>
      <c r="H70" s="6">
        <v>16.29</v>
      </c>
      <c r="I70" s="6">
        <v>0</v>
      </c>
      <c r="J70" s="4">
        <f t="shared" si="14"/>
        <v>1.7068000000000001</v>
      </c>
      <c r="K70" s="4">
        <f t="shared" si="15"/>
        <v>1.5528</v>
      </c>
      <c r="L70" s="4">
        <f t="shared" si="16"/>
        <v>1.3391999999999999</v>
      </c>
      <c r="M70" s="4">
        <f t="shared" si="17"/>
        <v>1.3391999999999999</v>
      </c>
      <c r="N70">
        <v>0</v>
      </c>
      <c r="O70" s="7">
        <v>2.99</v>
      </c>
      <c r="P70" s="7"/>
      <c r="Q70" s="8">
        <f t="shared" si="18"/>
        <v>32.483504000000003</v>
      </c>
      <c r="R70" s="8">
        <f t="shared" si="19"/>
        <v>41.338190720000007</v>
      </c>
      <c r="S70" s="8">
        <f t="shared" si="20"/>
        <v>41.874838400000009</v>
      </c>
      <c r="T70" s="8">
        <f t="shared" si="21"/>
        <v>53.9494112</v>
      </c>
      <c r="U70" s="8">
        <f t="shared" si="22"/>
        <v>59.315888000000001</v>
      </c>
      <c r="V70" s="8">
        <f t="shared" si="23"/>
        <v>86.148272000000006</v>
      </c>
      <c r="W70" s="8">
        <f t="shared" si="24"/>
        <v>30.541795199999996</v>
      </c>
      <c r="X70" s="8">
        <f t="shared" si="25"/>
        <v>39.2680224</v>
      </c>
      <c r="Y70" s="8">
        <f t="shared" si="26"/>
        <v>43.631135999999998</v>
      </c>
      <c r="Z70" s="8">
        <f t="shared" si="27"/>
        <v>65.446703999999997</v>
      </c>
    </row>
    <row r="71" spans="1:26" x14ac:dyDescent="0.2">
      <c r="A71">
        <v>442153</v>
      </c>
      <c r="B71" t="s">
        <v>159</v>
      </c>
      <c r="C71" t="s">
        <v>160</v>
      </c>
      <c r="D71">
        <v>39</v>
      </c>
      <c r="E71" t="s">
        <v>18</v>
      </c>
      <c r="F71" t="s">
        <v>23</v>
      </c>
      <c r="G71" s="6">
        <v>16.22</v>
      </c>
      <c r="H71" s="6">
        <v>15.28</v>
      </c>
      <c r="I71" s="6">
        <v>0</v>
      </c>
      <c r="J71" s="4">
        <f t="shared" si="14"/>
        <v>1.7024999999999999</v>
      </c>
      <c r="K71" s="4">
        <f t="shared" si="15"/>
        <v>1.5642</v>
      </c>
      <c r="L71" s="4">
        <f t="shared" si="16"/>
        <v>1.3552</v>
      </c>
      <c r="M71" s="4">
        <f t="shared" si="17"/>
        <v>1.3552</v>
      </c>
      <c r="N71">
        <v>0</v>
      </c>
      <c r="O71" s="7">
        <v>2.99</v>
      </c>
      <c r="P71" s="7"/>
      <c r="Q71" s="8">
        <f t="shared" si="18"/>
        <v>30.604549999999996</v>
      </c>
      <c r="R71" s="8">
        <f t="shared" si="19"/>
        <v>38.977086919999998</v>
      </c>
      <c r="S71" s="8">
        <f t="shared" si="20"/>
        <v>39.484513399999997</v>
      </c>
      <c r="T71" s="8">
        <f t="shared" si="21"/>
        <v>50.901609199999996</v>
      </c>
      <c r="U71" s="8">
        <f t="shared" si="22"/>
        <v>55.97587399999999</v>
      </c>
      <c r="V71" s="8">
        <f t="shared" si="23"/>
        <v>81.347197999999992</v>
      </c>
      <c r="W71" s="8">
        <f t="shared" si="24"/>
        <v>28.990438399999999</v>
      </c>
      <c r="X71" s="8">
        <f t="shared" si="25"/>
        <v>37.273420799999997</v>
      </c>
      <c r="Y71" s="8">
        <f t="shared" si="26"/>
        <v>41.414911999999994</v>
      </c>
      <c r="Z71" s="8">
        <f t="shared" si="27"/>
        <v>62.122367999999994</v>
      </c>
    </row>
    <row r="72" spans="1:26" x14ac:dyDescent="0.2">
      <c r="A72">
        <v>453422</v>
      </c>
      <c r="B72" t="s">
        <v>161</v>
      </c>
      <c r="C72" t="s">
        <v>162</v>
      </c>
      <c r="D72">
        <v>16</v>
      </c>
      <c r="E72" t="s">
        <v>18</v>
      </c>
      <c r="F72" t="s">
        <v>62</v>
      </c>
      <c r="G72" s="6">
        <v>17.04</v>
      </c>
      <c r="H72" s="6">
        <v>16.059999999999999</v>
      </c>
      <c r="I72" s="6">
        <v>0</v>
      </c>
      <c r="J72" s="4">
        <f t="shared" si="14"/>
        <v>1.7024999999999999</v>
      </c>
      <c r="K72" s="4">
        <f t="shared" si="15"/>
        <v>1.5642</v>
      </c>
      <c r="L72" s="4">
        <f t="shared" si="16"/>
        <v>1.3552</v>
      </c>
      <c r="M72" s="4">
        <f t="shared" si="17"/>
        <v>1.3552</v>
      </c>
      <c r="N72">
        <v>0</v>
      </c>
      <c r="O72" s="7">
        <v>2.99</v>
      </c>
      <c r="P72" s="7"/>
      <c r="Q72" s="8">
        <f t="shared" si="18"/>
        <v>32.000599999999999</v>
      </c>
      <c r="R72" s="8">
        <f t="shared" si="19"/>
        <v>40.796409439999998</v>
      </c>
      <c r="S72" s="8">
        <f t="shared" si="20"/>
        <v>41.3294888</v>
      </c>
      <c r="T72" s="8">
        <f t="shared" si="21"/>
        <v>53.323774399999998</v>
      </c>
      <c r="U72" s="8">
        <f t="shared" si="22"/>
        <v>58.654567999999998</v>
      </c>
      <c r="V72" s="8">
        <f t="shared" si="23"/>
        <v>85.308536000000004</v>
      </c>
      <c r="W72" s="8">
        <f t="shared" si="24"/>
        <v>30.470316799999996</v>
      </c>
      <c r="X72" s="8">
        <f t="shared" si="25"/>
        <v>39.176121599999995</v>
      </c>
      <c r="Y72" s="8">
        <f t="shared" si="26"/>
        <v>43.529023999999993</v>
      </c>
      <c r="Z72" s="8">
        <f t="shared" si="27"/>
        <v>65.293535999999989</v>
      </c>
    </row>
    <row r="73" spans="1:26" x14ac:dyDescent="0.2">
      <c r="A73">
        <v>382788</v>
      </c>
      <c r="B73" t="s">
        <v>163</v>
      </c>
      <c r="C73" t="s">
        <v>164</v>
      </c>
      <c r="D73">
        <v>36</v>
      </c>
      <c r="E73" t="s">
        <v>18</v>
      </c>
      <c r="F73" t="s">
        <v>23</v>
      </c>
      <c r="G73" s="6">
        <v>16.22</v>
      </c>
      <c r="H73" s="6">
        <v>15.28</v>
      </c>
      <c r="I73" s="6">
        <v>0</v>
      </c>
      <c r="J73" s="4">
        <f t="shared" si="14"/>
        <v>1.7024999999999999</v>
      </c>
      <c r="K73" s="4">
        <f t="shared" si="15"/>
        <v>1.5642</v>
      </c>
      <c r="L73" s="4">
        <f t="shared" si="16"/>
        <v>1.3552</v>
      </c>
      <c r="M73" s="4">
        <f t="shared" si="17"/>
        <v>1.3552</v>
      </c>
      <c r="N73">
        <v>0</v>
      </c>
      <c r="O73" s="7">
        <v>2.99</v>
      </c>
      <c r="P73" s="7"/>
      <c r="Q73" s="8">
        <f t="shared" si="18"/>
        <v>30.604549999999996</v>
      </c>
      <c r="R73" s="8">
        <f t="shared" si="19"/>
        <v>38.977086919999998</v>
      </c>
      <c r="S73" s="8">
        <f t="shared" si="20"/>
        <v>39.484513399999997</v>
      </c>
      <c r="T73" s="8">
        <f t="shared" si="21"/>
        <v>50.901609199999996</v>
      </c>
      <c r="U73" s="8">
        <f t="shared" si="22"/>
        <v>55.97587399999999</v>
      </c>
      <c r="V73" s="8">
        <f t="shared" si="23"/>
        <v>81.347197999999992</v>
      </c>
      <c r="W73" s="8">
        <f t="shared" si="24"/>
        <v>28.990438399999999</v>
      </c>
      <c r="X73" s="8">
        <f t="shared" si="25"/>
        <v>37.273420799999997</v>
      </c>
      <c r="Y73" s="8">
        <f t="shared" si="26"/>
        <v>41.414911999999994</v>
      </c>
      <c r="Z73" s="8">
        <f t="shared" si="27"/>
        <v>62.122367999999994</v>
      </c>
    </row>
    <row r="74" spans="1:26" x14ac:dyDescent="0.2">
      <c r="A74">
        <v>385246</v>
      </c>
      <c r="B74" t="s">
        <v>165</v>
      </c>
      <c r="C74" t="s">
        <v>108</v>
      </c>
      <c r="D74">
        <v>78</v>
      </c>
      <c r="E74" t="s">
        <v>22</v>
      </c>
      <c r="F74" t="s">
        <v>23</v>
      </c>
      <c r="G74" s="6">
        <v>16.22</v>
      </c>
      <c r="H74" s="6">
        <v>15.28</v>
      </c>
      <c r="I74" s="6">
        <v>0</v>
      </c>
      <c r="J74" s="4">
        <f t="shared" si="14"/>
        <v>1.7068000000000001</v>
      </c>
      <c r="K74" s="4">
        <f t="shared" si="15"/>
        <v>1.5528</v>
      </c>
      <c r="L74" s="4">
        <f t="shared" si="16"/>
        <v>1.3391999999999999</v>
      </c>
      <c r="M74" s="4">
        <f t="shared" si="17"/>
        <v>1.3391999999999999</v>
      </c>
      <c r="N74">
        <v>0</v>
      </c>
      <c r="O74" s="7">
        <v>2.99</v>
      </c>
      <c r="P74" s="7"/>
      <c r="Q74" s="8">
        <f t="shared" si="18"/>
        <v>30.674295999999998</v>
      </c>
      <c r="R74" s="8">
        <f t="shared" si="19"/>
        <v>38.985813280000002</v>
      </c>
      <c r="S74" s="8">
        <f t="shared" si="20"/>
        <v>39.489541600000003</v>
      </c>
      <c r="T74" s="8">
        <f t="shared" si="21"/>
        <v>50.823428799999995</v>
      </c>
      <c r="U74" s="8">
        <f t="shared" si="22"/>
        <v>55.860711999999992</v>
      </c>
      <c r="V74" s="8">
        <f t="shared" si="23"/>
        <v>81.047127999999987</v>
      </c>
      <c r="W74" s="8">
        <f t="shared" si="24"/>
        <v>28.648166399999997</v>
      </c>
      <c r="X74" s="8">
        <f t="shared" si="25"/>
        <v>36.833356799999997</v>
      </c>
      <c r="Y74" s="8">
        <f t="shared" si="26"/>
        <v>40.925951999999995</v>
      </c>
      <c r="Z74" s="8">
        <f t="shared" si="27"/>
        <v>61.388927999999993</v>
      </c>
    </row>
    <row r="75" spans="1:26" x14ac:dyDescent="0.2">
      <c r="A75">
        <v>374526</v>
      </c>
      <c r="B75" t="s">
        <v>166</v>
      </c>
      <c r="C75" t="s">
        <v>167</v>
      </c>
      <c r="D75">
        <v>270</v>
      </c>
      <c r="E75" t="s">
        <v>27</v>
      </c>
      <c r="F75" t="s">
        <v>126</v>
      </c>
      <c r="G75" s="6">
        <v>17.559999999999999</v>
      </c>
      <c r="H75" s="6">
        <v>16.55</v>
      </c>
      <c r="I75" s="6">
        <v>0</v>
      </c>
      <c r="J75" s="4">
        <f t="shared" si="14"/>
        <v>1.6496999999999999</v>
      </c>
      <c r="K75" s="4">
        <f t="shared" si="15"/>
        <v>1.5022</v>
      </c>
      <c r="L75" s="4">
        <f t="shared" si="16"/>
        <v>1.2898000000000001</v>
      </c>
      <c r="M75" s="4">
        <f t="shared" si="17"/>
        <v>1.2898000000000001</v>
      </c>
      <c r="N75">
        <v>0</v>
      </c>
      <c r="O75" s="7">
        <v>2.99</v>
      </c>
      <c r="P75" s="7"/>
      <c r="Q75" s="8">
        <f t="shared" si="18"/>
        <v>31.958731999999998</v>
      </c>
      <c r="R75" s="8">
        <f t="shared" si="19"/>
        <v>40.663680559999996</v>
      </c>
      <c r="S75" s="8">
        <f t="shared" si="20"/>
        <v>41.191253199999998</v>
      </c>
      <c r="T75" s="8">
        <f t="shared" si="21"/>
        <v>53.061637599999997</v>
      </c>
      <c r="U75" s="8">
        <f t="shared" si="22"/>
        <v>58.337363999999994</v>
      </c>
      <c r="V75" s="8">
        <f t="shared" si="23"/>
        <v>84.71599599999999</v>
      </c>
      <c r="W75" s="8">
        <f t="shared" si="24"/>
        <v>29.884665999999999</v>
      </c>
      <c r="X75" s="8">
        <f t="shared" si="25"/>
        <v>38.423142000000006</v>
      </c>
      <c r="Y75" s="8">
        <f t="shared" si="26"/>
        <v>42.692380000000007</v>
      </c>
      <c r="Z75" s="8">
        <f t="shared" si="27"/>
        <v>64.038570000000007</v>
      </c>
    </row>
    <row r="76" spans="1:26" x14ac:dyDescent="0.2">
      <c r="A76">
        <v>455776</v>
      </c>
      <c r="B76" t="s">
        <v>168</v>
      </c>
      <c r="C76" t="s">
        <v>108</v>
      </c>
      <c r="D76">
        <v>8</v>
      </c>
      <c r="E76" t="s">
        <v>18</v>
      </c>
      <c r="F76" t="s">
        <v>26</v>
      </c>
      <c r="G76" s="6">
        <v>16.010000000000002</v>
      </c>
      <c r="H76" s="6">
        <v>15.09</v>
      </c>
      <c r="I76" s="6">
        <v>0</v>
      </c>
      <c r="J76" s="4">
        <f t="shared" si="14"/>
        <v>1.7024999999999999</v>
      </c>
      <c r="K76" s="4">
        <f t="shared" si="15"/>
        <v>1.5642</v>
      </c>
      <c r="L76" s="4">
        <f t="shared" si="16"/>
        <v>1.3552</v>
      </c>
      <c r="M76" s="4">
        <f t="shared" si="17"/>
        <v>1.3552</v>
      </c>
      <c r="N76">
        <v>0</v>
      </c>
      <c r="O76" s="7">
        <v>2.99</v>
      </c>
      <c r="P76" s="7"/>
      <c r="Q76" s="8">
        <f t="shared" si="18"/>
        <v>30.247025000000001</v>
      </c>
      <c r="R76" s="8">
        <f t="shared" si="19"/>
        <v>38.511162859999999</v>
      </c>
      <c r="S76" s="8">
        <f t="shared" si="20"/>
        <v>39.012019700000003</v>
      </c>
      <c r="T76" s="8">
        <f t="shared" si="21"/>
        <v>50.2812986</v>
      </c>
      <c r="U76" s="8">
        <f t="shared" si="22"/>
        <v>55.289867000000001</v>
      </c>
      <c r="V76" s="8">
        <f t="shared" si="23"/>
        <v>80.332709000000008</v>
      </c>
      <c r="W76" s="8">
        <f t="shared" si="24"/>
        <v>28.629955199999998</v>
      </c>
      <c r="X76" s="8">
        <f t="shared" si="25"/>
        <v>36.809942399999997</v>
      </c>
      <c r="Y76" s="8">
        <f t="shared" si="26"/>
        <v>40.899935999999997</v>
      </c>
      <c r="Z76" s="8">
        <f t="shared" si="27"/>
        <v>61.349903999999995</v>
      </c>
    </row>
    <row r="77" spans="1:26" x14ac:dyDescent="0.2">
      <c r="A77">
        <v>380663</v>
      </c>
      <c r="B77" t="s">
        <v>169</v>
      </c>
      <c r="C77" t="s">
        <v>170</v>
      </c>
      <c r="D77">
        <v>142</v>
      </c>
      <c r="E77" t="s">
        <v>22</v>
      </c>
      <c r="F77" t="s">
        <v>57</v>
      </c>
      <c r="G77" s="6">
        <v>16.63</v>
      </c>
      <c r="H77" s="6">
        <v>15.67</v>
      </c>
      <c r="I77" s="6">
        <v>0</v>
      </c>
      <c r="J77" s="4">
        <f t="shared" si="14"/>
        <v>1.7068000000000001</v>
      </c>
      <c r="K77" s="4">
        <f t="shared" si="15"/>
        <v>1.5528</v>
      </c>
      <c r="L77" s="4">
        <f t="shared" si="16"/>
        <v>1.3391999999999999</v>
      </c>
      <c r="M77" s="4">
        <f t="shared" si="17"/>
        <v>1.3391999999999999</v>
      </c>
      <c r="N77">
        <v>0</v>
      </c>
      <c r="O77" s="7">
        <v>2.99</v>
      </c>
      <c r="P77" s="7"/>
      <c r="Q77" s="8">
        <f t="shared" si="18"/>
        <v>31.374084000000003</v>
      </c>
      <c r="R77" s="8">
        <f t="shared" si="19"/>
        <v>39.895695120000006</v>
      </c>
      <c r="S77" s="8">
        <f t="shared" si="20"/>
        <v>40.412156400000001</v>
      </c>
      <c r="T77" s="8">
        <f t="shared" si="21"/>
        <v>52.032535199999998</v>
      </c>
      <c r="U77" s="8">
        <f t="shared" si="22"/>
        <v>57.197147999999999</v>
      </c>
      <c r="V77" s="8">
        <f t="shared" si="23"/>
        <v>83.020212000000001</v>
      </c>
      <c r="W77" s="8">
        <f t="shared" si="24"/>
        <v>29.379369599999997</v>
      </c>
      <c r="X77" s="8">
        <f t="shared" si="25"/>
        <v>37.7734752</v>
      </c>
      <c r="Y77" s="8">
        <f t="shared" si="26"/>
        <v>41.970528000000002</v>
      </c>
      <c r="Z77" s="8">
        <f t="shared" si="27"/>
        <v>62.955791999999995</v>
      </c>
    </row>
    <row r="78" spans="1:26" x14ac:dyDescent="0.2">
      <c r="A78">
        <v>441763</v>
      </c>
      <c r="B78" t="s">
        <v>171</v>
      </c>
      <c r="C78" t="s">
        <v>164</v>
      </c>
      <c r="D78">
        <v>38</v>
      </c>
      <c r="E78" t="s">
        <v>18</v>
      </c>
      <c r="F78" t="s">
        <v>23</v>
      </c>
      <c r="G78" s="6">
        <v>16.22</v>
      </c>
      <c r="H78" s="6">
        <v>15.28</v>
      </c>
      <c r="I78" s="6">
        <v>0</v>
      </c>
      <c r="J78" s="4">
        <f t="shared" si="14"/>
        <v>1.7024999999999999</v>
      </c>
      <c r="K78" s="4">
        <f t="shared" si="15"/>
        <v>1.5642</v>
      </c>
      <c r="L78" s="4">
        <f t="shared" si="16"/>
        <v>1.3552</v>
      </c>
      <c r="M78" s="4">
        <f t="shared" si="17"/>
        <v>1.3552</v>
      </c>
      <c r="N78">
        <v>0</v>
      </c>
      <c r="O78" s="7">
        <v>2.99</v>
      </c>
      <c r="P78" s="7"/>
      <c r="Q78" s="8">
        <f t="shared" si="18"/>
        <v>30.604549999999996</v>
      </c>
      <c r="R78" s="8">
        <f t="shared" si="19"/>
        <v>38.977086919999998</v>
      </c>
      <c r="S78" s="8">
        <f t="shared" si="20"/>
        <v>39.484513399999997</v>
      </c>
      <c r="T78" s="8">
        <f t="shared" si="21"/>
        <v>50.901609199999996</v>
      </c>
      <c r="U78" s="8">
        <f t="shared" si="22"/>
        <v>55.97587399999999</v>
      </c>
      <c r="V78" s="8">
        <f t="shared" si="23"/>
        <v>81.347197999999992</v>
      </c>
      <c r="W78" s="8">
        <f t="shared" si="24"/>
        <v>28.990438399999999</v>
      </c>
      <c r="X78" s="8">
        <f t="shared" si="25"/>
        <v>37.273420799999997</v>
      </c>
      <c r="Y78" s="8">
        <f t="shared" si="26"/>
        <v>41.414911999999994</v>
      </c>
      <c r="Z78" s="8">
        <f t="shared" si="27"/>
        <v>62.122367999999994</v>
      </c>
    </row>
    <row r="79" spans="1:26" x14ac:dyDescent="0.2">
      <c r="A79">
        <v>366142</v>
      </c>
      <c r="B79" t="s">
        <v>172</v>
      </c>
      <c r="C79" t="s">
        <v>39</v>
      </c>
      <c r="D79">
        <v>10</v>
      </c>
      <c r="E79" t="s">
        <v>18</v>
      </c>
      <c r="F79" t="s">
        <v>26</v>
      </c>
      <c r="G79" s="6">
        <v>16.010000000000002</v>
      </c>
      <c r="H79" s="6">
        <v>15.09</v>
      </c>
      <c r="I79" s="6">
        <v>0</v>
      </c>
      <c r="J79" s="4">
        <f t="shared" si="14"/>
        <v>1.7024999999999999</v>
      </c>
      <c r="K79" s="4">
        <f t="shared" si="15"/>
        <v>1.5642</v>
      </c>
      <c r="L79" s="4">
        <f t="shared" si="16"/>
        <v>1.3552</v>
      </c>
      <c r="M79" s="4">
        <f t="shared" si="17"/>
        <v>1.3552</v>
      </c>
      <c r="N79">
        <v>0</v>
      </c>
      <c r="O79" s="7">
        <v>2.99</v>
      </c>
      <c r="P79" s="7"/>
      <c r="Q79" s="8">
        <f t="shared" si="18"/>
        <v>30.247025000000001</v>
      </c>
      <c r="R79" s="8">
        <f t="shared" si="19"/>
        <v>38.511162859999999</v>
      </c>
      <c r="S79" s="8">
        <f t="shared" si="20"/>
        <v>39.012019700000003</v>
      </c>
      <c r="T79" s="8">
        <f t="shared" si="21"/>
        <v>50.2812986</v>
      </c>
      <c r="U79" s="8">
        <f t="shared" si="22"/>
        <v>55.289867000000001</v>
      </c>
      <c r="V79" s="8">
        <f t="shared" si="23"/>
        <v>80.332709000000008</v>
      </c>
      <c r="W79" s="8">
        <f t="shared" si="24"/>
        <v>28.629955199999998</v>
      </c>
      <c r="X79" s="8">
        <f t="shared" si="25"/>
        <v>36.809942399999997</v>
      </c>
      <c r="Y79" s="8">
        <f t="shared" si="26"/>
        <v>40.899935999999997</v>
      </c>
      <c r="Z79" s="8">
        <f t="shared" si="27"/>
        <v>61.349903999999995</v>
      </c>
    </row>
    <row r="80" spans="1:26" x14ac:dyDescent="0.2">
      <c r="A80">
        <v>374717</v>
      </c>
      <c r="B80" t="s">
        <v>173</v>
      </c>
      <c r="C80" t="s">
        <v>164</v>
      </c>
      <c r="D80">
        <v>216</v>
      </c>
      <c r="E80" t="s">
        <v>27</v>
      </c>
      <c r="F80" t="s">
        <v>143</v>
      </c>
      <c r="G80" s="6">
        <v>16.829999999999998</v>
      </c>
      <c r="H80" s="6">
        <v>15.86</v>
      </c>
      <c r="I80" s="6">
        <v>0</v>
      </c>
      <c r="J80" s="4">
        <f t="shared" si="14"/>
        <v>1.6496999999999999</v>
      </c>
      <c r="K80" s="4">
        <f t="shared" si="15"/>
        <v>1.5022</v>
      </c>
      <c r="L80" s="4">
        <f t="shared" si="16"/>
        <v>1.2898000000000001</v>
      </c>
      <c r="M80" s="4">
        <f t="shared" si="17"/>
        <v>1.2898000000000001</v>
      </c>
      <c r="N80">
        <v>0</v>
      </c>
      <c r="O80" s="7">
        <v>2.99</v>
      </c>
      <c r="P80" s="7"/>
      <c r="Q80" s="8">
        <f t="shared" si="18"/>
        <v>30.754450999999996</v>
      </c>
      <c r="R80" s="8">
        <f t="shared" si="19"/>
        <v>39.097519579999997</v>
      </c>
      <c r="S80" s="8">
        <f t="shared" si="20"/>
        <v>39.603160099999997</v>
      </c>
      <c r="T80" s="8">
        <f t="shared" si="21"/>
        <v>50.98007179999999</v>
      </c>
      <c r="U80" s="8">
        <f t="shared" si="22"/>
        <v>56.036476999999991</v>
      </c>
      <c r="V80" s="8">
        <f t="shared" si="23"/>
        <v>81.318502999999993</v>
      </c>
      <c r="W80" s="8">
        <f t="shared" si="24"/>
        <v>28.638719199999997</v>
      </c>
      <c r="X80" s="8">
        <f t="shared" si="25"/>
        <v>36.821210399999998</v>
      </c>
      <c r="Y80" s="8">
        <f t="shared" si="26"/>
        <v>40.912455999999999</v>
      </c>
      <c r="Z80" s="8">
        <f t="shared" si="27"/>
        <v>61.368684000000002</v>
      </c>
    </row>
    <row r="81" spans="1:26" x14ac:dyDescent="0.2">
      <c r="A81">
        <v>434591</v>
      </c>
      <c r="B81" t="s">
        <v>174</v>
      </c>
      <c r="C81" t="s">
        <v>175</v>
      </c>
      <c r="D81">
        <v>58</v>
      </c>
      <c r="E81" t="s">
        <v>22</v>
      </c>
      <c r="F81" t="s">
        <v>23</v>
      </c>
      <c r="G81" s="6">
        <v>16.22</v>
      </c>
      <c r="H81" s="6">
        <v>15.28</v>
      </c>
      <c r="I81" s="6">
        <v>0</v>
      </c>
      <c r="J81" s="4">
        <f t="shared" si="14"/>
        <v>1.7068000000000001</v>
      </c>
      <c r="K81" s="4">
        <f t="shared" si="15"/>
        <v>1.5528</v>
      </c>
      <c r="L81" s="4">
        <f t="shared" si="16"/>
        <v>1.3391999999999999</v>
      </c>
      <c r="M81" s="4">
        <f t="shared" si="17"/>
        <v>1.3391999999999999</v>
      </c>
      <c r="N81">
        <v>0</v>
      </c>
      <c r="O81" s="7">
        <v>2.99</v>
      </c>
      <c r="P81" s="7"/>
      <c r="Q81" s="8">
        <f t="shared" si="18"/>
        <v>30.674295999999998</v>
      </c>
      <c r="R81" s="8">
        <f t="shared" si="19"/>
        <v>38.985813280000002</v>
      </c>
      <c r="S81" s="8">
        <f t="shared" si="20"/>
        <v>39.489541600000003</v>
      </c>
      <c r="T81" s="8">
        <f t="shared" si="21"/>
        <v>50.823428799999995</v>
      </c>
      <c r="U81" s="8">
        <f t="shared" si="22"/>
        <v>55.860711999999992</v>
      </c>
      <c r="V81" s="8">
        <f t="shared" si="23"/>
        <v>81.047127999999987</v>
      </c>
      <c r="W81" s="8">
        <f t="shared" si="24"/>
        <v>28.648166399999997</v>
      </c>
      <c r="X81" s="8">
        <f t="shared" si="25"/>
        <v>36.833356799999997</v>
      </c>
      <c r="Y81" s="8">
        <f t="shared" si="26"/>
        <v>40.925951999999995</v>
      </c>
      <c r="Z81" s="8">
        <f t="shared" si="27"/>
        <v>61.388927999999993</v>
      </c>
    </row>
    <row r="82" spans="1:26" x14ac:dyDescent="0.2">
      <c r="A82">
        <v>425133</v>
      </c>
      <c r="B82" t="s">
        <v>176</v>
      </c>
      <c r="C82" t="s">
        <v>177</v>
      </c>
      <c r="D82">
        <v>70</v>
      </c>
      <c r="E82" t="s">
        <v>22</v>
      </c>
      <c r="F82" t="s">
        <v>178</v>
      </c>
      <c r="G82" s="6">
        <v>17.760000000000002</v>
      </c>
      <c r="H82" s="6">
        <v>16.75</v>
      </c>
      <c r="I82" s="6">
        <v>0</v>
      </c>
      <c r="J82" s="4">
        <f t="shared" si="14"/>
        <v>1.7068000000000001</v>
      </c>
      <c r="K82" s="4">
        <f t="shared" si="15"/>
        <v>1.5528</v>
      </c>
      <c r="L82" s="4">
        <f t="shared" si="16"/>
        <v>1.3391999999999999</v>
      </c>
      <c r="M82" s="4">
        <f t="shared" si="17"/>
        <v>1.3391999999999999</v>
      </c>
      <c r="N82">
        <v>0</v>
      </c>
      <c r="O82" s="7">
        <v>2.99</v>
      </c>
      <c r="P82" s="7"/>
      <c r="Q82" s="8">
        <f t="shared" si="18"/>
        <v>33.302768000000007</v>
      </c>
      <c r="R82" s="8">
        <f t="shared" si="19"/>
        <v>42.403418240000008</v>
      </c>
      <c r="S82" s="8">
        <f t="shared" si="20"/>
        <v>42.954972800000007</v>
      </c>
      <c r="T82" s="8">
        <f t="shared" si="21"/>
        <v>55.364950400000012</v>
      </c>
      <c r="U82" s="8">
        <f t="shared" si="22"/>
        <v>60.880496000000008</v>
      </c>
      <c r="V82" s="8">
        <f t="shared" si="23"/>
        <v>88.458224000000001</v>
      </c>
      <c r="W82" s="8">
        <f t="shared" si="24"/>
        <v>31.404239999999998</v>
      </c>
      <c r="X82" s="8">
        <f t="shared" si="25"/>
        <v>40.37688</v>
      </c>
      <c r="Y82" s="8">
        <f t="shared" si="26"/>
        <v>44.863199999999999</v>
      </c>
      <c r="Z82" s="8">
        <f t="shared" si="27"/>
        <v>67.294799999999995</v>
      </c>
    </row>
    <row r="83" spans="1:26" x14ac:dyDescent="0.2">
      <c r="A83">
        <v>416114</v>
      </c>
      <c r="B83" t="s">
        <v>179</v>
      </c>
      <c r="C83" t="s">
        <v>180</v>
      </c>
      <c r="D83">
        <v>55</v>
      </c>
      <c r="E83" t="s">
        <v>22</v>
      </c>
      <c r="F83" t="s">
        <v>23</v>
      </c>
      <c r="G83" s="6">
        <v>16.22</v>
      </c>
      <c r="H83" s="6">
        <v>15.28</v>
      </c>
      <c r="I83" s="6">
        <v>0</v>
      </c>
      <c r="J83" s="4">
        <f t="shared" si="14"/>
        <v>1.7068000000000001</v>
      </c>
      <c r="K83" s="4">
        <f t="shared" si="15"/>
        <v>1.5528</v>
      </c>
      <c r="L83" s="4">
        <f t="shared" si="16"/>
        <v>1.3391999999999999</v>
      </c>
      <c r="M83" s="4">
        <f t="shared" si="17"/>
        <v>1.3391999999999999</v>
      </c>
      <c r="N83">
        <v>0</v>
      </c>
      <c r="O83" s="7">
        <v>2.99</v>
      </c>
      <c r="P83" s="7"/>
      <c r="Q83" s="8">
        <f t="shared" si="18"/>
        <v>30.674295999999998</v>
      </c>
      <c r="R83" s="8">
        <f t="shared" si="19"/>
        <v>38.985813280000002</v>
      </c>
      <c r="S83" s="8">
        <f t="shared" si="20"/>
        <v>39.489541600000003</v>
      </c>
      <c r="T83" s="8">
        <f t="shared" si="21"/>
        <v>50.823428799999995</v>
      </c>
      <c r="U83" s="8">
        <f t="shared" si="22"/>
        <v>55.860711999999992</v>
      </c>
      <c r="V83" s="8">
        <f t="shared" si="23"/>
        <v>81.047127999999987</v>
      </c>
      <c r="W83" s="8">
        <f t="shared" si="24"/>
        <v>28.648166399999997</v>
      </c>
      <c r="X83" s="8">
        <f t="shared" si="25"/>
        <v>36.833356799999997</v>
      </c>
      <c r="Y83" s="8">
        <f t="shared" si="26"/>
        <v>40.925951999999995</v>
      </c>
      <c r="Z83" s="8">
        <f t="shared" si="27"/>
        <v>61.388927999999993</v>
      </c>
    </row>
    <row r="84" spans="1:26" x14ac:dyDescent="0.2">
      <c r="A84">
        <v>411771</v>
      </c>
      <c r="B84" t="s">
        <v>181</v>
      </c>
      <c r="C84" t="s">
        <v>182</v>
      </c>
      <c r="D84">
        <v>99</v>
      </c>
      <c r="E84" t="s">
        <v>22</v>
      </c>
      <c r="F84" t="s">
        <v>178</v>
      </c>
      <c r="G84" s="6">
        <v>17.760000000000002</v>
      </c>
      <c r="H84" s="6">
        <v>16.75</v>
      </c>
      <c r="I84" s="6">
        <v>0</v>
      </c>
      <c r="J84" s="4">
        <f t="shared" si="14"/>
        <v>1.7068000000000001</v>
      </c>
      <c r="K84" s="4">
        <f t="shared" si="15"/>
        <v>1.5528</v>
      </c>
      <c r="L84" s="4">
        <f t="shared" si="16"/>
        <v>1.3391999999999999</v>
      </c>
      <c r="M84" s="4">
        <f t="shared" si="17"/>
        <v>1.3391999999999999</v>
      </c>
      <c r="N84">
        <v>0</v>
      </c>
      <c r="O84" s="7">
        <v>2.99</v>
      </c>
      <c r="P84" s="7"/>
      <c r="Q84" s="8">
        <f t="shared" si="18"/>
        <v>33.302768000000007</v>
      </c>
      <c r="R84" s="8">
        <f t="shared" si="19"/>
        <v>42.403418240000008</v>
      </c>
      <c r="S84" s="8">
        <f t="shared" si="20"/>
        <v>42.954972800000007</v>
      </c>
      <c r="T84" s="8">
        <f t="shared" si="21"/>
        <v>55.364950400000012</v>
      </c>
      <c r="U84" s="8">
        <f t="shared" si="22"/>
        <v>60.880496000000008</v>
      </c>
      <c r="V84" s="8">
        <f t="shared" si="23"/>
        <v>88.458224000000001</v>
      </c>
      <c r="W84" s="8">
        <f t="shared" si="24"/>
        <v>31.404239999999998</v>
      </c>
      <c r="X84" s="8">
        <f t="shared" si="25"/>
        <v>40.37688</v>
      </c>
      <c r="Y84" s="8">
        <f t="shared" si="26"/>
        <v>44.863199999999999</v>
      </c>
      <c r="Z84" s="8">
        <f t="shared" si="27"/>
        <v>67.294799999999995</v>
      </c>
    </row>
    <row r="85" spans="1:26" x14ac:dyDescent="0.2">
      <c r="A85">
        <v>420508</v>
      </c>
      <c r="B85" t="s">
        <v>183</v>
      </c>
      <c r="C85" t="s">
        <v>184</v>
      </c>
      <c r="D85">
        <v>65</v>
      </c>
      <c r="E85" t="s">
        <v>22</v>
      </c>
      <c r="F85" t="s">
        <v>62</v>
      </c>
      <c r="G85" s="6">
        <v>17.04</v>
      </c>
      <c r="H85" s="6">
        <v>16.059999999999999</v>
      </c>
      <c r="I85" s="6">
        <v>0</v>
      </c>
      <c r="J85" s="4">
        <f t="shared" si="14"/>
        <v>1.7068000000000001</v>
      </c>
      <c r="K85" s="4">
        <f t="shared" si="15"/>
        <v>1.5528</v>
      </c>
      <c r="L85" s="4">
        <f t="shared" si="16"/>
        <v>1.3391999999999999</v>
      </c>
      <c r="M85" s="4">
        <f t="shared" si="17"/>
        <v>1.3391999999999999</v>
      </c>
      <c r="N85">
        <v>0</v>
      </c>
      <c r="O85" s="7">
        <v>2.99</v>
      </c>
      <c r="P85" s="7"/>
      <c r="Q85" s="8">
        <f t="shared" si="18"/>
        <v>32.073872000000001</v>
      </c>
      <c r="R85" s="8">
        <f t="shared" si="19"/>
        <v>40.805576960000003</v>
      </c>
      <c r="S85" s="8">
        <f t="shared" si="20"/>
        <v>41.334771200000006</v>
      </c>
      <c r="T85" s="8">
        <f t="shared" si="21"/>
        <v>53.241641600000001</v>
      </c>
      <c r="U85" s="8">
        <f t="shared" si="22"/>
        <v>58.533584000000005</v>
      </c>
      <c r="V85" s="8">
        <f t="shared" si="23"/>
        <v>84.993296000000001</v>
      </c>
      <c r="W85" s="8">
        <f t="shared" si="24"/>
        <v>30.110572799999996</v>
      </c>
      <c r="X85" s="8">
        <f t="shared" si="25"/>
        <v>38.713593599999996</v>
      </c>
      <c r="Y85" s="8">
        <f t="shared" si="26"/>
        <v>43.015103999999994</v>
      </c>
      <c r="Z85" s="8">
        <f t="shared" si="27"/>
        <v>64.522655999999984</v>
      </c>
    </row>
    <row r="86" spans="1:26" x14ac:dyDescent="0.2">
      <c r="A86">
        <v>399663</v>
      </c>
      <c r="B86" t="s">
        <v>185</v>
      </c>
      <c r="C86" t="s">
        <v>186</v>
      </c>
      <c r="D86">
        <v>51</v>
      </c>
      <c r="E86" t="s">
        <v>18</v>
      </c>
      <c r="F86" t="s">
        <v>23</v>
      </c>
      <c r="G86" s="6">
        <v>16.22</v>
      </c>
      <c r="H86" s="6">
        <v>15.28</v>
      </c>
      <c r="I86" s="6">
        <v>0</v>
      </c>
      <c r="J86" s="4">
        <f t="shared" si="14"/>
        <v>1.7024999999999999</v>
      </c>
      <c r="K86" s="4">
        <f t="shared" si="15"/>
        <v>1.5642</v>
      </c>
      <c r="L86" s="4">
        <f t="shared" si="16"/>
        <v>1.3552</v>
      </c>
      <c r="M86" s="4">
        <f t="shared" si="17"/>
        <v>1.3552</v>
      </c>
      <c r="N86">
        <v>0</v>
      </c>
      <c r="O86" s="7">
        <v>2.99</v>
      </c>
      <c r="P86" s="7"/>
      <c r="Q86" s="8">
        <f t="shared" si="18"/>
        <v>30.604549999999996</v>
      </c>
      <c r="R86" s="8">
        <f t="shared" si="19"/>
        <v>38.977086919999998</v>
      </c>
      <c r="S86" s="8">
        <f t="shared" si="20"/>
        <v>39.484513399999997</v>
      </c>
      <c r="T86" s="8">
        <f t="shared" si="21"/>
        <v>50.901609199999996</v>
      </c>
      <c r="U86" s="8">
        <f t="shared" si="22"/>
        <v>55.97587399999999</v>
      </c>
      <c r="V86" s="8">
        <f t="shared" si="23"/>
        <v>81.347197999999992</v>
      </c>
      <c r="W86" s="8">
        <f t="shared" si="24"/>
        <v>28.990438399999999</v>
      </c>
      <c r="X86" s="8">
        <f t="shared" si="25"/>
        <v>37.273420799999997</v>
      </c>
      <c r="Y86" s="8">
        <f t="shared" si="26"/>
        <v>41.414911999999994</v>
      </c>
      <c r="Z86" s="8">
        <f t="shared" si="27"/>
        <v>62.122367999999994</v>
      </c>
    </row>
    <row r="87" spans="1:26" x14ac:dyDescent="0.2">
      <c r="A87">
        <v>452963</v>
      </c>
      <c r="B87" t="s">
        <v>187</v>
      </c>
      <c r="C87" t="s">
        <v>188</v>
      </c>
      <c r="D87">
        <v>17</v>
      </c>
      <c r="E87" t="s">
        <v>18</v>
      </c>
      <c r="F87" t="s">
        <v>26</v>
      </c>
      <c r="G87" s="6">
        <v>16.010000000000002</v>
      </c>
      <c r="H87" s="6">
        <v>15.09</v>
      </c>
      <c r="I87" s="6">
        <v>0</v>
      </c>
      <c r="J87" s="4">
        <f t="shared" si="14"/>
        <v>1.7024999999999999</v>
      </c>
      <c r="K87" s="4">
        <f t="shared" si="15"/>
        <v>1.5642</v>
      </c>
      <c r="L87" s="4">
        <f t="shared" si="16"/>
        <v>1.3552</v>
      </c>
      <c r="M87" s="4">
        <f t="shared" si="17"/>
        <v>1.3552</v>
      </c>
      <c r="N87">
        <v>0</v>
      </c>
      <c r="O87" s="7">
        <v>2.99</v>
      </c>
      <c r="P87" s="7"/>
      <c r="Q87" s="8">
        <f t="shared" si="18"/>
        <v>30.247025000000001</v>
      </c>
      <c r="R87" s="8">
        <f t="shared" si="19"/>
        <v>38.511162859999999</v>
      </c>
      <c r="S87" s="8">
        <f t="shared" si="20"/>
        <v>39.012019700000003</v>
      </c>
      <c r="T87" s="8">
        <f t="shared" si="21"/>
        <v>50.2812986</v>
      </c>
      <c r="U87" s="8">
        <f t="shared" si="22"/>
        <v>55.289867000000001</v>
      </c>
      <c r="V87" s="8">
        <f t="shared" si="23"/>
        <v>80.332709000000008</v>
      </c>
      <c r="W87" s="8">
        <f t="shared" si="24"/>
        <v>28.629955199999998</v>
      </c>
      <c r="X87" s="8">
        <f t="shared" si="25"/>
        <v>36.809942399999997</v>
      </c>
      <c r="Y87" s="8">
        <f t="shared" si="26"/>
        <v>40.899935999999997</v>
      </c>
      <c r="Z87" s="8">
        <f t="shared" si="27"/>
        <v>61.349903999999995</v>
      </c>
    </row>
    <row r="88" spans="1:26" x14ac:dyDescent="0.2">
      <c r="A88">
        <v>400658</v>
      </c>
      <c r="B88" t="s">
        <v>189</v>
      </c>
      <c r="C88" t="s">
        <v>119</v>
      </c>
      <c r="D88">
        <v>106</v>
      </c>
      <c r="E88" t="s">
        <v>22</v>
      </c>
      <c r="F88" t="s">
        <v>103</v>
      </c>
      <c r="G88" s="6">
        <v>16.43</v>
      </c>
      <c r="H88" s="6">
        <v>15.47</v>
      </c>
      <c r="I88" s="6">
        <v>0</v>
      </c>
      <c r="J88" s="4">
        <f t="shared" si="14"/>
        <v>1.7068000000000001</v>
      </c>
      <c r="K88" s="4">
        <f t="shared" si="15"/>
        <v>1.5528</v>
      </c>
      <c r="L88" s="4">
        <f t="shared" si="16"/>
        <v>1.3391999999999999</v>
      </c>
      <c r="M88" s="4">
        <f t="shared" si="17"/>
        <v>1.3391999999999999</v>
      </c>
      <c r="N88">
        <v>0</v>
      </c>
      <c r="O88" s="7">
        <v>2.99</v>
      </c>
      <c r="P88" s="7"/>
      <c r="Q88" s="8">
        <f t="shared" si="18"/>
        <v>31.032724000000002</v>
      </c>
      <c r="R88" s="8">
        <f t="shared" si="19"/>
        <v>39.451850320000005</v>
      </c>
      <c r="S88" s="8">
        <f t="shared" si="20"/>
        <v>39.962100400000004</v>
      </c>
      <c r="T88" s="8">
        <f t="shared" si="21"/>
        <v>51.4427272</v>
      </c>
      <c r="U88" s="8">
        <f t="shared" si="22"/>
        <v>56.545228000000002</v>
      </c>
      <c r="V88" s="8">
        <f t="shared" si="23"/>
        <v>82.057732000000001</v>
      </c>
      <c r="W88" s="8">
        <f t="shared" si="24"/>
        <v>29.0043936</v>
      </c>
      <c r="X88" s="8">
        <f t="shared" si="25"/>
        <v>37.291363199999999</v>
      </c>
      <c r="Y88" s="8">
        <f t="shared" si="26"/>
        <v>41.434848000000002</v>
      </c>
      <c r="Z88" s="8">
        <f t="shared" si="27"/>
        <v>62.152272000000004</v>
      </c>
    </row>
    <row r="89" spans="1:26" x14ac:dyDescent="0.2">
      <c r="A89">
        <v>436824</v>
      </c>
      <c r="B89" t="s">
        <v>190</v>
      </c>
      <c r="C89" t="s">
        <v>124</v>
      </c>
      <c r="D89">
        <v>22</v>
      </c>
      <c r="E89" t="s">
        <v>18</v>
      </c>
      <c r="F89" t="s">
        <v>62</v>
      </c>
      <c r="G89" s="6">
        <v>17.04</v>
      </c>
      <c r="H89" s="6">
        <v>16.059999999999999</v>
      </c>
      <c r="I89" s="6">
        <v>0</v>
      </c>
      <c r="J89" s="4">
        <f t="shared" si="14"/>
        <v>1.7024999999999999</v>
      </c>
      <c r="K89" s="4">
        <f t="shared" si="15"/>
        <v>1.5642</v>
      </c>
      <c r="L89" s="4">
        <f t="shared" si="16"/>
        <v>1.3552</v>
      </c>
      <c r="M89" s="4">
        <f t="shared" si="17"/>
        <v>1.3552</v>
      </c>
      <c r="N89">
        <v>0</v>
      </c>
      <c r="O89" s="7">
        <v>2.99</v>
      </c>
      <c r="P89" s="7"/>
      <c r="Q89" s="8">
        <f t="shared" si="18"/>
        <v>32.000599999999999</v>
      </c>
      <c r="R89" s="8">
        <f t="shared" si="19"/>
        <v>40.796409439999998</v>
      </c>
      <c r="S89" s="8">
        <f t="shared" si="20"/>
        <v>41.3294888</v>
      </c>
      <c r="T89" s="8">
        <f t="shared" si="21"/>
        <v>53.323774399999998</v>
      </c>
      <c r="U89" s="8">
        <f t="shared" si="22"/>
        <v>58.654567999999998</v>
      </c>
      <c r="V89" s="8">
        <f t="shared" si="23"/>
        <v>85.308536000000004</v>
      </c>
      <c r="W89" s="8">
        <f t="shared" si="24"/>
        <v>30.470316799999996</v>
      </c>
      <c r="X89" s="8">
        <f t="shared" si="25"/>
        <v>39.176121599999995</v>
      </c>
      <c r="Y89" s="8">
        <f t="shared" si="26"/>
        <v>43.529023999999993</v>
      </c>
      <c r="Z89" s="8">
        <f t="shared" si="27"/>
        <v>65.293535999999989</v>
      </c>
    </row>
    <row r="90" spans="1:26" x14ac:dyDescent="0.2">
      <c r="A90">
        <v>421717</v>
      </c>
      <c r="B90" t="s">
        <v>191</v>
      </c>
      <c r="C90" t="s">
        <v>108</v>
      </c>
      <c r="D90">
        <v>6</v>
      </c>
      <c r="E90" t="s">
        <v>18</v>
      </c>
      <c r="F90" t="s">
        <v>26</v>
      </c>
      <c r="G90" s="6">
        <v>16.010000000000002</v>
      </c>
      <c r="H90" s="6">
        <v>15.09</v>
      </c>
      <c r="I90" s="6">
        <v>0</v>
      </c>
      <c r="J90" s="4">
        <f t="shared" si="14"/>
        <v>1.7024999999999999</v>
      </c>
      <c r="K90" s="4">
        <f t="shared" si="15"/>
        <v>1.5642</v>
      </c>
      <c r="L90" s="4">
        <f t="shared" si="16"/>
        <v>1.3552</v>
      </c>
      <c r="M90" s="4">
        <f t="shared" si="17"/>
        <v>1.3552</v>
      </c>
      <c r="N90">
        <v>0</v>
      </c>
      <c r="O90" s="7">
        <v>2.99</v>
      </c>
      <c r="P90" s="7"/>
      <c r="Q90" s="8">
        <f t="shared" si="18"/>
        <v>30.247025000000001</v>
      </c>
      <c r="R90" s="8">
        <f t="shared" si="19"/>
        <v>38.511162859999999</v>
      </c>
      <c r="S90" s="8">
        <f t="shared" si="20"/>
        <v>39.012019700000003</v>
      </c>
      <c r="T90" s="8">
        <f t="shared" si="21"/>
        <v>50.2812986</v>
      </c>
      <c r="U90" s="8">
        <f t="shared" si="22"/>
        <v>55.289867000000001</v>
      </c>
      <c r="V90" s="8">
        <f t="shared" si="23"/>
        <v>80.332709000000008</v>
      </c>
      <c r="W90" s="8">
        <f t="shared" si="24"/>
        <v>28.629955199999998</v>
      </c>
      <c r="X90" s="8">
        <f t="shared" si="25"/>
        <v>36.809942399999997</v>
      </c>
      <c r="Y90" s="8">
        <f t="shared" si="26"/>
        <v>40.899935999999997</v>
      </c>
      <c r="Z90" s="8">
        <f t="shared" si="27"/>
        <v>61.349903999999995</v>
      </c>
    </row>
    <row r="91" spans="1:26" x14ac:dyDescent="0.2">
      <c r="A91">
        <v>449699</v>
      </c>
      <c r="B91" t="s">
        <v>192</v>
      </c>
      <c r="C91" t="s">
        <v>145</v>
      </c>
      <c r="D91">
        <v>10</v>
      </c>
      <c r="E91" t="s">
        <v>18</v>
      </c>
      <c r="F91" t="s">
        <v>26</v>
      </c>
      <c r="G91" s="6">
        <v>16.010000000000002</v>
      </c>
      <c r="H91" s="6">
        <v>15.09</v>
      </c>
      <c r="I91" s="6">
        <v>0</v>
      </c>
      <c r="J91" s="4">
        <f t="shared" si="14"/>
        <v>1.7024999999999999</v>
      </c>
      <c r="K91" s="4">
        <f t="shared" si="15"/>
        <v>1.5642</v>
      </c>
      <c r="L91" s="4">
        <f t="shared" si="16"/>
        <v>1.3552</v>
      </c>
      <c r="M91" s="4">
        <f t="shared" si="17"/>
        <v>1.3552</v>
      </c>
      <c r="N91">
        <v>0</v>
      </c>
      <c r="O91" s="7">
        <v>2.99</v>
      </c>
      <c r="P91" s="7"/>
      <c r="Q91" s="8">
        <f t="shared" si="18"/>
        <v>30.247025000000001</v>
      </c>
      <c r="R91" s="8">
        <f t="shared" si="19"/>
        <v>38.511162859999999</v>
      </c>
      <c r="S91" s="8">
        <f t="shared" si="20"/>
        <v>39.012019700000003</v>
      </c>
      <c r="T91" s="8">
        <f t="shared" si="21"/>
        <v>50.2812986</v>
      </c>
      <c r="U91" s="8">
        <f t="shared" si="22"/>
        <v>55.289867000000001</v>
      </c>
      <c r="V91" s="8">
        <f t="shared" si="23"/>
        <v>80.332709000000008</v>
      </c>
      <c r="W91" s="8">
        <f t="shared" si="24"/>
        <v>28.629955199999998</v>
      </c>
      <c r="X91" s="8">
        <f t="shared" si="25"/>
        <v>36.809942399999997</v>
      </c>
      <c r="Y91" s="8">
        <f t="shared" si="26"/>
        <v>40.899935999999997</v>
      </c>
      <c r="Z91" s="8">
        <f t="shared" si="27"/>
        <v>61.349903999999995</v>
      </c>
    </row>
    <row r="92" spans="1:26" x14ac:dyDescent="0.2">
      <c r="A92">
        <v>411494</v>
      </c>
      <c r="B92" t="s">
        <v>193</v>
      </c>
      <c r="C92" t="s">
        <v>194</v>
      </c>
      <c r="D92">
        <v>103</v>
      </c>
      <c r="E92" t="s">
        <v>22</v>
      </c>
      <c r="F92" t="s">
        <v>103</v>
      </c>
      <c r="G92" s="6">
        <v>16.43</v>
      </c>
      <c r="H92" s="6">
        <v>15.47</v>
      </c>
      <c r="I92" s="6">
        <v>0</v>
      </c>
      <c r="J92" s="4">
        <f t="shared" si="14"/>
        <v>1.7068000000000001</v>
      </c>
      <c r="K92" s="4">
        <f t="shared" si="15"/>
        <v>1.5528</v>
      </c>
      <c r="L92" s="4">
        <f t="shared" si="16"/>
        <v>1.3391999999999999</v>
      </c>
      <c r="M92" s="4">
        <f t="shared" si="17"/>
        <v>1.3391999999999999</v>
      </c>
      <c r="N92">
        <v>0</v>
      </c>
      <c r="O92" s="7">
        <v>2.99</v>
      </c>
      <c r="P92" s="7"/>
      <c r="Q92" s="8">
        <f t="shared" si="18"/>
        <v>31.032724000000002</v>
      </c>
      <c r="R92" s="8">
        <f t="shared" si="19"/>
        <v>39.451850320000005</v>
      </c>
      <c r="S92" s="8">
        <f t="shared" si="20"/>
        <v>39.962100400000004</v>
      </c>
      <c r="T92" s="8">
        <f t="shared" si="21"/>
        <v>51.4427272</v>
      </c>
      <c r="U92" s="8">
        <f t="shared" si="22"/>
        <v>56.545228000000002</v>
      </c>
      <c r="V92" s="8">
        <f t="shared" si="23"/>
        <v>82.057732000000001</v>
      </c>
      <c r="W92" s="8">
        <f t="shared" si="24"/>
        <v>29.0043936</v>
      </c>
      <c r="X92" s="8">
        <f t="shared" si="25"/>
        <v>37.291363199999999</v>
      </c>
      <c r="Y92" s="8">
        <f t="shared" si="26"/>
        <v>41.434848000000002</v>
      </c>
      <c r="Z92" s="8">
        <f t="shared" si="27"/>
        <v>62.152272000000004</v>
      </c>
    </row>
    <row r="93" spans="1:26" x14ac:dyDescent="0.2">
      <c r="A93">
        <v>422228</v>
      </c>
      <c r="B93" t="s">
        <v>195</v>
      </c>
      <c r="C93" t="s">
        <v>196</v>
      </c>
      <c r="D93">
        <v>80</v>
      </c>
      <c r="E93" t="s">
        <v>22</v>
      </c>
      <c r="F93" t="s">
        <v>23</v>
      </c>
      <c r="G93" s="6">
        <v>16.22</v>
      </c>
      <c r="H93" s="6">
        <v>15.28</v>
      </c>
      <c r="I93" s="6">
        <v>0</v>
      </c>
      <c r="J93" s="4">
        <f t="shared" si="14"/>
        <v>1.7068000000000001</v>
      </c>
      <c r="K93" s="4">
        <f t="shared" si="15"/>
        <v>1.5528</v>
      </c>
      <c r="L93" s="4">
        <f t="shared" si="16"/>
        <v>1.3391999999999999</v>
      </c>
      <c r="M93" s="4">
        <f t="shared" si="17"/>
        <v>1.3391999999999999</v>
      </c>
      <c r="N93">
        <v>0</v>
      </c>
      <c r="O93" s="7">
        <v>2.99</v>
      </c>
      <c r="P93" s="7"/>
      <c r="Q93" s="8">
        <f t="shared" si="18"/>
        <v>30.674295999999998</v>
      </c>
      <c r="R93" s="8">
        <f t="shared" si="19"/>
        <v>38.985813280000002</v>
      </c>
      <c r="S93" s="8">
        <f t="shared" si="20"/>
        <v>39.489541600000003</v>
      </c>
      <c r="T93" s="8">
        <f t="shared" si="21"/>
        <v>50.823428799999995</v>
      </c>
      <c r="U93" s="8">
        <f t="shared" si="22"/>
        <v>55.860711999999992</v>
      </c>
      <c r="V93" s="8">
        <f t="shared" si="23"/>
        <v>81.047127999999987</v>
      </c>
      <c r="W93" s="8">
        <f t="shared" si="24"/>
        <v>28.648166399999997</v>
      </c>
      <c r="X93" s="8">
        <f t="shared" si="25"/>
        <v>36.833356799999997</v>
      </c>
      <c r="Y93" s="8">
        <f t="shared" si="26"/>
        <v>40.925951999999995</v>
      </c>
      <c r="Z93" s="8">
        <f t="shared" si="27"/>
        <v>61.388927999999993</v>
      </c>
    </row>
    <row r="94" spans="1:26" x14ac:dyDescent="0.2">
      <c r="A94">
        <v>421437</v>
      </c>
      <c r="B94" t="s">
        <v>197</v>
      </c>
      <c r="C94" t="s">
        <v>198</v>
      </c>
      <c r="D94">
        <v>12</v>
      </c>
      <c r="E94" t="s">
        <v>18</v>
      </c>
      <c r="F94" t="s">
        <v>26</v>
      </c>
      <c r="G94" s="6">
        <v>16.010000000000002</v>
      </c>
      <c r="H94" s="6">
        <v>15.09</v>
      </c>
      <c r="I94" s="6">
        <v>0</v>
      </c>
      <c r="J94" s="4">
        <f t="shared" si="14"/>
        <v>1.7024999999999999</v>
      </c>
      <c r="K94" s="4">
        <f t="shared" si="15"/>
        <v>1.5642</v>
      </c>
      <c r="L94" s="4">
        <f t="shared" si="16"/>
        <v>1.3552</v>
      </c>
      <c r="M94" s="4">
        <f t="shared" si="17"/>
        <v>1.3552</v>
      </c>
      <c r="N94">
        <v>0</v>
      </c>
      <c r="O94" s="7">
        <v>2.99</v>
      </c>
      <c r="P94" s="7"/>
      <c r="Q94" s="8">
        <f t="shared" si="18"/>
        <v>30.247025000000001</v>
      </c>
      <c r="R94" s="8">
        <f t="shared" si="19"/>
        <v>38.511162859999999</v>
      </c>
      <c r="S94" s="8">
        <f t="shared" si="20"/>
        <v>39.012019700000003</v>
      </c>
      <c r="T94" s="8">
        <f t="shared" si="21"/>
        <v>50.2812986</v>
      </c>
      <c r="U94" s="8">
        <f t="shared" si="22"/>
        <v>55.289867000000001</v>
      </c>
      <c r="V94" s="8">
        <f t="shared" si="23"/>
        <v>80.332709000000008</v>
      </c>
      <c r="W94" s="8">
        <f t="shared" si="24"/>
        <v>28.629955199999998</v>
      </c>
      <c r="X94" s="8">
        <f t="shared" si="25"/>
        <v>36.809942399999997</v>
      </c>
      <c r="Y94" s="8">
        <f t="shared" si="26"/>
        <v>40.899935999999997</v>
      </c>
      <c r="Z94" s="8">
        <f t="shared" si="27"/>
        <v>61.349903999999995</v>
      </c>
    </row>
    <row r="95" spans="1:26" x14ac:dyDescent="0.2">
      <c r="A95">
        <v>302011</v>
      </c>
      <c r="B95" t="s">
        <v>199</v>
      </c>
      <c r="C95" t="s">
        <v>200</v>
      </c>
      <c r="D95">
        <v>4</v>
      </c>
      <c r="E95" t="s">
        <v>18</v>
      </c>
      <c r="F95" t="s">
        <v>26</v>
      </c>
      <c r="G95" s="6">
        <v>16.010000000000002</v>
      </c>
      <c r="H95" s="6">
        <v>15.09</v>
      </c>
      <c r="I95" s="6">
        <v>0</v>
      </c>
      <c r="J95" s="4">
        <f t="shared" si="14"/>
        <v>1.7024999999999999</v>
      </c>
      <c r="K95" s="4">
        <f t="shared" si="15"/>
        <v>1.5642</v>
      </c>
      <c r="L95" s="4">
        <f t="shared" si="16"/>
        <v>1.3552</v>
      </c>
      <c r="M95" s="4">
        <f t="shared" si="17"/>
        <v>1.3552</v>
      </c>
      <c r="N95">
        <v>0</v>
      </c>
      <c r="O95" s="7">
        <v>2.99</v>
      </c>
      <c r="P95" s="7"/>
      <c r="Q95" s="8">
        <f t="shared" si="18"/>
        <v>30.247025000000001</v>
      </c>
      <c r="R95" s="8">
        <f t="shared" si="19"/>
        <v>38.511162859999999</v>
      </c>
      <c r="S95" s="8">
        <f t="shared" si="20"/>
        <v>39.012019700000003</v>
      </c>
      <c r="T95" s="8">
        <f t="shared" si="21"/>
        <v>50.2812986</v>
      </c>
      <c r="U95" s="8">
        <f t="shared" si="22"/>
        <v>55.289867000000001</v>
      </c>
      <c r="V95" s="8">
        <f t="shared" si="23"/>
        <v>80.332709000000008</v>
      </c>
      <c r="W95" s="8">
        <f t="shared" si="24"/>
        <v>28.629955199999998</v>
      </c>
      <c r="X95" s="8">
        <f t="shared" si="25"/>
        <v>36.809942399999997</v>
      </c>
      <c r="Y95" s="8">
        <f t="shared" si="26"/>
        <v>40.899935999999997</v>
      </c>
      <c r="Z95" s="8">
        <f t="shared" si="27"/>
        <v>61.349903999999995</v>
      </c>
    </row>
    <row r="96" spans="1:26" x14ac:dyDescent="0.2">
      <c r="A96">
        <v>444572</v>
      </c>
      <c r="B96" t="s">
        <v>201</v>
      </c>
      <c r="C96" t="s">
        <v>108</v>
      </c>
      <c r="D96">
        <v>34</v>
      </c>
      <c r="E96" t="s">
        <v>18</v>
      </c>
      <c r="F96" t="s">
        <v>23</v>
      </c>
      <c r="G96" s="6">
        <v>16.22</v>
      </c>
      <c r="H96" s="6">
        <v>15.28</v>
      </c>
      <c r="I96" s="6">
        <v>0</v>
      </c>
      <c r="J96" s="4">
        <f t="shared" si="14"/>
        <v>1.7024999999999999</v>
      </c>
      <c r="K96" s="4">
        <f t="shared" si="15"/>
        <v>1.5642</v>
      </c>
      <c r="L96" s="4">
        <f t="shared" si="16"/>
        <v>1.3552</v>
      </c>
      <c r="M96" s="4">
        <f t="shared" si="17"/>
        <v>1.3552</v>
      </c>
      <c r="N96">
        <v>0</v>
      </c>
      <c r="O96" s="7">
        <v>2.99</v>
      </c>
      <c r="P96" s="7"/>
      <c r="Q96" s="8">
        <f t="shared" si="18"/>
        <v>30.604549999999996</v>
      </c>
      <c r="R96" s="8">
        <f t="shared" si="19"/>
        <v>38.977086919999998</v>
      </c>
      <c r="S96" s="8">
        <f t="shared" si="20"/>
        <v>39.484513399999997</v>
      </c>
      <c r="T96" s="8">
        <f t="shared" si="21"/>
        <v>50.901609199999996</v>
      </c>
      <c r="U96" s="8">
        <f t="shared" si="22"/>
        <v>55.97587399999999</v>
      </c>
      <c r="V96" s="8">
        <f t="shared" si="23"/>
        <v>81.347197999999992</v>
      </c>
      <c r="W96" s="8">
        <f t="shared" si="24"/>
        <v>28.990438399999999</v>
      </c>
      <c r="X96" s="8">
        <f t="shared" si="25"/>
        <v>37.273420799999997</v>
      </c>
      <c r="Y96" s="8">
        <f t="shared" si="26"/>
        <v>41.414911999999994</v>
      </c>
      <c r="Z96" s="8">
        <f t="shared" si="27"/>
        <v>62.122367999999994</v>
      </c>
    </row>
    <row r="97" spans="1:26" x14ac:dyDescent="0.2">
      <c r="A97">
        <v>415203</v>
      </c>
      <c r="B97" t="s">
        <v>202</v>
      </c>
      <c r="C97" t="s">
        <v>203</v>
      </c>
      <c r="D97">
        <v>82</v>
      </c>
      <c r="E97" t="s">
        <v>22</v>
      </c>
      <c r="F97" t="s">
        <v>19</v>
      </c>
      <c r="G97" s="6">
        <v>16.899999999999999</v>
      </c>
      <c r="H97" s="6">
        <v>15.93</v>
      </c>
      <c r="I97" s="6">
        <v>0</v>
      </c>
      <c r="J97" s="4">
        <f t="shared" si="14"/>
        <v>1.7068000000000001</v>
      </c>
      <c r="K97" s="4">
        <f t="shared" si="15"/>
        <v>1.5528</v>
      </c>
      <c r="L97" s="4">
        <f t="shared" si="16"/>
        <v>1.3391999999999999</v>
      </c>
      <c r="M97" s="4">
        <f t="shared" si="17"/>
        <v>1.3391999999999999</v>
      </c>
      <c r="N97">
        <v>0</v>
      </c>
      <c r="O97" s="7">
        <v>2.99</v>
      </c>
      <c r="P97" s="7"/>
      <c r="Q97" s="8">
        <f t="shared" si="18"/>
        <v>31.834919999999997</v>
      </c>
      <c r="R97" s="8">
        <f t="shared" si="19"/>
        <v>40.494885599999996</v>
      </c>
      <c r="S97" s="8">
        <f t="shared" si="20"/>
        <v>41.019731999999998</v>
      </c>
      <c r="T97" s="8">
        <f t="shared" si="21"/>
        <v>52.828775999999991</v>
      </c>
      <c r="U97" s="8">
        <f t="shared" si="22"/>
        <v>58.077239999999989</v>
      </c>
      <c r="V97" s="8">
        <f t="shared" si="23"/>
        <v>84.319559999999996</v>
      </c>
      <c r="W97" s="8">
        <f t="shared" si="24"/>
        <v>29.866838399999999</v>
      </c>
      <c r="X97" s="8">
        <f t="shared" si="25"/>
        <v>38.4002208</v>
      </c>
      <c r="Y97" s="8">
        <f t="shared" si="26"/>
        <v>42.666911999999996</v>
      </c>
      <c r="Z97" s="8">
        <f t="shared" si="27"/>
        <v>64.000367999999995</v>
      </c>
    </row>
    <row r="98" spans="1:26" x14ac:dyDescent="0.2">
      <c r="A98">
        <v>437613</v>
      </c>
      <c r="B98" t="s">
        <v>204</v>
      </c>
      <c r="C98" t="s">
        <v>205</v>
      </c>
      <c r="D98">
        <v>252</v>
      </c>
      <c r="E98" t="s">
        <v>27</v>
      </c>
      <c r="F98" t="s">
        <v>206</v>
      </c>
      <c r="G98" s="6">
        <v>19.559999999999999</v>
      </c>
      <c r="H98" s="6">
        <v>18.43</v>
      </c>
      <c r="I98" s="6">
        <v>0</v>
      </c>
      <c r="J98" s="4">
        <f t="shared" si="14"/>
        <v>1.6496999999999999</v>
      </c>
      <c r="K98" s="4">
        <f t="shared" si="15"/>
        <v>1.5022</v>
      </c>
      <c r="L98" s="4">
        <f t="shared" si="16"/>
        <v>1.2898000000000001</v>
      </c>
      <c r="M98" s="4">
        <f t="shared" si="17"/>
        <v>1.2898000000000001</v>
      </c>
      <c r="N98">
        <v>0</v>
      </c>
      <c r="O98" s="7">
        <v>2.99</v>
      </c>
      <c r="P98" s="7"/>
      <c r="Q98" s="8">
        <f t="shared" si="18"/>
        <v>35.258131999999996</v>
      </c>
      <c r="R98" s="8">
        <f t="shared" si="19"/>
        <v>44.954532559999997</v>
      </c>
      <c r="S98" s="8">
        <f t="shared" si="20"/>
        <v>45.5421932</v>
      </c>
      <c r="T98" s="8">
        <f t="shared" si="21"/>
        <v>58.764557599999996</v>
      </c>
      <c r="U98" s="8">
        <f t="shared" si="22"/>
        <v>64.641163999999989</v>
      </c>
      <c r="V98" s="8">
        <f t="shared" si="23"/>
        <v>94.024195999999989</v>
      </c>
      <c r="W98" s="8">
        <f t="shared" si="24"/>
        <v>33.279419600000004</v>
      </c>
      <c r="X98" s="8">
        <f t="shared" si="25"/>
        <v>42.7878252</v>
      </c>
      <c r="Y98" s="8">
        <f t="shared" si="26"/>
        <v>47.542028000000002</v>
      </c>
      <c r="Z98" s="8">
        <f t="shared" si="27"/>
        <v>71.313041999999996</v>
      </c>
    </row>
    <row r="99" spans="1:26" x14ac:dyDescent="0.2">
      <c r="A99">
        <v>415220</v>
      </c>
      <c r="B99" t="s">
        <v>207</v>
      </c>
      <c r="C99" t="s">
        <v>208</v>
      </c>
      <c r="D99">
        <v>29</v>
      </c>
      <c r="E99" t="s">
        <v>18</v>
      </c>
      <c r="F99" t="s">
        <v>26</v>
      </c>
      <c r="G99" s="6">
        <v>16.010000000000002</v>
      </c>
      <c r="H99" s="6">
        <v>15.09</v>
      </c>
      <c r="I99" s="6">
        <v>0</v>
      </c>
      <c r="J99" s="4">
        <f t="shared" si="14"/>
        <v>1.7024999999999999</v>
      </c>
      <c r="K99" s="4">
        <f t="shared" si="15"/>
        <v>1.5642</v>
      </c>
      <c r="L99" s="4">
        <f t="shared" si="16"/>
        <v>1.3552</v>
      </c>
      <c r="M99" s="4">
        <f t="shared" si="17"/>
        <v>1.3552</v>
      </c>
      <c r="N99">
        <v>0</v>
      </c>
      <c r="O99" s="7">
        <v>2.99</v>
      </c>
      <c r="P99" s="7"/>
      <c r="Q99" s="8">
        <f t="shared" si="18"/>
        <v>30.247025000000001</v>
      </c>
      <c r="R99" s="8">
        <f t="shared" si="19"/>
        <v>38.511162859999999</v>
      </c>
      <c r="S99" s="8">
        <f t="shared" si="20"/>
        <v>39.012019700000003</v>
      </c>
      <c r="T99" s="8">
        <f t="shared" si="21"/>
        <v>50.2812986</v>
      </c>
      <c r="U99" s="8">
        <f t="shared" si="22"/>
        <v>55.289867000000001</v>
      </c>
      <c r="V99" s="8">
        <f t="shared" si="23"/>
        <v>80.332709000000008</v>
      </c>
      <c r="W99" s="8">
        <f t="shared" si="24"/>
        <v>28.629955199999998</v>
      </c>
      <c r="X99" s="8">
        <f t="shared" si="25"/>
        <v>36.809942399999997</v>
      </c>
      <c r="Y99" s="8">
        <f t="shared" si="26"/>
        <v>40.899935999999997</v>
      </c>
      <c r="Z99" s="8">
        <f t="shared" si="27"/>
        <v>61.349903999999995</v>
      </c>
    </row>
    <row r="100" spans="1:26" x14ac:dyDescent="0.2">
      <c r="A100">
        <v>385663</v>
      </c>
      <c r="B100" t="s">
        <v>209</v>
      </c>
      <c r="C100" t="s">
        <v>71</v>
      </c>
      <c r="D100">
        <v>136</v>
      </c>
      <c r="E100" t="s">
        <v>22</v>
      </c>
      <c r="F100" t="s">
        <v>111</v>
      </c>
      <c r="G100" s="6">
        <v>17.75</v>
      </c>
      <c r="H100" s="6">
        <v>16.739999999999998</v>
      </c>
      <c r="I100" s="6">
        <v>0</v>
      </c>
      <c r="J100" s="4">
        <f t="shared" si="14"/>
        <v>1.7068000000000001</v>
      </c>
      <c r="K100" s="4">
        <f t="shared" si="15"/>
        <v>1.5528</v>
      </c>
      <c r="L100" s="4">
        <f t="shared" si="16"/>
        <v>1.3391999999999999</v>
      </c>
      <c r="M100" s="4">
        <f t="shared" si="17"/>
        <v>1.3391999999999999</v>
      </c>
      <c r="N100">
        <v>0</v>
      </c>
      <c r="O100" s="7">
        <v>2.99</v>
      </c>
      <c r="P100" s="7"/>
      <c r="Q100" s="8">
        <f t="shared" si="18"/>
        <v>33.285699999999999</v>
      </c>
      <c r="R100" s="8">
        <f t="shared" si="19"/>
        <v>42.381225999999998</v>
      </c>
      <c r="S100" s="8">
        <f t="shared" si="20"/>
        <v>42.932470000000002</v>
      </c>
      <c r="T100" s="8">
        <f t="shared" si="21"/>
        <v>55.335459999999998</v>
      </c>
      <c r="U100" s="8">
        <f t="shared" si="22"/>
        <v>60.847899999999996</v>
      </c>
      <c r="V100" s="8">
        <f t="shared" si="23"/>
        <v>88.4101</v>
      </c>
      <c r="W100" s="8">
        <f t="shared" si="24"/>
        <v>31.385491199999993</v>
      </c>
      <c r="X100" s="8">
        <f t="shared" si="25"/>
        <v>40.352774399999994</v>
      </c>
      <c r="Y100" s="8">
        <f t="shared" si="26"/>
        <v>44.836415999999993</v>
      </c>
      <c r="Z100" s="8">
        <f t="shared" si="27"/>
        <v>67.254623999999993</v>
      </c>
    </row>
    <row r="101" spans="1:26" x14ac:dyDescent="0.2">
      <c r="A101">
        <v>408973</v>
      </c>
      <c r="B101" t="s">
        <v>210</v>
      </c>
      <c r="C101" t="s">
        <v>184</v>
      </c>
      <c r="D101">
        <v>104</v>
      </c>
      <c r="E101" t="s">
        <v>22</v>
      </c>
      <c r="F101" t="s">
        <v>26</v>
      </c>
      <c r="G101" s="6">
        <v>16.010000000000002</v>
      </c>
      <c r="H101" s="6">
        <v>15.09</v>
      </c>
      <c r="I101" s="6">
        <v>0</v>
      </c>
      <c r="J101" s="4">
        <f t="shared" si="14"/>
        <v>1.7068000000000001</v>
      </c>
      <c r="K101" s="4">
        <f t="shared" si="15"/>
        <v>1.5528</v>
      </c>
      <c r="L101" s="4">
        <f t="shared" si="16"/>
        <v>1.3391999999999999</v>
      </c>
      <c r="M101" s="4">
        <f t="shared" si="17"/>
        <v>1.3391999999999999</v>
      </c>
      <c r="N101">
        <v>0</v>
      </c>
      <c r="O101" s="7">
        <v>2.99</v>
      </c>
      <c r="P101" s="7"/>
      <c r="Q101" s="8">
        <f t="shared" si="18"/>
        <v>30.315868000000002</v>
      </c>
      <c r="R101" s="8">
        <f t="shared" si="19"/>
        <v>38.519776240000006</v>
      </c>
      <c r="S101" s="8">
        <f t="shared" si="20"/>
        <v>39.016982800000008</v>
      </c>
      <c r="T101" s="8">
        <f t="shared" si="21"/>
        <v>50.204130400000004</v>
      </c>
      <c r="U101" s="8">
        <f t="shared" si="22"/>
        <v>55.176196000000004</v>
      </c>
      <c r="V101" s="8">
        <f t="shared" si="23"/>
        <v>80.036524000000014</v>
      </c>
      <c r="W101" s="8">
        <f t="shared" si="24"/>
        <v>28.291939199999995</v>
      </c>
      <c r="X101" s="8">
        <f t="shared" si="25"/>
        <v>36.375350399999995</v>
      </c>
      <c r="Y101" s="8">
        <f t="shared" si="26"/>
        <v>40.417055999999995</v>
      </c>
      <c r="Z101" s="8">
        <f t="shared" si="27"/>
        <v>60.625583999999989</v>
      </c>
    </row>
    <row r="102" spans="1:26" x14ac:dyDescent="0.2">
      <c r="A102">
        <v>411940</v>
      </c>
      <c r="B102" t="s">
        <v>211</v>
      </c>
      <c r="C102" t="s">
        <v>150</v>
      </c>
      <c r="D102">
        <v>89</v>
      </c>
      <c r="E102" t="s">
        <v>22</v>
      </c>
      <c r="F102" t="s">
        <v>122</v>
      </c>
      <c r="G102" s="6">
        <v>17.12</v>
      </c>
      <c r="H102" s="6">
        <v>16.12</v>
      </c>
      <c r="I102" s="6">
        <v>0</v>
      </c>
      <c r="J102" s="4">
        <f t="shared" si="14"/>
        <v>1.7068000000000001</v>
      </c>
      <c r="K102" s="4">
        <f t="shared" si="15"/>
        <v>1.5528</v>
      </c>
      <c r="L102" s="4">
        <f t="shared" si="16"/>
        <v>1.3391999999999999</v>
      </c>
      <c r="M102" s="4">
        <f t="shared" si="17"/>
        <v>1.3391999999999999</v>
      </c>
      <c r="N102">
        <v>0</v>
      </c>
      <c r="O102" s="7">
        <v>2.99</v>
      </c>
      <c r="P102" s="7"/>
      <c r="Q102" s="8">
        <f t="shared" si="18"/>
        <v>32.210416000000002</v>
      </c>
      <c r="R102" s="8">
        <f t="shared" si="19"/>
        <v>40.983114880000002</v>
      </c>
      <c r="S102" s="8">
        <f t="shared" si="20"/>
        <v>41.514793600000004</v>
      </c>
      <c r="T102" s="8">
        <f t="shared" si="21"/>
        <v>53.477564800000003</v>
      </c>
      <c r="U102" s="8">
        <f t="shared" si="22"/>
        <v>58.794352000000003</v>
      </c>
      <c r="V102" s="8">
        <f t="shared" si="23"/>
        <v>85.378287999999998</v>
      </c>
      <c r="W102" s="8">
        <f t="shared" si="24"/>
        <v>30.223065600000002</v>
      </c>
      <c r="X102" s="8">
        <f t="shared" si="25"/>
        <v>38.858227200000002</v>
      </c>
      <c r="Y102" s="8">
        <f t="shared" si="26"/>
        <v>43.175808000000004</v>
      </c>
      <c r="Z102" s="8">
        <f t="shared" si="27"/>
        <v>64.763711999999998</v>
      </c>
    </row>
    <row r="103" spans="1:26" x14ac:dyDescent="0.2">
      <c r="A103">
        <v>457362</v>
      </c>
      <c r="B103" t="s">
        <v>212</v>
      </c>
      <c r="C103" t="s">
        <v>213</v>
      </c>
      <c r="D103">
        <v>3</v>
      </c>
      <c r="E103" t="s">
        <v>18</v>
      </c>
      <c r="F103" t="s">
        <v>26</v>
      </c>
      <c r="G103" s="6">
        <v>16.010000000000002</v>
      </c>
      <c r="H103" s="6">
        <v>15.09</v>
      </c>
      <c r="I103" s="6">
        <v>0</v>
      </c>
      <c r="J103" s="4">
        <f t="shared" si="14"/>
        <v>1.7024999999999999</v>
      </c>
      <c r="K103" s="4">
        <f t="shared" si="15"/>
        <v>1.5642</v>
      </c>
      <c r="L103" s="4">
        <f t="shared" si="16"/>
        <v>1.3552</v>
      </c>
      <c r="M103" s="4">
        <f t="shared" si="17"/>
        <v>1.3552</v>
      </c>
      <c r="N103">
        <v>0</v>
      </c>
      <c r="O103" s="7">
        <v>2.99</v>
      </c>
      <c r="P103" s="7"/>
      <c r="Q103" s="8">
        <f t="shared" si="18"/>
        <v>30.247025000000001</v>
      </c>
      <c r="R103" s="8">
        <f t="shared" si="19"/>
        <v>38.511162859999999</v>
      </c>
      <c r="S103" s="8">
        <f t="shared" si="20"/>
        <v>39.012019700000003</v>
      </c>
      <c r="T103" s="8">
        <f t="shared" si="21"/>
        <v>50.2812986</v>
      </c>
      <c r="U103" s="8">
        <f t="shared" si="22"/>
        <v>55.289867000000001</v>
      </c>
      <c r="V103" s="8">
        <f t="shared" si="23"/>
        <v>80.332709000000008</v>
      </c>
      <c r="W103" s="8">
        <f t="shared" si="24"/>
        <v>28.629955199999998</v>
      </c>
      <c r="X103" s="8">
        <f t="shared" si="25"/>
        <v>36.809942399999997</v>
      </c>
      <c r="Y103" s="8">
        <f t="shared" si="26"/>
        <v>40.899935999999997</v>
      </c>
      <c r="Z103" s="8">
        <f t="shared" si="27"/>
        <v>61.349903999999995</v>
      </c>
    </row>
    <row r="104" spans="1:26" x14ac:dyDescent="0.2">
      <c r="A104">
        <v>456805</v>
      </c>
      <c r="B104" t="s">
        <v>214</v>
      </c>
      <c r="C104" t="s">
        <v>215</v>
      </c>
      <c r="D104">
        <v>5</v>
      </c>
      <c r="E104" t="s">
        <v>18</v>
      </c>
      <c r="F104" t="s">
        <v>26</v>
      </c>
      <c r="G104" s="6">
        <v>16.010000000000002</v>
      </c>
      <c r="H104" s="6">
        <v>15.09</v>
      </c>
      <c r="I104" s="6">
        <v>0</v>
      </c>
      <c r="J104" s="4">
        <f t="shared" si="14"/>
        <v>1.7024999999999999</v>
      </c>
      <c r="K104" s="4">
        <f t="shared" si="15"/>
        <v>1.5642</v>
      </c>
      <c r="L104" s="4">
        <f t="shared" si="16"/>
        <v>1.3552</v>
      </c>
      <c r="M104" s="4">
        <f t="shared" si="17"/>
        <v>1.3552</v>
      </c>
      <c r="N104">
        <v>0</v>
      </c>
      <c r="O104" s="7">
        <v>2.99</v>
      </c>
      <c r="P104" s="7"/>
      <c r="Q104" s="8">
        <f t="shared" si="18"/>
        <v>30.247025000000001</v>
      </c>
      <c r="R104" s="8">
        <f t="shared" si="19"/>
        <v>38.511162859999999</v>
      </c>
      <c r="S104" s="8">
        <f t="shared" si="20"/>
        <v>39.012019700000003</v>
      </c>
      <c r="T104" s="8">
        <f t="shared" si="21"/>
        <v>50.2812986</v>
      </c>
      <c r="U104" s="8">
        <f t="shared" si="22"/>
        <v>55.289867000000001</v>
      </c>
      <c r="V104" s="8">
        <f t="shared" si="23"/>
        <v>80.332709000000008</v>
      </c>
      <c r="W104" s="8">
        <f t="shared" si="24"/>
        <v>28.629955199999998</v>
      </c>
      <c r="X104" s="8">
        <f t="shared" si="25"/>
        <v>36.809942399999997</v>
      </c>
      <c r="Y104" s="8">
        <f t="shared" si="26"/>
        <v>40.899935999999997</v>
      </c>
      <c r="Z104" s="8">
        <f t="shared" si="27"/>
        <v>61.349903999999995</v>
      </c>
    </row>
    <row r="105" spans="1:26" x14ac:dyDescent="0.2">
      <c r="A105">
        <v>351958</v>
      </c>
      <c r="B105" t="s">
        <v>216</v>
      </c>
      <c r="C105" t="s">
        <v>217</v>
      </c>
      <c r="D105">
        <v>137</v>
      </c>
      <c r="E105" t="s">
        <v>22</v>
      </c>
      <c r="F105" t="s">
        <v>57</v>
      </c>
      <c r="G105" s="6">
        <v>16.63</v>
      </c>
      <c r="H105" s="6">
        <v>15.67</v>
      </c>
      <c r="I105" s="6">
        <v>0</v>
      </c>
      <c r="J105" s="4">
        <f t="shared" si="14"/>
        <v>1.7068000000000001</v>
      </c>
      <c r="K105" s="4">
        <f t="shared" si="15"/>
        <v>1.5528</v>
      </c>
      <c r="L105" s="4">
        <f t="shared" si="16"/>
        <v>1.3391999999999999</v>
      </c>
      <c r="M105" s="4">
        <f t="shared" si="17"/>
        <v>1.3391999999999999</v>
      </c>
      <c r="N105">
        <v>0</v>
      </c>
      <c r="O105" s="7">
        <v>2.99</v>
      </c>
      <c r="P105" s="7"/>
      <c r="Q105" s="8">
        <f t="shared" si="18"/>
        <v>31.374084000000003</v>
      </c>
      <c r="R105" s="8">
        <f t="shared" si="19"/>
        <v>39.895695120000006</v>
      </c>
      <c r="S105" s="8">
        <f t="shared" si="20"/>
        <v>40.412156400000001</v>
      </c>
      <c r="T105" s="8">
        <f t="shared" si="21"/>
        <v>52.032535199999998</v>
      </c>
      <c r="U105" s="8">
        <f t="shared" si="22"/>
        <v>57.197147999999999</v>
      </c>
      <c r="V105" s="8">
        <f t="shared" si="23"/>
        <v>83.020212000000001</v>
      </c>
      <c r="W105" s="8">
        <f t="shared" si="24"/>
        <v>29.379369599999997</v>
      </c>
      <c r="X105" s="8">
        <f t="shared" si="25"/>
        <v>37.7734752</v>
      </c>
      <c r="Y105" s="8">
        <f t="shared" si="26"/>
        <v>41.970528000000002</v>
      </c>
      <c r="Z105" s="8">
        <f t="shared" si="27"/>
        <v>62.955791999999995</v>
      </c>
    </row>
    <row r="106" spans="1:26" x14ac:dyDescent="0.2">
      <c r="A106">
        <v>454135</v>
      </c>
      <c r="B106" t="s">
        <v>127</v>
      </c>
      <c r="C106" t="s">
        <v>145</v>
      </c>
      <c r="D106">
        <v>14</v>
      </c>
      <c r="E106" t="s">
        <v>18</v>
      </c>
      <c r="F106" t="s">
        <v>26</v>
      </c>
      <c r="G106" s="6">
        <v>16.010000000000002</v>
      </c>
      <c r="H106" s="6">
        <v>15.09</v>
      </c>
      <c r="I106" s="6">
        <v>0</v>
      </c>
      <c r="J106" s="4">
        <f t="shared" si="14"/>
        <v>1.7024999999999999</v>
      </c>
      <c r="K106" s="4">
        <f t="shared" si="15"/>
        <v>1.5642</v>
      </c>
      <c r="L106" s="4">
        <f t="shared" si="16"/>
        <v>1.3552</v>
      </c>
      <c r="M106" s="4">
        <f t="shared" si="17"/>
        <v>1.3552</v>
      </c>
      <c r="N106">
        <v>0</v>
      </c>
      <c r="O106" s="7">
        <v>2.99</v>
      </c>
      <c r="P106" s="7"/>
      <c r="Q106" s="8">
        <f t="shared" si="18"/>
        <v>30.247025000000001</v>
      </c>
      <c r="R106" s="8">
        <f t="shared" si="19"/>
        <v>38.511162859999999</v>
      </c>
      <c r="S106" s="8">
        <f t="shared" si="20"/>
        <v>39.012019700000003</v>
      </c>
      <c r="T106" s="8">
        <f t="shared" si="21"/>
        <v>50.2812986</v>
      </c>
      <c r="U106" s="8">
        <f t="shared" si="22"/>
        <v>55.289867000000001</v>
      </c>
      <c r="V106" s="8">
        <f t="shared" si="23"/>
        <v>80.332709000000008</v>
      </c>
      <c r="W106" s="8">
        <f t="shared" si="24"/>
        <v>28.629955199999998</v>
      </c>
      <c r="X106" s="8">
        <f t="shared" si="25"/>
        <v>36.809942399999997</v>
      </c>
      <c r="Y106" s="8">
        <f t="shared" si="26"/>
        <v>40.899935999999997</v>
      </c>
      <c r="Z106" s="8">
        <f t="shared" si="27"/>
        <v>61.349903999999995</v>
      </c>
    </row>
    <row r="107" spans="1:26" x14ac:dyDescent="0.2">
      <c r="A107">
        <v>437659</v>
      </c>
      <c r="B107" t="s">
        <v>218</v>
      </c>
      <c r="C107" t="s">
        <v>219</v>
      </c>
      <c r="D107">
        <v>255</v>
      </c>
      <c r="E107" t="s">
        <v>27</v>
      </c>
      <c r="F107" t="s">
        <v>206</v>
      </c>
      <c r="G107" s="6">
        <v>19.559999999999999</v>
      </c>
      <c r="H107" s="6">
        <v>18.43</v>
      </c>
      <c r="I107" s="6">
        <v>0</v>
      </c>
      <c r="J107" s="4">
        <f t="shared" si="14"/>
        <v>1.6496999999999999</v>
      </c>
      <c r="K107" s="4">
        <f t="shared" si="15"/>
        <v>1.5022</v>
      </c>
      <c r="L107" s="4">
        <f t="shared" si="16"/>
        <v>1.2898000000000001</v>
      </c>
      <c r="M107" s="4">
        <f t="shared" si="17"/>
        <v>1.2898000000000001</v>
      </c>
      <c r="N107">
        <v>0</v>
      </c>
      <c r="O107" s="7">
        <v>2.99</v>
      </c>
      <c r="P107" s="7"/>
      <c r="Q107" s="8">
        <f t="shared" si="18"/>
        <v>35.258131999999996</v>
      </c>
      <c r="R107" s="8">
        <f t="shared" si="19"/>
        <v>44.954532559999997</v>
      </c>
      <c r="S107" s="8">
        <f t="shared" si="20"/>
        <v>45.5421932</v>
      </c>
      <c r="T107" s="8">
        <f t="shared" si="21"/>
        <v>58.764557599999996</v>
      </c>
      <c r="U107" s="8">
        <f t="shared" si="22"/>
        <v>64.641163999999989</v>
      </c>
      <c r="V107" s="8">
        <f t="shared" si="23"/>
        <v>94.024195999999989</v>
      </c>
      <c r="W107" s="8">
        <f t="shared" si="24"/>
        <v>33.279419600000004</v>
      </c>
      <c r="X107" s="8">
        <f t="shared" si="25"/>
        <v>42.7878252</v>
      </c>
      <c r="Y107" s="8">
        <f t="shared" si="26"/>
        <v>47.542028000000002</v>
      </c>
      <c r="Z107" s="8">
        <f t="shared" si="27"/>
        <v>71.313041999999996</v>
      </c>
    </row>
    <row r="108" spans="1:26" x14ac:dyDescent="0.2">
      <c r="A108">
        <v>349489</v>
      </c>
      <c r="B108" t="s">
        <v>220</v>
      </c>
      <c r="C108" t="s">
        <v>105</v>
      </c>
      <c r="D108">
        <v>55</v>
      </c>
      <c r="E108" t="s">
        <v>22</v>
      </c>
      <c r="F108" t="s">
        <v>23</v>
      </c>
      <c r="G108" s="6">
        <v>16.22</v>
      </c>
      <c r="H108" s="6">
        <v>15.28</v>
      </c>
      <c r="I108" s="6">
        <v>0</v>
      </c>
      <c r="J108" s="4">
        <f t="shared" si="14"/>
        <v>1.7068000000000001</v>
      </c>
      <c r="K108" s="4">
        <f t="shared" si="15"/>
        <v>1.5528</v>
      </c>
      <c r="L108" s="4">
        <f t="shared" si="16"/>
        <v>1.3391999999999999</v>
      </c>
      <c r="M108" s="4">
        <f t="shared" si="17"/>
        <v>1.3391999999999999</v>
      </c>
      <c r="N108">
        <v>0</v>
      </c>
      <c r="O108" s="7">
        <v>2.99</v>
      </c>
      <c r="P108" s="7"/>
      <c r="Q108" s="8">
        <f t="shared" si="18"/>
        <v>30.674295999999998</v>
      </c>
      <c r="R108" s="8">
        <f t="shared" si="19"/>
        <v>38.985813280000002</v>
      </c>
      <c r="S108" s="8">
        <f t="shared" si="20"/>
        <v>39.489541600000003</v>
      </c>
      <c r="T108" s="8">
        <f t="shared" si="21"/>
        <v>50.823428799999995</v>
      </c>
      <c r="U108" s="8">
        <f t="shared" si="22"/>
        <v>55.860711999999992</v>
      </c>
      <c r="V108" s="8">
        <f t="shared" si="23"/>
        <v>81.047127999999987</v>
      </c>
      <c r="W108" s="8">
        <f t="shared" si="24"/>
        <v>28.648166399999997</v>
      </c>
      <c r="X108" s="8">
        <f t="shared" si="25"/>
        <v>36.833356799999997</v>
      </c>
      <c r="Y108" s="8">
        <f t="shared" si="26"/>
        <v>40.925951999999995</v>
      </c>
      <c r="Z108" s="8">
        <f t="shared" si="27"/>
        <v>61.388927999999993</v>
      </c>
    </row>
    <row r="109" spans="1:26" x14ac:dyDescent="0.2">
      <c r="A109">
        <v>367575</v>
      </c>
      <c r="B109" t="s">
        <v>221</v>
      </c>
      <c r="C109" t="s">
        <v>222</v>
      </c>
      <c r="D109">
        <v>6</v>
      </c>
      <c r="E109" t="s">
        <v>18</v>
      </c>
      <c r="F109" t="s">
        <v>26</v>
      </c>
      <c r="G109" s="6">
        <v>16.010000000000002</v>
      </c>
      <c r="H109" s="6">
        <v>15.09</v>
      </c>
      <c r="I109" s="6">
        <v>0</v>
      </c>
      <c r="J109" s="4">
        <f t="shared" si="14"/>
        <v>1.7024999999999999</v>
      </c>
      <c r="K109" s="4">
        <f t="shared" si="15"/>
        <v>1.5642</v>
      </c>
      <c r="L109" s="4">
        <f t="shared" si="16"/>
        <v>1.3552</v>
      </c>
      <c r="M109" s="4">
        <f t="shared" si="17"/>
        <v>1.3552</v>
      </c>
      <c r="N109">
        <v>0</v>
      </c>
      <c r="O109" s="7">
        <v>2.99</v>
      </c>
      <c r="P109" s="7"/>
      <c r="Q109" s="8">
        <f t="shared" si="18"/>
        <v>30.247025000000001</v>
      </c>
      <c r="R109" s="8">
        <f t="shared" si="19"/>
        <v>38.511162859999999</v>
      </c>
      <c r="S109" s="8">
        <f t="shared" si="20"/>
        <v>39.012019700000003</v>
      </c>
      <c r="T109" s="8">
        <f t="shared" si="21"/>
        <v>50.2812986</v>
      </c>
      <c r="U109" s="8">
        <f t="shared" si="22"/>
        <v>55.289867000000001</v>
      </c>
      <c r="V109" s="8">
        <f t="shared" si="23"/>
        <v>80.332709000000008</v>
      </c>
      <c r="W109" s="8">
        <f t="shared" si="24"/>
        <v>28.629955199999998</v>
      </c>
      <c r="X109" s="8">
        <f t="shared" si="25"/>
        <v>36.809942399999997</v>
      </c>
      <c r="Y109" s="8">
        <f t="shared" si="26"/>
        <v>40.899935999999997</v>
      </c>
      <c r="Z109" s="8">
        <f t="shared" si="27"/>
        <v>61.349903999999995</v>
      </c>
    </row>
    <row r="110" spans="1:26" x14ac:dyDescent="0.2">
      <c r="A110">
        <v>414770</v>
      </c>
      <c r="B110" t="s">
        <v>223</v>
      </c>
      <c r="C110" t="s">
        <v>217</v>
      </c>
      <c r="D110">
        <v>82</v>
      </c>
      <c r="E110" t="s">
        <v>22</v>
      </c>
      <c r="F110" t="s">
        <v>19</v>
      </c>
      <c r="G110" s="6">
        <v>16.899999999999999</v>
      </c>
      <c r="H110" s="6">
        <v>15.93</v>
      </c>
      <c r="I110" s="6">
        <v>0</v>
      </c>
      <c r="J110" s="4">
        <f t="shared" si="14"/>
        <v>1.7068000000000001</v>
      </c>
      <c r="K110" s="4">
        <f t="shared" si="15"/>
        <v>1.5528</v>
      </c>
      <c r="L110" s="4">
        <f t="shared" si="16"/>
        <v>1.3391999999999999</v>
      </c>
      <c r="M110" s="4">
        <f t="shared" si="17"/>
        <v>1.3391999999999999</v>
      </c>
      <c r="N110">
        <v>0</v>
      </c>
      <c r="O110" s="7">
        <v>2.99</v>
      </c>
      <c r="P110" s="7"/>
      <c r="Q110" s="8">
        <f t="shared" si="18"/>
        <v>31.834919999999997</v>
      </c>
      <c r="R110" s="8">
        <f t="shared" si="19"/>
        <v>40.494885599999996</v>
      </c>
      <c r="S110" s="8">
        <f t="shared" si="20"/>
        <v>41.019731999999998</v>
      </c>
      <c r="T110" s="8">
        <f t="shared" si="21"/>
        <v>52.828775999999991</v>
      </c>
      <c r="U110" s="8">
        <f t="shared" si="22"/>
        <v>58.077239999999989</v>
      </c>
      <c r="V110" s="8">
        <f t="shared" si="23"/>
        <v>84.319559999999996</v>
      </c>
      <c r="W110" s="8">
        <f t="shared" si="24"/>
        <v>29.866838399999999</v>
      </c>
      <c r="X110" s="8">
        <f t="shared" si="25"/>
        <v>38.4002208</v>
      </c>
      <c r="Y110" s="8">
        <f t="shared" si="26"/>
        <v>42.666911999999996</v>
      </c>
      <c r="Z110" s="8">
        <f t="shared" si="27"/>
        <v>64.000367999999995</v>
      </c>
    </row>
    <row r="111" spans="1:26" x14ac:dyDescent="0.2">
      <c r="A111">
        <v>454075</v>
      </c>
      <c r="B111" t="s">
        <v>224</v>
      </c>
      <c r="C111" t="s">
        <v>186</v>
      </c>
      <c r="D111">
        <v>15</v>
      </c>
      <c r="E111" t="s">
        <v>18</v>
      </c>
      <c r="F111" t="s">
        <v>26</v>
      </c>
      <c r="G111" s="6">
        <v>16.010000000000002</v>
      </c>
      <c r="H111" s="6">
        <v>15.09</v>
      </c>
      <c r="I111" s="6">
        <v>0</v>
      </c>
      <c r="J111" s="4">
        <f t="shared" si="14"/>
        <v>1.7024999999999999</v>
      </c>
      <c r="K111" s="4">
        <f t="shared" si="15"/>
        <v>1.5642</v>
      </c>
      <c r="L111" s="4">
        <f t="shared" si="16"/>
        <v>1.3552</v>
      </c>
      <c r="M111" s="4">
        <f t="shared" si="17"/>
        <v>1.3552</v>
      </c>
      <c r="N111">
        <v>0</v>
      </c>
      <c r="O111" s="7">
        <v>2.99</v>
      </c>
      <c r="P111" s="7"/>
      <c r="Q111" s="8">
        <f t="shared" si="18"/>
        <v>30.247025000000001</v>
      </c>
      <c r="R111" s="8">
        <f t="shared" si="19"/>
        <v>38.511162859999999</v>
      </c>
      <c r="S111" s="8">
        <f t="shared" si="20"/>
        <v>39.012019700000003</v>
      </c>
      <c r="T111" s="8">
        <f t="shared" si="21"/>
        <v>50.2812986</v>
      </c>
      <c r="U111" s="8">
        <f t="shared" si="22"/>
        <v>55.289867000000001</v>
      </c>
      <c r="V111" s="8">
        <f t="shared" si="23"/>
        <v>80.332709000000008</v>
      </c>
      <c r="W111" s="8">
        <f t="shared" si="24"/>
        <v>28.629955199999998</v>
      </c>
      <c r="X111" s="8">
        <f t="shared" si="25"/>
        <v>36.809942399999997</v>
      </c>
      <c r="Y111" s="8">
        <f t="shared" si="26"/>
        <v>40.899935999999997</v>
      </c>
      <c r="Z111" s="8">
        <f t="shared" si="27"/>
        <v>61.349903999999995</v>
      </c>
    </row>
    <row r="112" spans="1:26" x14ac:dyDescent="0.2">
      <c r="A112">
        <v>414835</v>
      </c>
      <c r="B112" t="s">
        <v>225</v>
      </c>
      <c r="C112" t="s">
        <v>226</v>
      </c>
      <c r="D112">
        <v>82</v>
      </c>
      <c r="E112" t="s">
        <v>22</v>
      </c>
      <c r="F112" t="s">
        <v>23</v>
      </c>
      <c r="G112" s="6">
        <v>16.22</v>
      </c>
      <c r="H112" s="6">
        <v>15.28</v>
      </c>
      <c r="I112" s="6">
        <v>0</v>
      </c>
      <c r="J112" s="4">
        <f t="shared" si="14"/>
        <v>1.7068000000000001</v>
      </c>
      <c r="K112" s="4">
        <f t="shared" si="15"/>
        <v>1.5528</v>
      </c>
      <c r="L112" s="4">
        <f t="shared" si="16"/>
        <v>1.3391999999999999</v>
      </c>
      <c r="M112" s="4">
        <f t="shared" si="17"/>
        <v>1.3391999999999999</v>
      </c>
      <c r="N112">
        <v>0</v>
      </c>
      <c r="O112" s="7">
        <v>2.99</v>
      </c>
      <c r="P112" s="7"/>
      <c r="Q112" s="8">
        <f t="shared" si="18"/>
        <v>30.674295999999998</v>
      </c>
      <c r="R112" s="8">
        <f t="shared" si="19"/>
        <v>38.985813280000002</v>
      </c>
      <c r="S112" s="8">
        <f t="shared" si="20"/>
        <v>39.489541600000003</v>
      </c>
      <c r="T112" s="8">
        <f t="shared" si="21"/>
        <v>50.823428799999995</v>
      </c>
      <c r="U112" s="8">
        <f t="shared" si="22"/>
        <v>55.860711999999992</v>
      </c>
      <c r="V112" s="8">
        <f t="shared" si="23"/>
        <v>81.047127999999987</v>
      </c>
      <c r="W112" s="8">
        <f t="shared" si="24"/>
        <v>28.648166399999997</v>
      </c>
      <c r="X112" s="8">
        <f t="shared" si="25"/>
        <v>36.833356799999997</v>
      </c>
      <c r="Y112" s="8">
        <f t="shared" si="26"/>
        <v>40.925951999999995</v>
      </c>
      <c r="Z112" s="8">
        <f t="shared" si="27"/>
        <v>61.388927999999993</v>
      </c>
    </row>
    <row r="113" spans="1:26" x14ac:dyDescent="0.2">
      <c r="A113">
        <v>457150</v>
      </c>
      <c r="B113" t="s">
        <v>227</v>
      </c>
      <c r="C113" t="s">
        <v>228</v>
      </c>
      <c r="D113">
        <v>5</v>
      </c>
      <c r="E113" t="s">
        <v>18</v>
      </c>
      <c r="F113" t="s">
        <v>26</v>
      </c>
      <c r="G113" s="6">
        <v>16.010000000000002</v>
      </c>
      <c r="H113" s="6">
        <v>15.09</v>
      </c>
      <c r="I113" s="6">
        <v>0</v>
      </c>
      <c r="J113" s="4">
        <f t="shared" si="14"/>
        <v>1.7024999999999999</v>
      </c>
      <c r="K113" s="4">
        <f t="shared" si="15"/>
        <v>1.5642</v>
      </c>
      <c r="L113" s="4">
        <f t="shared" si="16"/>
        <v>1.3552</v>
      </c>
      <c r="M113" s="4">
        <f t="shared" si="17"/>
        <v>1.3552</v>
      </c>
      <c r="N113">
        <v>0</v>
      </c>
      <c r="O113" s="7">
        <v>2.99</v>
      </c>
      <c r="P113" s="7"/>
      <c r="Q113" s="8">
        <f t="shared" si="18"/>
        <v>30.247025000000001</v>
      </c>
      <c r="R113" s="8">
        <f t="shared" si="19"/>
        <v>38.511162859999999</v>
      </c>
      <c r="S113" s="8">
        <f t="shared" si="20"/>
        <v>39.012019700000003</v>
      </c>
      <c r="T113" s="8">
        <f t="shared" si="21"/>
        <v>50.2812986</v>
      </c>
      <c r="U113" s="8">
        <f t="shared" si="22"/>
        <v>55.289867000000001</v>
      </c>
      <c r="V113" s="8">
        <f t="shared" si="23"/>
        <v>80.332709000000008</v>
      </c>
      <c r="W113" s="8">
        <f t="shared" si="24"/>
        <v>28.629955199999998</v>
      </c>
      <c r="X113" s="8">
        <f t="shared" si="25"/>
        <v>36.809942399999997</v>
      </c>
      <c r="Y113" s="8">
        <f t="shared" si="26"/>
        <v>40.899935999999997</v>
      </c>
      <c r="Z113" s="8">
        <f t="shared" si="27"/>
        <v>61.349903999999995</v>
      </c>
    </row>
    <row r="114" spans="1:26" x14ac:dyDescent="0.2">
      <c r="A114">
        <v>425707</v>
      </c>
      <c r="B114" t="s">
        <v>229</v>
      </c>
      <c r="C114" t="s">
        <v>230</v>
      </c>
      <c r="D114">
        <v>73</v>
      </c>
      <c r="E114" t="s">
        <v>22</v>
      </c>
      <c r="F114" t="s">
        <v>43</v>
      </c>
      <c r="G114" s="6">
        <v>17.28</v>
      </c>
      <c r="H114" s="6">
        <v>16.29</v>
      </c>
      <c r="I114" s="6">
        <v>0</v>
      </c>
      <c r="J114" s="4">
        <f t="shared" si="14"/>
        <v>1.7068000000000001</v>
      </c>
      <c r="K114" s="4">
        <f t="shared" si="15"/>
        <v>1.5528</v>
      </c>
      <c r="L114" s="4">
        <f t="shared" si="16"/>
        <v>1.3391999999999999</v>
      </c>
      <c r="M114" s="4">
        <f t="shared" si="17"/>
        <v>1.3391999999999999</v>
      </c>
      <c r="N114">
        <v>0</v>
      </c>
      <c r="O114" s="7">
        <v>2.99</v>
      </c>
      <c r="P114" s="7"/>
      <c r="Q114" s="8">
        <f t="shared" si="18"/>
        <v>32.483504000000003</v>
      </c>
      <c r="R114" s="8">
        <f t="shared" si="19"/>
        <v>41.338190720000007</v>
      </c>
      <c r="S114" s="8">
        <f t="shared" si="20"/>
        <v>41.874838400000009</v>
      </c>
      <c r="T114" s="8">
        <f t="shared" si="21"/>
        <v>53.9494112</v>
      </c>
      <c r="U114" s="8">
        <f t="shared" si="22"/>
        <v>59.315888000000001</v>
      </c>
      <c r="V114" s="8">
        <f t="shared" si="23"/>
        <v>86.148272000000006</v>
      </c>
      <c r="W114" s="8">
        <f t="shared" si="24"/>
        <v>30.541795199999996</v>
      </c>
      <c r="X114" s="8">
        <f t="shared" si="25"/>
        <v>39.2680224</v>
      </c>
      <c r="Y114" s="8">
        <f t="shared" si="26"/>
        <v>43.631135999999998</v>
      </c>
      <c r="Z114" s="8">
        <f t="shared" si="27"/>
        <v>65.446703999999997</v>
      </c>
    </row>
    <row r="115" spans="1:26" x14ac:dyDescent="0.2">
      <c r="A115">
        <v>442787</v>
      </c>
      <c r="B115" t="s">
        <v>231</v>
      </c>
      <c r="C115" t="s">
        <v>232</v>
      </c>
      <c r="D115">
        <v>5</v>
      </c>
      <c r="E115" t="s">
        <v>18</v>
      </c>
      <c r="F115" t="s">
        <v>26</v>
      </c>
      <c r="G115" s="6">
        <v>16.010000000000002</v>
      </c>
      <c r="H115" s="6">
        <v>15.09</v>
      </c>
      <c r="I115" s="6">
        <v>0</v>
      </c>
      <c r="J115" s="4">
        <f t="shared" si="14"/>
        <v>1.7024999999999999</v>
      </c>
      <c r="K115" s="4">
        <f t="shared" si="15"/>
        <v>1.5642</v>
      </c>
      <c r="L115" s="4">
        <f t="shared" si="16"/>
        <v>1.3552</v>
      </c>
      <c r="M115" s="4">
        <f t="shared" si="17"/>
        <v>1.3552</v>
      </c>
      <c r="N115">
        <v>0</v>
      </c>
      <c r="O115" s="7">
        <v>2.99</v>
      </c>
      <c r="P115" s="7"/>
      <c r="Q115" s="8">
        <f t="shared" si="18"/>
        <v>30.247025000000001</v>
      </c>
      <c r="R115" s="8">
        <f t="shared" si="19"/>
        <v>38.511162859999999</v>
      </c>
      <c r="S115" s="8">
        <f t="shared" si="20"/>
        <v>39.012019700000003</v>
      </c>
      <c r="T115" s="8">
        <f t="shared" si="21"/>
        <v>50.2812986</v>
      </c>
      <c r="U115" s="8">
        <f t="shared" si="22"/>
        <v>55.289867000000001</v>
      </c>
      <c r="V115" s="8">
        <f t="shared" si="23"/>
        <v>80.332709000000008</v>
      </c>
      <c r="W115" s="8">
        <f t="shared" si="24"/>
        <v>28.629955199999998</v>
      </c>
      <c r="X115" s="8">
        <f t="shared" si="25"/>
        <v>36.809942399999997</v>
      </c>
      <c r="Y115" s="8">
        <f t="shared" si="26"/>
        <v>40.899935999999997</v>
      </c>
      <c r="Z115" s="8">
        <f t="shared" si="27"/>
        <v>61.349903999999995</v>
      </c>
    </row>
    <row r="116" spans="1:26" x14ac:dyDescent="0.2">
      <c r="A116">
        <v>457312</v>
      </c>
      <c r="B116" t="s">
        <v>233</v>
      </c>
      <c r="C116" t="s">
        <v>234</v>
      </c>
      <c r="D116">
        <v>3</v>
      </c>
      <c r="E116" t="s">
        <v>18</v>
      </c>
      <c r="F116" t="s">
        <v>26</v>
      </c>
      <c r="G116" s="6">
        <v>16.010000000000002</v>
      </c>
      <c r="H116" s="6">
        <v>15.09</v>
      </c>
      <c r="I116" s="6">
        <v>0</v>
      </c>
      <c r="J116" s="4">
        <f t="shared" si="14"/>
        <v>1.7024999999999999</v>
      </c>
      <c r="K116" s="4">
        <f t="shared" si="15"/>
        <v>1.5642</v>
      </c>
      <c r="L116" s="4">
        <f t="shared" si="16"/>
        <v>1.3552</v>
      </c>
      <c r="M116" s="4">
        <f t="shared" si="17"/>
        <v>1.3552</v>
      </c>
      <c r="N116">
        <v>0</v>
      </c>
      <c r="O116" s="7">
        <v>2.99</v>
      </c>
      <c r="P116" s="7"/>
      <c r="Q116" s="8">
        <f t="shared" si="18"/>
        <v>30.247025000000001</v>
      </c>
      <c r="R116" s="8">
        <f t="shared" si="19"/>
        <v>38.511162859999999</v>
      </c>
      <c r="S116" s="8">
        <f t="shared" si="20"/>
        <v>39.012019700000003</v>
      </c>
      <c r="T116" s="8">
        <f t="shared" si="21"/>
        <v>50.2812986</v>
      </c>
      <c r="U116" s="8">
        <f t="shared" si="22"/>
        <v>55.289867000000001</v>
      </c>
      <c r="V116" s="8">
        <f t="shared" si="23"/>
        <v>80.332709000000008</v>
      </c>
      <c r="W116" s="8">
        <f t="shared" si="24"/>
        <v>28.629955199999998</v>
      </c>
      <c r="X116" s="8">
        <f t="shared" si="25"/>
        <v>36.809942399999997</v>
      </c>
      <c r="Y116" s="8">
        <f t="shared" si="26"/>
        <v>40.899935999999997</v>
      </c>
      <c r="Z116" s="8">
        <f t="shared" si="27"/>
        <v>61.349903999999995</v>
      </c>
    </row>
    <row r="117" spans="1:26" x14ac:dyDescent="0.2">
      <c r="A117">
        <v>403842</v>
      </c>
      <c r="B117" t="s">
        <v>235</v>
      </c>
      <c r="C117" t="s">
        <v>175</v>
      </c>
      <c r="D117">
        <v>101</v>
      </c>
      <c r="E117" t="s">
        <v>22</v>
      </c>
      <c r="F117" t="s">
        <v>103</v>
      </c>
      <c r="G117" s="6">
        <v>16.43</v>
      </c>
      <c r="H117" s="6">
        <v>15.47</v>
      </c>
      <c r="I117" s="6">
        <v>0</v>
      </c>
      <c r="J117" s="4">
        <f t="shared" si="14"/>
        <v>1.7068000000000001</v>
      </c>
      <c r="K117" s="4">
        <f t="shared" si="15"/>
        <v>1.5528</v>
      </c>
      <c r="L117" s="4">
        <f t="shared" si="16"/>
        <v>1.3391999999999999</v>
      </c>
      <c r="M117" s="4">
        <f t="shared" si="17"/>
        <v>1.3391999999999999</v>
      </c>
      <c r="N117">
        <v>0</v>
      </c>
      <c r="O117" s="7">
        <v>2.99</v>
      </c>
      <c r="P117" s="7"/>
      <c r="Q117" s="8">
        <f t="shared" si="18"/>
        <v>31.032724000000002</v>
      </c>
      <c r="R117" s="8">
        <f t="shared" si="19"/>
        <v>39.451850320000005</v>
      </c>
      <c r="S117" s="8">
        <f t="shared" si="20"/>
        <v>39.962100400000004</v>
      </c>
      <c r="T117" s="8">
        <f t="shared" si="21"/>
        <v>51.4427272</v>
      </c>
      <c r="U117" s="8">
        <f t="shared" si="22"/>
        <v>56.545228000000002</v>
      </c>
      <c r="V117" s="8">
        <f t="shared" si="23"/>
        <v>82.057732000000001</v>
      </c>
      <c r="W117" s="8">
        <f t="shared" si="24"/>
        <v>29.0043936</v>
      </c>
      <c r="X117" s="8">
        <f t="shared" si="25"/>
        <v>37.291363199999999</v>
      </c>
      <c r="Y117" s="8">
        <f t="shared" si="26"/>
        <v>41.434848000000002</v>
      </c>
      <c r="Z117" s="8">
        <f t="shared" si="27"/>
        <v>62.152272000000004</v>
      </c>
    </row>
    <row r="118" spans="1:26" x14ac:dyDescent="0.2">
      <c r="A118">
        <v>442788</v>
      </c>
      <c r="B118" t="s">
        <v>236</v>
      </c>
      <c r="C118" t="s">
        <v>237</v>
      </c>
      <c r="D118">
        <v>5</v>
      </c>
      <c r="E118" t="s">
        <v>18</v>
      </c>
      <c r="F118" t="s">
        <v>26</v>
      </c>
      <c r="G118" s="6">
        <v>16.010000000000002</v>
      </c>
      <c r="H118" s="6">
        <v>15.09</v>
      </c>
      <c r="I118" s="6">
        <v>0</v>
      </c>
      <c r="J118" s="4">
        <f t="shared" si="14"/>
        <v>1.7024999999999999</v>
      </c>
      <c r="K118" s="4">
        <f t="shared" si="15"/>
        <v>1.5642</v>
      </c>
      <c r="L118" s="4">
        <f t="shared" si="16"/>
        <v>1.3552</v>
      </c>
      <c r="M118" s="4">
        <f t="shared" si="17"/>
        <v>1.3552</v>
      </c>
      <c r="N118">
        <v>0</v>
      </c>
      <c r="O118" s="7">
        <v>2.99</v>
      </c>
      <c r="P118" s="7"/>
      <c r="Q118" s="8">
        <f t="shared" si="18"/>
        <v>30.247025000000001</v>
      </c>
      <c r="R118" s="8">
        <f t="shared" si="19"/>
        <v>38.511162859999999</v>
      </c>
      <c r="S118" s="8">
        <f t="shared" si="20"/>
        <v>39.012019700000003</v>
      </c>
      <c r="T118" s="8">
        <f t="shared" si="21"/>
        <v>50.2812986</v>
      </c>
      <c r="U118" s="8">
        <f t="shared" si="22"/>
        <v>55.289867000000001</v>
      </c>
      <c r="V118" s="8">
        <f t="shared" si="23"/>
        <v>80.332709000000008</v>
      </c>
      <c r="W118" s="8">
        <f t="shared" si="24"/>
        <v>28.629955199999998</v>
      </c>
      <c r="X118" s="8">
        <f t="shared" si="25"/>
        <v>36.809942399999997</v>
      </c>
      <c r="Y118" s="8">
        <f t="shared" si="26"/>
        <v>40.899935999999997</v>
      </c>
      <c r="Z118" s="8">
        <f t="shared" si="27"/>
        <v>61.349903999999995</v>
      </c>
    </row>
  </sheetData>
  <autoFilter ref="A1:AF118" xr:uid="{02557C7E-2B3B-47CF-9529-BF97BCADE480}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Mook</dc:creator>
  <cp:lastModifiedBy>Hens, F.L.T. (Freek)</cp:lastModifiedBy>
  <dcterms:created xsi:type="dcterms:W3CDTF">2026-03-05T15:32:18Z</dcterms:created>
  <dcterms:modified xsi:type="dcterms:W3CDTF">2026-04-08T11:13:29Z</dcterms:modified>
</cp:coreProperties>
</file>