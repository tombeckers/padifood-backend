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difoodoss.sharepoint.com/sites/hr/Gedeelde documenten/General/Administratie HR/Urenregistratie/2. Tarieven uitzendbureaus/2026/FLEX/"/>
    </mc:Choice>
  </mc:AlternateContent>
  <xr:revisionPtr revIDLastSave="16" documentId="8_{BFD076BE-E54B-44F1-A99A-88BDCF88DCAE}" xr6:coauthVersionLast="47" xr6:coauthVersionMax="47" xr10:uidLastSave="{1FA04D0F-8404-4ED9-A704-59DBD9BAEA2C}"/>
  <bookViews>
    <workbookView xWindow="-28920" yWindow="-105" windowWidth="29040" windowHeight="15720" activeTab="1" xr2:uid="{A1A79D01-DE2A-4AFA-BEE0-AEBF37449C1D}"/>
  </bookViews>
  <sheets>
    <sheet name="1 januari 2026" sheetId="2" r:id="rId1"/>
    <sheet name="Blad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68" i="2" l="1"/>
  <c r="Y168" i="2" s="1"/>
  <c r="T168" i="2"/>
  <c r="V168" i="2" s="1"/>
  <c r="Q168" i="2"/>
  <c r="S168" i="2" s="1"/>
  <c r="D168" i="2"/>
  <c r="G168" i="2" s="1"/>
  <c r="W152" i="2"/>
  <c r="Y152" i="2" s="1"/>
  <c r="T152" i="2"/>
  <c r="V152" i="2" s="1"/>
  <c r="Q152" i="2"/>
  <c r="S152" i="2" s="1"/>
  <c r="D152" i="2"/>
  <c r="G152" i="2" s="1"/>
  <c r="W139" i="2"/>
  <c r="Y139" i="2" s="1"/>
  <c r="T139" i="2"/>
  <c r="V139" i="2" s="1"/>
  <c r="Q139" i="2"/>
  <c r="S139" i="2" s="1"/>
  <c r="D139" i="2"/>
  <c r="G139" i="2" s="1"/>
  <c r="W135" i="2"/>
  <c r="Y135" i="2" s="1"/>
  <c r="T135" i="2"/>
  <c r="V135" i="2" s="1"/>
  <c r="Q135" i="2"/>
  <c r="S135" i="2" s="1"/>
  <c r="D135" i="2"/>
  <c r="G135" i="2" s="1"/>
  <c r="W124" i="2"/>
  <c r="Y124" i="2" s="1"/>
  <c r="T124" i="2"/>
  <c r="V124" i="2" s="1"/>
  <c r="Q124" i="2"/>
  <c r="S124" i="2" s="1"/>
  <c r="D124" i="2"/>
  <c r="G124" i="2" s="1"/>
  <c r="W130" i="2"/>
  <c r="Y130" i="2" s="1"/>
  <c r="T130" i="2"/>
  <c r="V130" i="2" s="1"/>
  <c r="Q130" i="2"/>
  <c r="S130" i="2" s="1"/>
  <c r="D130" i="2"/>
  <c r="G130" i="2" s="1"/>
  <c r="W66" i="2"/>
  <c r="Y66" i="2" s="1"/>
  <c r="T66" i="2"/>
  <c r="V66" i="2" s="1"/>
  <c r="Q66" i="2"/>
  <c r="S66" i="2" s="1"/>
  <c r="D66" i="2"/>
  <c r="G66" i="2" s="1"/>
  <c r="W3" i="2"/>
  <c r="Y3" i="2" s="1"/>
  <c r="T3" i="2"/>
  <c r="V3" i="2" s="1"/>
  <c r="Q3" i="2"/>
  <c r="S3" i="2" s="1"/>
  <c r="D3" i="2"/>
  <c r="G3" i="2" s="1"/>
  <c r="W129" i="2"/>
  <c r="Y129" i="2" s="1"/>
  <c r="T129" i="2"/>
  <c r="V129" i="2" s="1"/>
  <c r="Q129" i="2"/>
  <c r="S129" i="2" s="1"/>
  <c r="D129" i="2"/>
  <c r="G129" i="2" s="1"/>
  <c r="T172" i="2"/>
  <c r="V172" i="2" s="1"/>
  <c r="D172" i="2"/>
  <c r="W172" i="2"/>
  <c r="Y172" i="2" s="1"/>
  <c r="Q172" i="2"/>
  <c r="S172" i="2" s="1"/>
  <c r="G172" i="2"/>
  <c r="W134" i="2"/>
  <c r="Y134" i="2" s="1"/>
  <c r="T134" i="2"/>
  <c r="V134" i="2" s="1"/>
  <c r="Q134" i="2"/>
  <c r="S134" i="2" s="1"/>
  <c r="D134" i="2"/>
  <c r="G134" i="2" s="1"/>
  <c r="W83" i="2"/>
  <c r="Y83" i="2" s="1"/>
  <c r="T83" i="2"/>
  <c r="V83" i="2" s="1"/>
  <c r="Q83" i="2"/>
  <c r="S83" i="2" s="1"/>
  <c r="D83" i="2"/>
  <c r="G83" i="2" s="1"/>
  <c r="O168" i="2" l="1"/>
  <c r="M168" i="2"/>
  <c r="K168" i="2"/>
  <c r="I168" i="2"/>
  <c r="O152" i="2"/>
  <c r="M152" i="2"/>
  <c r="K152" i="2"/>
  <c r="I152" i="2"/>
  <c r="O139" i="2"/>
  <c r="M139" i="2"/>
  <c r="K139" i="2"/>
  <c r="I139" i="2"/>
  <c r="O135" i="2"/>
  <c r="M135" i="2"/>
  <c r="K135" i="2"/>
  <c r="I135" i="2"/>
  <c r="O124" i="2"/>
  <c r="M124" i="2"/>
  <c r="K124" i="2"/>
  <c r="I124" i="2"/>
  <c r="O130" i="2"/>
  <c r="M130" i="2"/>
  <c r="K130" i="2"/>
  <c r="I130" i="2"/>
  <c r="O66" i="2"/>
  <c r="M66" i="2"/>
  <c r="K66" i="2"/>
  <c r="I66" i="2"/>
  <c r="O3" i="2"/>
  <c r="M3" i="2"/>
  <c r="K3" i="2"/>
  <c r="I3" i="2"/>
  <c r="O83" i="2"/>
  <c r="M83" i="2"/>
  <c r="K83" i="2"/>
  <c r="I83" i="2"/>
  <c r="O134" i="2"/>
  <c r="M134" i="2"/>
  <c r="K134" i="2"/>
  <c r="I134" i="2"/>
  <c r="O172" i="2"/>
  <c r="M172" i="2"/>
  <c r="K172" i="2"/>
  <c r="I172" i="2"/>
  <c r="O129" i="2"/>
  <c r="M129" i="2"/>
  <c r="K129" i="2"/>
  <c r="I129" i="2"/>
  <c r="W22" i="2"/>
  <c r="Y22" i="2" s="1"/>
  <c r="T22" i="2"/>
  <c r="V22" i="2" s="1"/>
  <c r="Q22" i="2"/>
  <c r="S22" i="2" s="1"/>
  <c r="D22" i="2"/>
  <c r="G22" i="2" s="1"/>
  <c r="W17" i="2"/>
  <c r="Y17" i="2" s="1"/>
  <c r="T17" i="2"/>
  <c r="V17" i="2" s="1"/>
  <c r="Q17" i="2"/>
  <c r="S17" i="2" s="1"/>
  <c r="D17" i="2"/>
  <c r="G17" i="2" s="1"/>
  <c r="O17" i="2" l="1"/>
  <c r="M17" i="2"/>
  <c r="K17" i="2"/>
  <c r="I17" i="2"/>
  <c r="O22" i="2"/>
  <c r="M22" i="2"/>
  <c r="K22" i="2"/>
  <c r="I22" i="2"/>
  <c r="W108" i="2" l="1"/>
  <c r="Y108" i="2" s="1"/>
  <c r="W8" i="2"/>
  <c r="Y8" i="2" s="1"/>
  <c r="W12" i="2"/>
  <c r="Y12" i="2" s="1"/>
  <c r="W13" i="2"/>
  <c r="Y13" i="2" s="1"/>
  <c r="W18" i="2"/>
  <c r="Y18" i="2" s="1"/>
  <c r="W23" i="2"/>
  <c r="Y23" i="2" s="1"/>
  <c r="W27" i="2"/>
  <c r="Y27" i="2" s="1"/>
  <c r="W31" i="2"/>
  <c r="Y31" i="2" s="1"/>
  <c r="W35" i="2"/>
  <c r="Y35" i="2" s="1"/>
  <c r="W36" i="2"/>
  <c r="Y36" i="2" s="1"/>
  <c r="W40" i="2"/>
  <c r="Y40" i="2" s="1"/>
  <c r="W44" i="2"/>
  <c r="Y44" i="2" s="1"/>
  <c r="W45" i="2"/>
  <c r="Y45" i="2" s="1"/>
  <c r="W49" i="2"/>
  <c r="Y49" i="2" s="1"/>
  <c r="W53" i="2"/>
  <c r="Y53" i="2" s="1"/>
  <c r="W57" i="2"/>
  <c r="Y57" i="2" s="1"/>
  <c r="W61" i="2"/>
  <c r="Y61" i="2" s="1"/>
  <c r="W65" i="2"/>
  <c r="Y65" i="2" s="1"/>
  <c r="W70" i="2"/>
  <c r="Y70" i="2" s="1"/>
  <c r="W71" i="2"/>
  <c r="Y71" i="2" s="1"/>
  <c r="W75" i="2"/>
  <c r="Y75" i="2" s="1"/>
  <c r="W79" i="2"/>
  <c r="Y79" i="2" s="1"/>
  <c r="W87" i="2"/>
  <c r="Y87" i="2" s="1"/>
  <c r="W91" i="2"/>
  <c r="Y91" i="2" s="1"/>
  <c r="W95" i="2"/>
  <c r="Y95" i="2" s="1"/>
  <c r="W99" i="2"/>
  <c r="Y99" i="2" s="1"/>
  <c r="W100" i="2"/>
  <c r="Y100" i="2" s="1"/>
  <c r="W104" i="2"/>
  <c r="Y104" i="2" s="1"/>
  <c r="W112" i="2"/>
  <c r="Y112" i="2" s="1"/>
  <c r="W116" i="2"/>
  <c r="Y116" i="2" s="1"/>
  <c r="W120" i="2"/>
  <c r="Y120" i="2" s="1"/>
  <c r="W128" i="2"/>
  <c r="Y128" i="2" s="1"/>
  <c r="W144" i="2"/>
  <c r="Y144" i="2" s="1"/>
  <c r="W148" i="2"/>
  <c r="Y148" i="2" s="1"/>
  <c r="W156" i="2"/>
  <c r="Y156" i="2" s="1"/>
  <c r="W160" i="2"/>
  <c r="Y160" i="2" s="1"/>
  <c r="W164" i="2"/>
  <c r="Y164" i="2" s="1"/>
  <c r="W7" i="2"/>
  <c r="Y7" i="2" s="1"/>
  <c r="T18" i="2"/>
  <c r="V18" i="2" s="1"/>
  <c r="T23" i="2"/>
  <c r="V23" i="2" s="1"/>
  <c r="T27" i="2"/>
  <c r="V27" i="2" s="1"/>
  <c r="T31" i="2"/>
  <c r="V31" i="2" s="1"/>
  <c r="T35" i="2"/>
  <c r="V35" i="2" s="1"/>
  <c r="T36" i="2"/>
  <c r="V36" i="2" s="1"/>
  <c r="T40" i="2"/>
  <c r="V40" i="2" s="1"/>
  <c r="T44" i="2"/>
  <c r="V44" i="2" s="1"/>
  <c r="T45" i="2"/>
  <c r="V45" i="2" s="1"/>
  <c r="T49" i="2"/>
  <c r="V49" i="2" s="1"/>
  <c r="T53" i="2"/>
  <c r="V53" i="2" s="1"/>
  <c r="T57" i="2"/>
  <c r="V57" i="2" s="1"/>
  <c r="T61" i="2"/>
  <c r="V61" i="2" s="1"/>
  <c r="T65" i="2"/>
  <c r="V65" i="2" s="1"/>
  <c r="T70" i="2"/>
  <c r="V70" i="2" s="1"/>
  <c r="T71" i="2"/>
  <c r="V71" i="2" s="1"/>
  <c r="T75" i="2"/>
  <c r="V75" i="2" s="1"/>
  <c r="T79" i="2"/>
  <c r="V79" i="2" s="1"/>
  <c r="T87" i="2"/>
  <c r="V87" i="2" s="1"/>
  <c r="T91" i="2"/>
  <c r="V91" i="2" s="1"/>
  <c r="T95" i="2"/>
  <c r="V95" i="2" s="1"/>
  <c r="T99" i="2"/>
  <c r="V99" i="2" s="1"/>
  <c r="T100" i="2"/>
  <c r="V100" i="2" s="1"/>
  <c r="T104" i="2"/>
  <c r="V104" i="2" s="1"/>
  <c r="T108" i="2"/>
  <c r="V108" i="2" s="1"/>
  <c r="T112" i="2"/>
  <c r="V112" i="2" s="1"/>
  <c r="T116" i="2"/>
  <c r="V116" i="2" s="1"/>
  <c r="T120" i="2"/>
  <c r="V120" i="2" s="1"/>
  <c r="T128" i="2"/>
  <c r="V128" i="2" s="1"/>
  <c r="T144" i="2"/>
  <c r="V144" i="2" s="1"/>
  <c r="T148" i="2"/>
  <c r="V148" i="2" s="1"/>
  <c r="T156" i="2"/>
  <c r="V156" i="2" s="1"/>
  <c r="T160" i="2"/>
  <c r="V160" i="2" s="1"/>
  <c r="T164" i="2"/>
  <c r="V164" i="2" s="1"/>
  <c r="T13" i="2"/>
  <c r="V13" i="2" s="1"/>
  <c r="T12" i="2"/>
  <c r="V12" i="2" s="1"/>
  <c r="T8" i="2"/>
  <c r="V8" i="2" s="1"/>
  <c r="T7" i="2"/>
  <c r="V7" i="2" s="1"/>
  <c r="Q108" i="2"/>
  <c r="S108" i="2" s="1"/>
  <c r="Q164" i="2"/>
  <c r="S164" i="2" s="1"/>
  <c r="Q18" i="2"/>
  <c r="S18" i="2" s="1"/>
  <c r="Q23" i="2"/>
  <c r="S23" i="2" s="1"/>
  <c r="Q27" i="2"/>
  <c r="S27" i="2" s="1"/>
  <c r="Q31" i="2"/>
  <c r="S31" i="2" s="1"/>
  <c r="Q35" i="2"/>
  <c r="S35" i="2" s="1"/>
  <c r="Q36" i="2"/>
  <c r="S36" i="2" s="1"/>
  <c r="Q40" i="2"/>
  <c r="S40" i="2" s="1"/>
  <c r="Q44" i="2"/>
  <c r="S44" i="2" s="1"/>
  <c r="Q45" i="2"/>
  <c r="S45" i="2" s="1"/>
  <c r="Q49" i="2"/>
  <c r="S49" i="2" s="1"/>
  <c r="Q53" i="2"/>
  <c r="S53" i="2" s="1"/>
  <c r="Q57" i="2"/>
  <c r="S57" i="2" s="1"/>
  <c r="Q61" i="2"/>
  <c r="S61" i="2" s="1"/>
  <c r="Q65" i="2"/>
  <c r="S65" i="2" s="1"/>
  <c r="Q70" i="2"/>
  <c r="S70" i="2" s="1"/>
  <c r="Q71" i="2"/>
  <c r="S71" i="2" s="1"/>
  <c r="Q75" i="2"/>
  <c r="S75" i="2" s="1"/>
  <c r="Q79" i="2"/>
  <c r="S79" i="2" s="1"/>
  <c r="Q87" i="2"/>
  <c r="S87" i="2" s="1"/>
  <c r="Q91" i="2"/>
  <c r="S91" i="2" s="1"/>
  <c r="Q95" i="2"/>
  <c r="S95" i="2" s="1"/>
  <c r="Q99" i="2"/>
  <c r="S99" i="2" s="1"/>
  <c r="Q100" i="2"/>
  <c r="S100" i="2" s="1"/>
  <c r="Q104" i="2"/>
  <c r="S104" i="2" s="1"/>
  <c r="Q112" i="2"/>
  <c r="S112" i="2" s="1"/>
  <c r="Q116" i="2"/>
  <c r="S116" i="2" s="1"/>
  <c r="Q120" i="2"/>
  <c r="S120" i="2" s="1"/>
  <c r="Q128" i="2"/>
  <c r="S128" i="2" s="1"/>
  <c r="Q144" i="2"/>
  <c r="S144" i="2" s="1"/>
  <c r="Q148" i="2"/>
  <c r="S148" i="2" s="1"/>
  <c r="Q156" i="2"/>
  <c r="S156" i="2" s="1"/>
  <c r="Q160" i="2"/>
  <c r="S160" i="2" s="1"/>
  <c r="Q13" i="2"/>
  <c r="S13" i="2" s="1"/>
  <c r="Q12" i="2"/>
  <c r="S12" i="2" s="1"/>
  <c r="Q8" i="2"/>
  <c r="S8" i="2" s="1"/>
  <c r="Q7" i="2"/>
  <c r="S7" i="2" s="1"/>
  <c r="D31" i="2" l="1"/>
  <c r="G31" i="2" s="1"/>
  <c r="D57" i="2"/>
  <c r="G57" i="2" s="1"/>
  <c r="D91" i="2"/>
  <c r="G91" i="2" s="1"/>
  <c r="D104" i="2"/>
  <c r="G104" i="2" s="1"/>
  <c r="D120" i="2"/>
  <c r="G120" i="2" s="1"/>
  <c r="D148" i="2"/>
  <c r="G148" i="2" s="1"/>
  <c r="D164" i="2"/>
  <c r="G164" i="2" s="1"/>
  <c r="D160" i="2"/>
  <c r="D156" i="2"/>
  <c r="D144" i="2"/>
  <c r="D128" i="2"/>
  <c r="D116" i="2"/>
  <c r="D112" i="2"/>
  <c r="D108" i="2"/>
  <c r="D100" i="2"/>
  <c r="D99" i="2"/>
  <c r="D95" i="2"/>
  <c r="D87" i="2"/>
  <c r="D79" i="2"/>
  <c r="D75" i="2"/>
  <c r="D71" i="2"/>
  <c r="D70" i="2"/>
  <c r="D65" i="2"/>
  <c r="D61" i="2"/>
  <c r="D53" i="2"/>
  <c r="D49" i="2"/>
  <c r="D45" i="2"/>
  <c r="D44" i="2"/>
  <c r="D40" i="2"/>
  <c r="D36" i="2"/>
  <c r="D35" i="2"/>
  <c r="D27" i="2"/>
  <c r="D23" i="2"/>
  <c r="D18" i="2"/>
  <c r="D13" i="2"/>
  <c r="D12" i="2"/>
  <c r="D8" i="2"/>
  <c r="D7" i="2"/>
  <c r="O164" i="2" l="1"/>
  <c r="M164" i="2"/>
  <c r="K164" i="2"/>
  <c r="I164" i="2"/>
  <c r="O148" i="2"/>
  <c r="M148" i="2"/>
  <c r="K148" i="2"/>
  <c r="I148" i="2"/>
  <c r="O120" i="2"/>
  <c r="M120" i="2"/>
  <c r="K120" i="2"/>
  <c r="I120" i="2"/>
  <c r="O104" i="2"/>
  <c r="M104" i="2"/>
  <c r="K104" i="2"/>
  <c r="I104" i="2"/>
  <c r="O91" i="2"/>
  <c r="M91" i="2"/>
  <c r="K91" i="2"/>
  <c r="I91" i="2"/>
  <c r="O57" i="2"/>
  <c r="M57" i="2"/>
  <c r="K57" i="2"/>
  <c r="I57" i="2"/>
  <c r="O31" i="2"/>
  <c r="M31" i="2"/>
  <c r="K31" i="2"/>
  <c r="I31" i="2"/>
  <c r="G116" i="2"/>
  <c r="G160" i="2"/>
  <c r="G156" i="2"/>
  <c r="G144" i="2"/>
  <c r="G128" i="2"/>
  <c r="G112" i="2"/>
  <c r="G108" i="2"/>
  <c r="G100" i="2"/>
  <c r="G99" i="2"/>
  <c r="G95" i="2"/>
  <c r="G87" i="2"/>
  <c r="G79" i="2"/>
  <c r="G75" i="2"/>
  <c r="G71" i="2"/>
  <c r="G70" i="2"/>
  <c r="I70" i="2" s="1"/>
  <c r="G65" i="2"/>
  <c r="I65" i="2" s="1"/>
  <c r="G61" i="2"/>
  <c r="G53" i="2"/>
  <c r="G49" i="2"/>
  <c r="G45" i="2"/>
  <c r="G44" i="2"/>
  <c r="G40" i="2"/>
  <c r="G36" i="2"/>
  <c r="G35" i="2"/>
  <c r="G27" i="2"/>
  <c r="G23" i="2"/>
  <c r="I23" i="2" s="1"/>
  <c r="G18" i="2"/>
  <c r="K18" i="2" s="1"/>
  <c r="G13" i="2"/>
  <c r="G12" i="2"/>
  <c r="G8" i="2"/>
  <c r="G7" i="2"/>
  <c r="O7" i="2" l="1"/>
  <c r="M7" i="2"/>
  <c r="K7" i="2"/>
  <c r="I7" i="2"/>
  <c r="O8" i="2"/>
  <c r="M8" i="2"/>
  <c r="K8" i="2"/>
  <c r="I8" i="2"/>
  <c r="O12" i="2"/>
  <c r="M12" i="2"/>
  <c r="K12" i="2"/>
  <c r="I12" i="2"/>
  <c r="O13" i="2"/>
  <c r="M13" i="2"/>
  <c r="K13" i="2"/>
  <c r="I13" i="2"/>
  <c r="O18" i="2"/>
  <c r="M18" i="2"/>
  <c r="I18" i="2"/>
  <c r="O23" i="2"/>
  <c r="M23" i="2"/>
  <c r="K23" i="2"/>
  <c r="O27" i="2"/>
  <c r="M27" i="2"/>
  <c r="K27" i="2"/>
  <c r="I27" i="2"/>
  <c r="O35" i="2"/>
  <c r="M35" i="2"/>
  <c r="K35" i="2"/>
  <c r="I35" i="2"/>
  <c r="O36" i="2"/>
  <c r="M36" i="2"/>
  <c r="K36" i="2"/>
  <c r="I36" i="2"/>
  <c r="O40" i="2"/>
  <c r="M40" i="2"/>
  <c r="K40" i="2"/>
  <c r="I40" i="2"/>
  <c r="O44" i="2"/>
  <c r="M44" i="2"/>
  <c r="K44" i="2"/>
  <c r="I44" i="2"/>
  <c r="O45" i="2"/>
  <c r="M45" i="2"/>
  <c r="K45" i="2"/>
  <c r="I45" i="2"/>
  <c r="O49" i="2"/>
  <c r="M49" i="2"/>
  <c r="K49" i="2"/>
  <c r="I49" i="2"/>
  <c r="O53" i="2"/>
  <c r="M53" i="2"/>
  <c r="K53" i="2"/>
  <c r="I53" i="2"/>
  <c r="O61" i="2"/>
  <c r="M61" i="2"/>
  <c r="K61" i="2"/>
  <c r="I61" i="2"/>
  <c r="O65" i="2"/>
  <c r="M65" i="2"/>
  <c r="K65" i="2"/>
  <c r="O70" i="2"/>
  <c r="M70" i="2"/>
  <c r="K70" i="2"/>
  <c r="O71" i="2"/>
  <c r="M71" i="2"/>
  <c r="K71" i="2"/>
  <c r="O75" i="2"/>
  <c r="M75" i="2"/>
  <c r="K75" i="2"/>
  <c r="I75" i="2"/>
  <c r="O79" i="2"/>
  <c r="M79" i="2"/>
  <c r="K79" i="2"/>
  <c r="I79" i="2"/>
  <c r="O87" i="2"/>
  <c r="M87" i="2"/>
  <c r="K87" i="2"/>
  <c r="I87" i="2"/>
  <c r="O95" i="2"/>
  <c r="M95" i="2"/>
  <c r="K95" i="2"/>
  <c r="I95" i="2"/>
  <c r="O99" i="2"/>
  <c r="M99" i="2"/>
  <c r="K99" i="2"/>
  <c r="I99" i="2"/>
  <c r="O100" i="2"/>
  <c r="M100" i="2"/>
  <c r="K100" i="2"/>
  <c r="I100" i="2"/>
  <c r="O108" i="2"/>
  <c r="M108" i="2"/>
  <c r="K108" i="2"/>
  <c r="I108" i="2"/>
  <c r="O112" i="2"/>
  <c r="M112" i="2"/>
  <c r="K112" i="2"/>
  <c r="I112" i="2"/>
  <c r="O128" i="2"/>
  <c r="M128" i="2"/>
  <c r="K128" i="2"/>
  <c r="I128" i="2"/>
  <c r="O144" i="2"/>
  <c r="M144" i="2"/>
  <c r="K144" i="2"/>
  <c r="I144" i="2"/>
  <c r="O156" i="2"/>
  <c r="M156" i="2"/>
  <c r="K156" i="2"/>
  <c r="I156" i="2"/>
  <c r="O160" i="2"/>
  <c r="M160" i="2"/>
  <c r="K160" i="2"/>
  <c r="I160" i="2"/>
  <c r="O116" i="2"/>
  <c r="M116" i="2"/>
  <c r="K116" i="2"/>
  <c r="I116" i="2"/>
  <c r="I71" i="2"/>
</calcChain>
</file>

<file path=xl/sharedStrings.xml><?xml version="1.0" encoding="utf-8"?>
<sst xmlns="http://schemas.openxmlformats.org/spreadsheetml/2006/main" count="1072" uniqueCount="288">
  <si>
    <t>Productiemedewerker Aanloopschaal</t>
  </si>
  <si>
    <t>Leeftijd</t>
  </si>
  <si>
    <t>Lota naam</t>
  </si>
  <si>
    <t>Uurloon excl. ADV</t>
  </si>
  <si>
    <t>Uurloon incl. ADV</t>
  </si>
  <si>
    <t>ORF</t>
  </si>
  <si>
    <t>Marge</t>
  </si>
  <si>
    <t xml:space="preserve">ORF ORT </t>
  </si>
  <si>
    <t>ORF ORT</t>
  </si>
  <si>
    <t>Uurloon OU</t>
  </si>
  <si>
    <t>ORF OU</t>
  </si>
  <si>
    <t>alle leeftijden</t>
  </si>
  <si>
    <t>Productiemdw Aanloopschaal (vanaf 1/7)</t>
  </si>
  <si>
    <t>Productiemedewerker A0</t>
  </si>
  <si>
    <t>Productiemdw A0 / 1e jaar</t>
  </si>
  <si>
    <t>Productiemdw A0 / Fase C</t>
  </si>
  <si>
    <t>Productiemedewerker A1</t>
  </si>
  <si>
    <t>Productiemdw A1 / 1e jaar</t>
  </si>
  <si>
    <t>Productiemdw A1 / Fase C</t>
  </si>
  <si>
    <t>Productiemedewerker A2</t>
  </si>
  <si>
    <t>Productiemdw A2 / 1e jaar</t>
  </si>
  <si>
    <t>Productiemdw A2 / Fase C</t>
  </si>
  <si>
    <t>Productiemedewerker A3</t>
  </si>
  <si>
    <t>Productiemdw A3 / 1e jaar</t>
  </si>
  <si>
    <t>Productiemdw A3 / Fase C</t>
  </si>
  <si>
    <t>Productiemedewerker A4</t>
  </si>
  <si>
    <t>Productiemdw A4 / Fase C</t>
  </si>
  <si>
    <t>Productiemedewerker A5</t>
  </si>
  <si>
    <t>Productiemdw A5 / Fase C</t>
  </si>
  <si>
    <t>Productiemedewerker B0</t>
  </si>
  <si>
    <t>Productiemdw B0 / 1e jaar</t>
  </si>
  <si>
    <t>Productiemdw B0 / Fase C</t>
  </si>
  <si>
    <t>Productiemedewerker B1</t>
  </si>
  <si>
    <t>Productiemdw B1 / Fase C</t>
  </si>
  <si>
    <t>Productiemedewerker B2</t>
  </si>
  <si>
    <t>Productiemdw B2 / 1e jaar</t>
  </si>
  <si>
    <t>Productiemdw B2 / Fase C</t>
  </si>
  <si>
    <t>Productiemedewerker B3</t>
  </si>
  <si>
    <t>Productiemdw B3 / Fase C</t>
  </si>
  <si>
    <t>Productiemedewerker B4</t>
  </si>
  <si>
    <t>Productiemdw B4 / Fase C</t>
  </si>
  <si>
    <t>Productiemedewerker B5</t>
  </si>
  <si>
    <t>Productiemdw B5 / Fase C</t>
  </si>
  <si>
    <t>Productiemedewerker B6</t>
  </si>
  <si>
    <t>Productiemdw B6 / Fase C</t>
  </si>
  <si>
    <t>Productiemedewerker C0</t>
  </si>
  <si>
    <t>Productiemdw C0 / 1e jaar</t>
  </si>
  <si>
    <t>Productiemdw C0 / Fase C</t>
  </si>
  <si>
    <t>Productiemedewerker C1</t>
  </si>
  <si>
    <t>Productiemdw C1 / 1e jaar</t>
  </si>
  <si>
    <t>Productiemdw C1 / Fase C</t>
  </si>
  <si>
    <t>Productiemedewerker C2</t>
  </si>
  <si>
    <t>Productiemdw C2 / Fase C</t>
  </si>
  <si>
    <t>Productiemedewerker C3</t>
  </si>
  <si>
    <t>Productiemdw C3 / Fase C</t>
  </si>
  <si>
    <t>Productiemedewerker C4</t>
  </si>
  <si>
    <t>Productiemdw C4 / Fase C</t>
  </si>
  <si>
    <t>Productiemedewerker C5</t>
  </si>
  <si>
    <t>Productiemdw C5 / Fase C</t>
  </si>
  <si>
    <t>Productiemedewerker C6</t>
  </si>
  <si>
    <t>Productiemdw C6 / Fase C</t>
  </si>
  <si>
    <t>Productiemedewerker C8</t>
  </si>
  <si>
    <t>Productiemdw C8 / Fase C</t>
  </si>
  <si>
    <t>Productiemedewerker D0</t>
  </si>
  <si>
    <t>Productiemdw D0 / 1e jaar</t>
  </si>
  <si>
    <t>Productiemdw D0 / Fase C</t>
  </si>
  <si>
    <t>Productiemedewerker D1</t>
  </si>
  <si>
    <t>Productiemdw D1 / Fase C</t>
  </si>
  <si>
    <t>Productiemedewerker D2</t>
  </si>
  <si>
    <t>Productiemdw D2 / Fase C</t>
  </si>
  <si>
    <t>Productiemedewerker D3</t>
  </si>
  <si>
    <t>Productiemdw D3 / Fase C</t>
  </si>
  <si>
    <t>Productiemedewerker D4</t>
  </si>
  <si>
    <t>Productiemdw D4 / Fase C</t>
  </si>
  <si>
    <t>Productiemedewerker D6</t>
  </si>
  <si>
    <t>Productiemdw D5 / Fase C</t>
  </si>
  <si>
    <t>Productiemedewerker D5</t>
  </si>
  <si>
    <t>Productiemdw D6 / Fase C</t>
  </si>
  <si>
    <t>Productiemedewerker E3</t>
  </si>
  <si>
    <t>Productiemdw E3 / Fase C</t>
  </si>
  <si>
    <t>Productiemdw E3 / Fase B</t>
  </si>
  <si>
    <t>Teamleider E3 / Fase B</t>
  </si>
  <si>
    <t>Productiemedewerker E4</t>
  </si>
  <si>
    <t>Productiemdw E4 / Fase C</t>
  </si>
  <si>
    <t>Teamleider E4 / Fase B</t>
  </si>
  <si>
    <t>Productiemedewerker E5</t>
  </si>
  <si>
    <t>Productiemdw E5 / Fase C</t>
  </si>
  <si>
    <t>Productiemedewerker F2</t>
  </si>
  <si>
    <t>Productiemdw F2 / Fase C</t>
  </si>
  <si>
    <t>Productiemedewerker F3</t>
  </si>
  <si>
    <t>Productiemdw F3 / Fase C</t>
  </si>
  <si>
    <t>Productiemedewerker F4</t>
  </si>
  <si>
    <t>Productiemdw F4 / Fase C</t>
  </si>
  <si>
    <t>Teamleider E6</t>
  </si>
  <si>
    <t>Teamleider E6 / Fase C</t>
  </si>
  <si>
    <t>Teamleider F5</t>
  </si>
  <si>
    <t>Teamleider F5 / Fase C</t>
  </si>
  <si>
    <t>Teamleider F6</t>
  </si>
  <si>
    <t>Teamleider F6 / Fase C</t>
  </si>
  <si>
    <t>Teamleider F7</t>
  </si>
  <si>
    <t>Teamleider F7 / Fase C</t>
  </si>
  <si>
    <t>Uitzondering Maciej Bernad (tijdelijk waarnemingstoeslag)</t>
  </si>
  <si>
    <t>toeslag (0,81)</t>
  </si>
  <si>
    <t>Maciej Bernad TIJDELIJK</t>
  </si>
  <si>
    <t>LET OP: OU uren is uurloon zonder ADV</t>
  </si>
  <si>
    <t>Loonnummer</t>
  </si>
  <si>
    <t>Voornaam</t>
  </si>
  <si>
    <t>Achternaam</t>
  </si>
  <si>
    <t>Loongroep</t>
  </si>
  <si>
    <t>Fase contracten</t>
  </si>
  <si>
    <t>05681</t>
  </si>
  <si>
    <t>Marcin</t>
  </si>
  <si>
    <t>Baran</t>
  </si>
  <si>
    <t>Fase C</t>
  </si>
  <si>
    <t>05704</t>
  </si>
  <si>
    <t>Dawid</t>
  </si>
  <si>
    <t>Pyttel</t>
  </si>
  <si>
    <t>Teamleider F7/ Fase C</t>
  </si>
  <si>
    <t>05713</t>
  </si>
  <si>
    <t>Andrzej</t>
  </si>
  <si>
    <t>Franczok</t>
  </si>
  <si>
    <t>Productiemdw C6/ Fase C</t>
  </si>
  <si>
    <t>05749</t>
  </si>
  <si>
    <t>Kolacz</t>
  </si>
  <si>
    <t>Productiemdw C8/ Fase C</t>
  </si>
  <si>
    <t>01506</t>
  </si>
  <si>
    <t>Lukasz</t>
  </si>
  <si>
    <t>Nowakowski</t>
  </si>
  <si>
    <t>Productiemdw B6/ Fase C</t>
  </si>
  <si>
    <t>01511</t>
  </si>
  <si>
    <t>Katarzyna</t>
  </si>
  <si>
    <t>Gryglik</t>
  </si>
  <si>
    <t>Teamleider F6/ Fase C</t>
  </si>
  <si>
    <t>01617</t>
  </si>
  <si>
    <t>Browarski</t>
  </si>
  <si>
    <t>01737</t>
  </si>
  <si>
    <t>Maciej</t>
  </si>
  <si>
    <t>Bernad</t>
  </si>
  <si>
    <t>05748</t>
  </si>
  <si>
    <t>Ewa</t>
  </si>
  <si>
    <t>Kedzior</t>
  </si>
  <si>
    <t>Productiemdw E5/ Fase C</t>
  </si>
  <si>
    <t>08227</t>
  </si>
  <si>
    <t>Mateusz</t>
  </si>
  <si>
    <t>Czenczek</t>
  </si>
  <si>
    <t>Productiemdw B3/ Fase C</t>
  </si>
  <si>
    <t>09577</t>
  </si>
  <si>
    <t>Mihaela Catalina</t>
  </si>
  <si>
    <t>Mihai</t>
  </si>
  <si>
    <t xml:space="preserve">Productiemdw D6/ Fase C </t>
  </si>
  <si>
    <t>10776</t>
  </si>
  <si>
    <t>Dumitru-Daniel</t>
  </si>
  <si>
    <t>Baciu</t>
  </si>
  <si>
    <t>05710</t>
  </si>
  <si>
    <t>Adrian</t>
  </si>
  <si>
    <t>Wiktorowicz</t>
  </si>
  <si>
    <t>Productiemdw F4/ Fase C</t>
  </si>
  <si>
    <t>12642</t>
  </si>
  <si>
    <t>Natalia</t>
  </si>
  <si>
    <t>Tekiela</t>
  </si>
  <si>
    <t>Productiemdw D2/ Fase C</t>
  </si>
  <si>
    <t>13784</t>
  </si>
  <si>
    <t>Anna</t>
  </si>
  <si>
    <t>Minta</t>
  </si>
  <si>
    <t>Productiemdw C3/ Fase C</t>
  </si>
  <si>
    <t>15671</t>
  </si>
  <si>
    <t>Koza</t>
  </si>
  <si>
    <t>Productiemdw B2/ Fase C</t>
  </si>
  <si>
    <t>16366</t>
  </si>
  <si>
    <t>Bogdan Stefan</t>
  </si>
  <si>
    <t>Tol</t>
  </si>
  <si>
    <t>Productiemdw B4/ Fase C</t>
  </si>
  <si>
    <t>01601</t>
  </si>
  <si>
    <t>Szczepan</t>
  </si>
  <si>
    <t>Stepien</t>
  </si>
  <si>
    <t>Productiemdw A4/ Fase C</t>
  </si>
  <si>
    <t>16462</t>
  </si>
  <si>
    <t>Lenuta</t>
  </si>
  <si>
    <t>Ungureanu</t>
  </si>
  <si>
    <t>17410</t>
  </si>
  <si>
    <t xml:space="preserve">Mircea-Andrei </t>
  </si>
  <si>
    <t>Cotrau</t>
  </si>
  <si>
    <t>Productiemdw A2/ Fase C</t>
  </si>
  <si>
    <t>19348</t>
  </si>
  <si>
    <t>Raduszewski</t>
  </si>
  <si>
    <t>06902</t>
  </si>
  <si>
    <t>Imbiorowicz</t>
  </si>
  <si>
    <t>20696</t>
  </si>
  <si>
    <t>Rana</t>
  </si>
  <si>
    <t>Deeb</t>
  </si>
  <si>
    <t>Productiemdw A5/ Fase C</t>
  </si>
  <si>
    <t>21969</t>
  </si>
  <si>
    <t>Ryszard</t>
  </si>
  <si>
    <t>Firlej</t>
  </si>
  <si>
    <t>24813</t>
  </si>
  <si>
    <t>Evelina</t>
  </si>
  <si>
    <t>Lemezonaite</t>
  </si>
  <si>
    <t>24970</t>
  </si>
  <si>
    <t>Blazej Przemysław</t>
  </si>
  <si>
    <t>Stormowski</t>
  </si>
  <si>
    <t>Productiemdw D1/  Fase C</t>
  </si>
  <si>
    <t>17381</t>
  </si>
  <si>
    <t xml:space="preserve">David </t>
  </si>
  <si>
    <t>Petrachiuta</t>
  </si>
  <si>
    <t>Productiemdw C2/ Fase C</t>
  </si>
  <si>
    <t>25364</t>
  </si>
  <si>
    <t>Krystian</t>
  </si>
  <si>
    <t>Wieleba</t>
  </si>
  <si>
    <t>25899</t>
  </si>
  <si>
    <t>Florica</t>
  </si>
  <si>
    <t>26239</t>
  </si>
  <si>
    <t>Boris Andrei</t>
  </si>
  <si>
    <t>Tanase</t>
  </si>
  <si>
    <t>28574</t>
  </si>
  <si>
    <t>Dominik Janusz</t>
  </si>
  <si>
    <t>Kowalkowski</t>
  </si>
  <si>
    <t>Productiemdw C1/ 1e jaar</t>
  </si>
  <si>
    <t>Fase B</t>
  </si>
  <si>
    <t>28969</t>
  </si>
  <si>
    <t>Jaroslaw</t>
  </si>
  <si>
    <t>Lisiewicz</t>
  </si>
  <si>
    <t>Productiemdw A1/ 1e jaar</t>
  </si>
  <si>
    <t>28962</t>
  </si>
  <si>
    <t>Karolina</t>
  </si>
  <si>
    <t>Slawik</t>
  </si>
  <si>
    <t>Productiemdw A0/ 1e jaar</t>
  </si>
  <si>
    <t>29692</t>
  </si>
  <si>
    <t>Kamila Nikola</t>
  </si>
  <si>
    <t>Bodytko</t>
  </si>
  <si>
    <t>Fase A</t>
  </si>
  <si>
    <t>30018</t>
  </si>
  <si>
    <t>Ionut-Gabriel</t>
  </si>
  <si>
    <t>28748</t>
  </si>
  <si>
    <t>Narcisa Bianca</t>
  </si>
  <si>
    <t xml:space="preserve">Babinecz </t>
  </si>
  <si>
    <t>Productiemdw A0/ Fase C</t>
  </si>
  <si>
    <t>30342</t>
  </si>
  <si>
    <t>Salimini</t>
  </si>
  <si>
    <t>Mziray</t>
  </si>
  <si>
    <t>30388</t>
  </si>
  <si>
    <t>Oliviu</t>
  </si>
  <si>
    <t>Stanciu</t>
  </si>
  <si>
    <t>30479</t>
  </si>
  <si>
    <t>Jakub</t>
  </si>
  <si>
    <t>Stefan</t>
  </si>
  <si>
    <t>30495</t>
  </si>
  <si>
    <t>Giedrius</t>
  </si>
  <si>
    <t>Stanionis</t>
  </si>
  <si>
    <t>30597</t>
  </si>
  <si>
    <t>Justyna Maria</t>
  </si>
  <si>
    <t>Jaworska</t>
  </si>
  <si>
    <t>30775</t>
  </si>
  <si>
    <t>Magdalena Anna</t>
  </si>
  <si>
    <t>Ruszkowska</t>
  </si>
  <si>
    <t>30805</t>
  </si>
  <si>
    <t>Laura Alexandra</t>
  </si>
  <si>
    <t>Da Silva Figueiredo</t>
  </si>
  <si>
    <t>25904</t>
  </si>
  <si>
    <t xml:space="preserve">Ionel  </t>
  </si>
  <si>
    <t>Vasile</t>
  </si>
  <si>
    <t>30818</t>
  </si>
  <si>
    <t>Sasa</t>
  </si>
  <si>
    <t>Pokrajac</t>
  </si>
  <si>
    <t>30918</t>
  </si>
  <si>
    <t>Haris</t>
  </si>
  <si>
    <t>Trumpis</t>
  </si>
  <si>
    <t>Productiemdw A2/ 1e jaar</t>
  </si>
  <si>
    <t>30923</t>
  </si>
  <si>
    <t>Vicentiu Romeo</t>
  </si>
  <si>
    <t>Preda</t>
  </si>
  <si>
    <t>31055</t>
  </si>
  <si>
    <t>Lademann</t>
  </si>
  <si>
    <t>31038</t>
  </si>
  <si>
    <t>Ernestas</t>
  </si>
  <si>
    <t>Guoga</t>
  </si>
  <si>
    <t>31133</t>
  </si>
  <si>
    <t>Luka</t>
  </si>
  <si>
    <t>Sebalj</t>
  </si>
  <si>
    <t>31390</t>
  </si>
  <si>
    <t>Paulius</t>
  </si>
  <si>
    <t>Pazusis</t>
  </si>
  <si>
    <t>31436</t>
  </si>
  <si>
    <t>Inacio Alberto</t>
  </si>
  <si>
    <t>Martins</t>
  </si>
  <si>
    <t>Alexandru</t>
  </si>
  <si>
    <t>Grigore Evlante</t>
  </si>
  <si>
    <t>Adam</t>
  </si>
  <si>
    <t>Jaksina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</si>
</sst>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€&quot;\ #,##0.00;[Red]&quot;€&quot;\ \-#,##0.00"/>
    <numFmt numFmtId="164" formatCode="0.00000"/>
    <numFmt numFmtId="165" formatCode="0.0%"/>
    <numFmt numFmtId="166" formatCode="_ [$€-2]\ * #,##0.00_ ;_ [$€-2]\ * \-#,##0.00_ ;_ [$€-2]\ * &quot;-&quot;??_ ;_ @_ 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0"/>
      <name val="Univers"/>
      <family val="2"/>
    </font>
    <font>
      <sz val="10"/>
      <color theme="1"/>
      <name val="Univers"/>
      <family val="2"/>
    </font>
    <font>
      <sz val="10"/>
      <color theme="0"/>
      <name val="Univers"/>
      <family val="2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0"/>
      <name val="Calibri"/>
      <family val="2"/>
      <scheme val="minor"/>
    </font>
    <font>
      <b/>
      <sz val="10"/>
      <color rgb="FFFFFFFF"/>
      <name val="Univers"/>
      <family val="2"/>
    </font>
    <font>
      <sz val="10"/>
      <color rgb="FFFFFFFF"/>
      <name val="Univers"/>
      <family val="2"/>
    </font>
    <font>
      <sz val="10"/>
      <color rgb="FF000000"/>
      <name val="Univers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C6E0B4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9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0" fontId="2" fillId="2" borderId="1" xfId="0" applyNumberFormat="1" applyFont="1" applyFill="1" applyBorder="1" applyAlignment="1">
      <alignment horizontal="center"/>
    </xf>
    <xf numFmtId="0" fontId="3" fillId="0" borderId="1" xfId="0" applyFont="1" applyBorder="1"/>
    <xf numFmtId="166" fontId="3" fillId="3" borderId="1" xfId="0" applyNumberFormat="1" applyFont="1" applyFill="1" applyBorder="1"/>
    <xf numFmtId="164" fontId="4" fillId="4" borderId="1" xfId="0" applyNumberFormat="1" applyFont="1" applyFill="1" applyBorder="1"/>
    <xf numFmtId="166" fontId="4" fillId="4" borderId="1" xfId="0" applyNumberFormat="1" applyFont="1" applyFill="1" applyBorder="1"/>
    <xf numFmtId="166" fontId="3" fillId="5" borderId="1" xfId="0" applyNumberFormat="1" applyFont="1" applyFill="1" applyBorder="1"/>
    <xf numFmtId="0" fontId="3" fillId="0" borderId="0" xfId="0" applyFont="1"/>
    <xf numFmtId="166" fontId="3" fillId="3" borderId="0" xfId="0" applyNumberFormat="1" applyFont="1" applyFill="1"/>
    <xf numFmtId="164" fontId="4" fillId="3" borderId="0" xfId="0" applyNumberFormat="1" applyFont="1" applyFill="1"/>
    <xf numFmtId="166" fontId="4" fillId="3" borderId="0" xfId="0" applyNumberFormat="1" applyFont="1" applyFill="1"/>
    <xf numFmtId="0" fontId="5" fillId="0" borderId="0" xfId="0" applyFont="1"/>
    <xf numFmtId="0" fontId="6" fillId="0" borderId="0" xfId="0" applyFont="1"/>
    <xf numFmtId="9" fontId="2" fillId="2" borderId="5" xfId="0" applyNumberFormat="1" applyFont="1" applyFill="1" applyBorder="1" applyAlignment="1">
      <alignment horizontal="center"/>
    </xf>
    <xf numFmtId="0" fontId="0" fillId="3" borderId="0" xfId="0" applyFill="1"/>
    <xf numFmtId="164" fontId="4" fillId="4" borderId="6" xfId="0" applyNumberFormat="1" applyFont="1" applyFill="1" applyBorder="1"/>
    <xf numFmtId="9" fontId="2" fillId="2" borderId="7" xfId="0" applyNumberFormat="1" applyFont="1" applyFill="1" applyBorder="1" applyAlignment="1">
      <alignment horizontal="center"/>
    </xf>
    <xf numFmtId="164" fontId="4" fillId="4" borderId="2" xfId="0" applyNumberFormat="1" applyFont="1" applyFill="1" applyBorder="1"/>
    <xf numFmtId="0" fontId="6" fillId="3" borderId="0" xfId="0" applyFont="1" applyFill="1"/>
    <xf numFmtId="164" fontId="2" fillId="2" borderId="5" xfId="0" applyNumberFormat="1" applyFont="1" applyFill="1" applyBorder="1" applyAlignment="1">
      <alignment horizontal="center"/>
    </xf>
    <xf numFmtId="10" fontId="2" fillId="2" borderId="5" xfId="0" applyNumberFormat="1" applyFont="1" applyFill="1" applyBorder="1" applyAlignment="1">
      <alignment horizontal="center"/>
    </xf>
    <xf numFmtId="164" fontId="2" fillId="2" borderId="7" xfId="0" applyNumberFormat="1" applyFont="1" applyFill="1" applyBorder="1" applyAlignment="1">
      <alignment horizontal="center"/>
    </xf>
    <xf numFmtId="166" fontId="3" fillId="3" borderId="3" xfId="0" applyNumberFormat="1" applyFont="1" applyFill="1" applyBorder="1"/>
    <xf numFmtId="164" fontId="2" fillId="2" borderId="4" xfId="0" applyNumberFormat="1" applyFont="1" applyFill="1" applyBorder="1" applyAlignment="1">
      <alignment horizontal="center"/>
    </xf>
    <xf numFmtId="164" fontId="4" fillId="4" borderId="3" xfId="0" applyNumberFormat="1" applyFont="1" applyFill="1" applyBorder="1"/>
    <xf numFmtId="10" fontId="2" fillId="2" borderId="7" xfId="0" applyNumberFormat="1" applyFont="1" applyFill="1" applyBorder="1" applyAlignment="1">
      <alignment horizontal="center"/>
    </xf>
    <xf numFmtId="0" fontId="3" fillId="3" borderId="1" xfId="0" applyFont="1" applyFill="1" applyBorder="1"/>
    <xf numFmtId="164" fontId="4" fillId="4" borderId="0" xfId="0" applyNumberFormat="1" applyFont="1" applyFill="1"/>
    <xf numFmtId="0" fontId="7" fillId="3" borderId="0" xfId="0" applyFont="1" applyFill="1"/>
    <xf numFmtId="10" fontId="2" fillId="3" borderId="1" xfId="0" applyNumberFormat="1" applyFont="1" applyFill="1" applyBorder="1" applyAlignment="1">
      <alignment horizontal="center"/>
    </xf>
    <xf numFmtId="166" fontId="4" fillId="3" borderId="1" xfId="0" applyNumberFormat="1" applyFont="1" applyFill="1" applyBorder="1"/>
    <xf numFmtId="10" fontId="2" fillId="3" borderId="5" xfId="0" applyNumberFormat="1" applyFont="1" applyFill="1" applyBorder="1" applyAlignment="1">
      <alignment horizontal="center"/>
    </xf>
    <xf numFmtId="10" fontId="2" fillId="3" borderId="7" xfId="0" applyNumberFormat="1" applyFont="1" applyFill="1" applyBorder="1" applyAlignment="1">
      <alignment horizontal="center"/>
    </xf>
    <xf numFmtId="166" fontId="4" fillId="3" borderId="3" xfId="0" applyNumberFormat="1" applyFont="1" applyFill="1" applyBorder="1"/>
    <xf numFmtId="0" fontId="8" fillId="3" borderId="0" xfId="0" applyFont="1" applyFill="1"/>
    <xf numFmtId="166" fontId="3" fillId="3" borderId="8" xfId="0" applyNumberFormat="1" applyFont="1" applyFill="1" applyBorder="1"/>
    <xf numFmtId="164" fontId="4" fillId="4" borderId="9" xfId="0" applyNumberFormat="1" applyFont="1" applyFill="1" applyBorder="1"/>
    <xf numFmtId="166" fontId="3" fillId="0" borderId="0" xfId="0" applyNumberFormat="1" applyFont="1"/>
    <xf numFmtId="164" fontId="4" fillId="0" borderId="0" xfId="0" applyNumberFormat="1" applyFont="1"/>
    <xf numFmtId="166" fontId="4" fillId="0" borderId="0" xfId="0" applyNumberFormat="1" applyFont="1"/>
    <xf numFmtId="0" fontId="0" fillId="0" borderId="10" xfId="0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9" fillId="6" borderId="1" xfId="0" applyFont="1" applyFill="1" applyBorder="1"/>
    <xf numFmtId="9" fontId="9" fillId="6" borderId="1" xfId="0" applyNumberFormat="1" applyFont="1" applyFill="1" applyBorder="1"/>
    <xf numFmtId="10" fontId="9" fillId="6" borderId="1" xfId="0" applyNumberFormat="1" applyFont="1" applyFill="1" applyBorder="1"/>
    <xf numFmtId="0" fontId="9" fillId="6" borderId="5" xfId="0" applyFont="1" applyFill="1" applyBorder="1"/>
    <xf numFmtId="10" fontId="9" fillId="6" borderId="5" xfId="0" applyNumberFormat="1" applyFont="1" applyFill="1" applyBorder="1"/>
    <xf numFmtId="0" fontId="9" fillId="7" borderId="5" xfId="0" applyFont="1" applyFill="1" applyBorder="1"/>
    <xf numFmtId="9" fontId="9" fillId="6" borderId="5" xfId="0" applyNumberFormat="1" applyFont="1" applyFill="1" applyBorder="1"/>
    <xf numFmtId="0" fontId="10" fillId="8" borderId="1" xfId="0" applyFont="1" applyFill="1" applyBorder="1"/>
    <xf numFmtId="8" fontId="10" fillId="8" borderId="1" xfId="0" applyNumberFormat="1" applyFont="1" applyFill="1" applyBorder="1"/>
    <xf numFmtId="8" fontId="11" fillId="9" borderId="1" xfId="0" applyNumberFormat="1" applyFont="1" applyFill="1" applyBorder="1"/>
    <xf numFmtId="0" fontId="10" fillId="7" borderId="1" xfId="0" applyFont="1" applyFill="1" applyBorder="1"/>
    <xf numFmtId="8" fontId="11" fillId="7" borderId="1" xfId="0" applyNumberFormat="1" applyFont="1" applyFill="1" applyBorder="1"/>
    <xf numFmtId="0" fontId="10" fillId="8" borderId="6" xfId="0" applyFont="1" applyFill="1" applyBorder="1"/>
    <xf numFmtId="0" fontId="10" fillId="8" borderId="2" xfId="0" applyFont="1" applyFill="1" applyBorder="1"/>
    <xf numFmtId="0" fontId="3" fillId="0" borderId="10" xfId="0" applyFont="1" applyBorder="1"/>
    <xf numFmtId="0" fontId="3" fillId="0" borderId="12" xfId="0" applyFont="1" applyBorder="1"/>
    <xf numFmtId="0" fontId="0" fillId="0" borderId="11" xfId="0" applyBorder="1" applyAlignment="1">
      <alignment vertical="center"/>
    </xf>
    <xf numFmtId="0" fontId="3" fillId="0" borderId="6" xfId="0" applyFont="1" applyBorder="1"/>
    <xf numFmtId="0" fontId="9" fillId="6" borderId="13" xfId="0" applyFont="1" applyFill="1" applyBorder="1"/>
    <xf numFmtId="0" fontId="11" fillId="0" borderId="13" xfId="0" applyFont="1" applyBorder="1"/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11" fillId="0" borderId="16" xfId="0" applyFont="1" applyBorder="1"/>
    <xf numFmtId="8" fontId="11" fillId="7" borderId="4" xfId="0" applyNumberFormat="1" applyFont="1" applyFill="1" applyBorder="1"/>
    <xf numFmtId="0" fontId="10" fillId="8" borderId="4" xfId="0" applyFont="1" applyFill="1" applyBorder="1"/>
    <xf numFmtId="8" fontId="10" fillId="8" borderId="4" xfId="0" applyNumberFormat="1" applyFont="1" applyFill="1" applyBorder="1"/>
    <xf numFmtId="8" fontId="11" fillId="9" borderId="4" xfId="0" applyNumberFormat="1" applyFont="1" applyFill="1" applyBorder="1"/>
    <xf numFmtId="0" fontId="10" fillId="7" borderId="4" xfId="0" applyFont="1" applyFill="1" applyBorder="1"/>
    <xf numFmtId="0" fontId="0" fillId="0" borderId="1" xfId="0" applyBorder="1"/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175</xdr:row>
      <xdr:rowOff>19050</xdr:rowOff>
    </xdr:from>
    <xdr:to>
      <xdr:col>5</xdr:col>
      <xdr:colOff>113388</xdr:colOff>
      <xdr:row>179</xdr:row>
      <xdr:rowOff>171336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B2461AF1-ACA3-4BF9-85F9-398B57302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33356550"/>
          <a:ext cx="7295238" cy="9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1571625</xdr:colOff>
      <xdr:row>168</xdr:row>
      <xdr:rowOff>0</xdr:rowOff>
    </xdr:from>
    <xdr:to>
      <xdr:col>7</xdr:col>
      <xdr:colOff>37436</xdr:colOff>
      <xdr:row>173</xdr:row>
      <xdr:rowOff>37976</xdr:rowOff>
    </xdr:to>
    <xdr:pic>
      <xdr:nvPicPr>
        <xdr:cNvPr id="5" name="Afbeelding 4">
          <a:extLst>
            <a:ext uri="{FF2B5EF4-FFF2-40B4-BE49-F238E27FC236}">
              <a16:creationId xmlns:a16="http://schemas.microsoft.com/office/drawing/2014/main" id="{7205DCE6-2CF7-40D2-B0F0-77ECA79C47A6}"/>
            </a:ext>
            <a:ext uri="{147F2762-F138-4A5C-976F-8EAC2B608ADB}">
              <a16:predDERef xmlns:a16="http://schemas.microsoft.com/office/drawing/2014/main" pred="{B2461AF1-ACA3-4BF9-85F9-398B57302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81350" y="32004000"/>
          <a:ext cx="5314286" cy="9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40CC9-6336-41CE-8FB8-39B0D1FA0B67}">
  <dimension ref="A1:Y174"/>
  <sheetViews>
    <sheetView topLeftCell="A43" workbookViewId="0">
      <selection activeCell="A65" sqref="A65:XFD65"/>
    </sheetView>
  </sheetViews>
  <sheetFormatPr defaultRowHeight="15" x14ac:dyDescent="0.25"/>
  <cols>
    <col min="1" max="1" width="24.140625" bestFit="1" customWidth="1"/>
    <col min="2" max="2" width="40.140625" bestFit="1" customWidth="1"/>
    <col min="3" max="3" width="17.7109375" bestFit="1" customWidth="1"/>
    <col min="4" max="4" width="17.42578125" bestFit="1" customWidth="1"/>
    <col min="16" max="16" width="0.42578125" style="34" customWidth="1"/>
    <col min="17" max="17" width="11.7109375" bestFit="1" customWidth="1"/>
    <col min="20" max="20" width="11.7109375" bestFit="1" customWidth="1"/>
    <col min="23" max="23" width="11.7109375" bestFit="1" customWidth="1"/>
    <col min="24" max="24" width="16.85546875" customWidth="1"/>
  </cols>
  <sheetData>
    <row r="1" spans="1:25" x14ac:dyDescent="0.25">
      <c r="A1" s="1" t="s">
        <v>0</v>
      </c>
    </row>
    <row r="2" spans="1:25" x14ac:dyDescent="0.25">
      <c r="A2" s="2" t="s">
        <v>1</v>
      </c>
      <c r="B2" s="2" t="s">
        <v>2</v>
      </c>
      <c r="C2" s="2" t="s">
        <v>3</v>
      </c>
      <c r="D2" s="3" t="s">
        <v>4</v>
      </c>
      <c r="E2" s="4" t="s">
        <v>5</v>
      </c>
      <c r="F2" s="3" t="s">
        <v>6</v>
      </c>
      <c r="G2" s="5">
        <v>1</v>
      </c>
      <c r="H2" s="5" t="s">
        <v>7</v>
      </c>
      <c r="I2" s="6">
        <v>1.33</v>
      </c>
      <c r="J2" s="5" t="s">
        <v>7</v>
      </c>
      <c r="K2" s="6">
        <v>1.35</v>
      </c>
      <c r="L2" s="4" t="s">
        <v>8</v>
      </c>
      <c r="M2" s="7">
        <v>2</v>
      </c>
      <c r="N2" s="7" t="s">
        <v>8</v>
      </c>
      <c r="O2" s="7">
        <v>3</v>
      </c>
      <c r="P2" s="35"/>
      <c r="Q2" s="7" t="s">
        <v>9</v>
      </c>
      <c r="R2" s="4" t="s">
        <v>10</v>
      </c>
      <c r="S2" s="5">
        <v>1.4</v>
      </c>
      <c r="T2" s="5" t="s">
        <v>9</v>
      </c>
      <c r="U2" s="5" t="s">
        <v>10</v>
      </c>
      <c r="V2" s="5">
        <v>1.8</v>
      </c>
      <c r="W2" s="5" t="s">
        <v>9</v>
      </c>
      <c r="X2" s="5" t="s">
        <v>10</v>
      </c>
      <c r="Y2" s="5">
        <v>2</v>
      </c>
    </row>
    <row r="3" spans="1:25" x14ac:dyDescent="0.25">
      <c r="A3" s="8" t="s">
        <v>11</v>
      </c>
      <c r="B3" s="8" t="s">
        <v>12</v>
      </c>
      <c r="C3" s="32">
        <v>14.71</v>
      </c>
      <c r="D3" s="9">
        <f>C3*1.061</f>
        <v>15.60731</v>
      </c>
      <c r="E3" s="10">
        <v>1.7058</v>
      </c>
      <c r="F3" s="11">
        <v>4.54</v>
      </c>
      <c r="G3" s="12">
        <f>SUM(D3*E3)+F3</f>
        <v>31.162949397999999</v>
      </c>
      <c r="H3" s="10">
        <v>1.5694999999999999</v>
      </c>
      <c r="I3" s="12">
        <f>SUM(G3+(D3*H3*0.33))</f>
        <v>39.246521502850001</v>
      </c>
      <c r="J3" s="10">
        <v>1.5694999999999999</v>
      </c>
      <c r="K3" s="12">
        <f>SUM(G3+(D3*J3*0.35))</f>
        <v>39.73643496375</v>
      </c>
      <c r="L3" s="10">
        <v>1.5694999999999999</v>
      </c>
      <c r="M3" s="12">
        <f>SUM(G3+(D3*L3*1))</f>
        <v>55.658622442999999</v>
      </c>
      <c r="N3" s="10">
        <v>1.5694999999999999</v>
      </c>
      <c r="O3" s="12">
        <f>SUM(G3+(D3*N3*2))</f>
        <v>80.154295487999988</v>
      </c>
      <c r="P3" s="36"/>
      <c r="Q3" s="9">
        <f>C3*1.4</f>
        <v>20.594000000000001</v>
      </c>
      <c r="R3" s="10">
        <v>1.3842000000000001</v>
      </c>
      <c r="S3" s="12">
        <f>SUM(Q3*R3)</f>
        <v>28.506214800000002</v>
      </c>
      <c r="T3" s="9">
        <f>C3*1.8</f>
        <v>26.478000000000002</v>
      </c>
      <c r="U3" s="10">
        <v>1.3842000000000001</v>
      </c>
      <c r="V3" s="12">
        <f>SUM(T3*U3)</f>
        <v>36.650847600000006</v>
      </c>
      <c r="W3" s="9">
        <f>C3*2</f>
        <v>29.42</v>
      </c>
      <c r="X3" s="10">
        <v>1.3842000000000001</v>
      </c>
      <c r="Y3" s="12">
        <f>SUM(W3*X3)</f>
        <v>40.723164000000004</v>
      </c>
    </row>
    <row r="4" spans="1:25" x14ac:dyDescent="0.25">
      <c r="A4" s="13"/>
      <c r="B4" s="13"/>
      <c r="C4" s="13"/>
      <c r="D4" s="14"/>
      <c r="E4" s="15"/>
      <c r="F4" s="16"/>
      <c r="G4" s="14"/>
      <c r="H4" s="15"/>
      <c r="I4" s="14"/>
      <c r="J4" s="15"/>
      <c r="K4" s="14"/>
      <c r="L4" s="15"/>
      <c r="M4" s="14"/>
      <c r="N4" s="14"/>
      <c r="O4" s="14"/>
      <c r="P4" s="16"/>
      <c r="Q4" s="14"/>
      <c r="R4" s="15"/>
      <c r="S4" s="14"/>
      <c r="T4" s="14"/>
      <c r="U4" s="15"/>
      <c r="V4" s="14"/>
      <c r="W4" s="14"/>
      <c r="X4" s="15"/>
      <c r="Y4" s="14"/>
    </row>
    <row r="5" spans="1:25" x14ac:dyDescent="0.25">
      <c r="A5" s="1" t="s">
        <v>13</v>
      </c>
    </row>
    <row r="6" spans="1:25" x14ac:dyDescent="0.25">
      <c r="A6" s="2" t="s">
        <v>1</v>
      </c>
      <c r="B6" s="2" t="s">
        <v>2</v>
      </c>
      <c r="C6" s="2" t="s">
        <v>3</v>
      </c>
      <c r="D6" s="3" t="s">
        <v>4</v>
      </c>
      <c r="E6" s="4" t="s">
        <v>5</v>
      </c>
      <c r="F6" s="3" t="s">
        <v>6</v>
      </c>
      <c r="G6" s="5">
        <v>1</v>
      </c>
      <c r="H6" s="5" t="s">
        <v>7</v>
      </c>
      <c r="I6" s="6">
        <v>1.33</v>
      </c>
      <c r="J6" s="5" t="s">
        <v>7</v>
      </c>
      <c r="K6" s="6">
        <v>1.35</v>
      </c>
      <c r="L6" s="4" t="s">
        <v>8</v>
      </c>
      <c r="M6" s="7">
        <v>2</v>
      </c>
      <c r="N6" s="7" t="s">
        <v>8</v>
      </c>
      <c r="O6" s="7">
        <v>3</v>
      </c>
      <c r="P6" s="35"/>
      <c r="Q6" s="7" t="s">
        <v>9</v>
      </c>
      <c r="R6" s="4" t="s">
        <v>10</v>
      </c>
      <c r="S6" s="5">
        <v>1.4</v>
      </c>
      <c r="T6" s="7" t="s">
        <v>9</v>
      </c>
      <c r="U6" s="5" t="s">
        <v>10</v>
      </c>
      <c r="V6" s="5">
        <v>1.8</v>
      </c>
      <c r="W6" s="7" t="s">
        <v>9</v>
      </c>
      <c r="X6" s="5" t="s">
        <v>10</v>
      </c>
      <c r="Y6" s="5">
        <v>2</v>
      </c>
    </row>
    <row r="7" spans="1:25" x14ac:dyDescent="0.25">
      <c r="A7" s="8" t="s">
        <v>11</v>
      </c>
      <c r="B7" s="8" t="s">
        <v>14</v>
      </c>
      <c r="C7" s="8">
        <v>15.09</v>
      </c>
      <c r="D7" s="9">
        <f>C7*1.061</f>
        <v>16.010489999999997</v>
      </c>
      <c r="E7" s="10">
        <v>1.7058</v>
      </c>
      <c r="F7" s="11">
        <v>4.54</v>
      </c>
      <c r="G7" s="12">
        <f>SUM(D7*E7)+F7</f>
        <v>31.850693841999995</v>
      </c>
      <c r="H7" s="10">
        <v>1.5694999999999999</v>
      </c>
      <c r="I7" s="12">
        <f>SUM(G7+(D7*H7*0.33))</f>
        <v>40.143086980149995</v>
      </c>
      <c r="J7" s="10">
        <v>1.5694999999999999</v>
      </c>
      <c r="K7" s="12">
        <f>SUM(G7+(D7*J7*0.35))</f>
        <v>40.645656261249997</v>
      </c>
      <c r="L7" s="10">
        <v>1.5694999999999999</v>
      </c>
      <c r="M7" s="12">
        <f>SUM(G7+(D7*L7*1))</f>
        <v>56.979157896999993</v>
      </c>
      <c r="N7" s="10">
        <v>1.5694999999999999</v>
      </c>
      <c r="O7" s="12">
        <f>SUM(G7+(D7*N7*2))</f>
        <v>82.107621951999988</v>
      </c>
      <c r="P7" s="36"/>
      <c r="Q7" s="9">
        <f>C7*1.4</f>
        <v>21.125999999999998</v>
      </c>
      <c r="R7" s="10">
        <v>1.3842000000000001</v>
      </c>
      <c r="S7" s="12">
        <f>SUM(Q7*R7)</f>
        <v>29.2426092</v>
      </c>
      <c r="T7" s="9">
        <f>C7*1.8</f>
        <v>27.161999999999999</v>
      </c>
      <c r="U7" s="10">
        <v>1.3842000000000001</v>
      </c>
      <c r="V7" s="12">
        <f>SUM(T7*U7)</f>
        <v>37.597640400000003</v>
      </c>
      <c r="W7" s="9">
        <f>C7*2</f>
        <v>30.18</v>
      </c>
      <c r="X7" s="10">
        <v>1.3842000000000001</v>
      </c>
      <c r="Y7" s="12">
        <f>SUM(W7*X7)</f>
        <v>41.775156000000003</v>
      </c>
    </row>
    <row r="8" spans="1:25" x14ac:dyDescent="0.25">
      <c r="A8" s="8" t="s">
        <v>11</v>
      </c>
      <c r="B8" s="8" t="s">
        <v>15</v>
      </c>
      <c r="C8" s="8">
        <v>15.09</v>
      </c>
      <c r="D8" s="9">
        <f>C8*1.061</f>
        <v>16.010489999999997</v>
      </c>
      <c r="E8" s="10">
        <v>1.629</v>
      </c>
      <c r="F8" s="11">
        <v>4.54</v>
      </c>
      <c r="G8" s="12">
        <f>SUM(D8*E8)+F8</f>
        <v>30.621088209999996</v>
      </c>
      <c r="H8" s="10">
        <v>1.4866999999999999</v>
      </c>
      <c r="I8" s="12">
        <f>SUM(G8+(D8*H8*0.33))</f>
        <v>38.476010719389997</v>
      </c>
      <c r="J8" s="10">
        <v>1.4866999999999999</v>
      </c>
      <c r="K8" s="12">
        <f>SUM(G8+(D8*J8*0.35))</f>
        <v>38.952066629049995</v>
      </c>
      <c r="L8" s="10">
        <v>1.4866999999999999</v>
      </c>
      <c r="M8" s="12">
        <f>SUM(G8+(D8*L8*1))</f>
        <v>54.423883692999993</v>
      </c>
      <c r="N8" s="10">
        <v>1.4866999999999999</v>
      </c>
      <c r="O8" s="12">
        <f>SUM(G8+(D8*N8*2))</f>
        <v>78.226679175999976</v>
      </c>
      <c r="P8" s="36"/>
      <c r="Q8" s="9">
        <f>C8*1.4</f>
        <v>21.125999999999998</v>
      </c>
      <c r="R8" s="10">
        <v>1.3012999999999999</v>
      </c>
      <c r="S8" s="12">
        <f>SUM(Q8*R8)</f>
        <v>27.491263799999995</v>
      </c>
      <c r="T8" s="9">
        <f>C8*1.8</f>
        <v>27.161999999999999</v>
      </c>
      <c r="U8" s="10">
        <v>1.3012999999999999</v>
      </c>
      <c r="V8" s="12">
        <f>SUM(T8*U8)</f>
        <v>35.345910599999996</v>
      </c>
      <c r="W8" s="9">
        <f t="shared" ref="W8:W71" si="0">C8*2</f>
        <v>30.18</v>
      </c>
      <c r="X8" s="10">
        <v>1.3012999999999999</v>
      </c>
      <c r="Y8" s="12">
        <f>SUM(W8*X8)</f>
        <v>39.273233999999995</v>
      </c>
    </row>
    <row r="9" spans="1:25" x14ac:dyDescent="0.25">
      <c r="R9" s="20"/>
      <c r="S9" s="14"/>
      <c r="T9" s="14"/>
      <c r="U9" s="20"/>
      <c r="V9" s="14"/>
      <c r="W9" s="14"/>
      <c r="X9" s="20"/>
      <c r="Y9" s="14"/>
    </row>
    <row r="10" spans="1:25" x14ac:dyDescent="0.25">
      <c r="A10" s="1" t="s">
        <v>16</v>
      </c>
      <c r="R10" s="20"/>
      <c r="S10" s="14"/>
      <c r="T10" s="14"/>
      <c r="U10" s="20"/>
      <c r="V10" s="14"/>
      <c r="W10" s="14"/>
      <c r="X10" s="20"/>
      <c r="Y10" s="14"/>
    </row>
    <row r="11" spans="1:25" x14ac:dyDescent="0.25">
      <c r="A11" s="2" t="s">
        <v>1</v>
      </c>
      <c r="B11" s="2" t="s">
        <v>2</v>
      </c>
      <c r="C11" s="2" t="s">
        <v>3</v>
      </c>
      <c r="D11" s="3" t="s">
        <v>4</v>
      </c>
      <c r="E11" s="4" t="s">
        <v>5</v>
      </c>
      <c r="F11" s="3" t="s">
        <v>6</v>
      </c>
      <c r="G11" s="5">
        <v>1</v>
      </c>
      <c r="H11" s="5" t="s">
        <v>7</v>
      </c>
      <c r="I11" s="6">
        <v>1.33</v>
      </c>
      <c r="J11" s="5" t="s">
        <v>7</v>
      </c>
      <c r="K11" s="6">
        <v>1.35</v>
      </c>
      <c r="L11" s="4" t="s">
        <v>8</v>
      </c>
      <c r="M11" s="7">
        <v>2</v>
      </c>
      <c r="N11" s="7" t="s">
        <v>8</v>
      </c>
      <c r="O11" s="7">
        <v>3</v>
      </c>
      <c r="P11" s="35"/>
      <c r="Q11" s="7" t="s">
        <v>9</v>
      </c>
      <c r="R11" s="25" t="s">
        <v>10</v>
      </c>
      <c r="S11" s="19">
        <v>1.4</v>
      </c>
      <c r="T11" s="7" t="s">
        <v>9</v>
      </c>
      <c r="U11" s="19" t="s">
        <v>10</v>
      </c>
      <c r="V11" s="19">
        <v>1.8</v>
      </c>
      <c r="W11" s="26" t="s">
        <v>9</v>
      </c>
      <c r="X11" s="19" t="s">
        <v>10</v>
      </c>
      <c r="Y11" s="19">
        <v>2</v>
      </c>
    </row>
    <row r="12" spans="1:25" x14ac:dyDescent="0.25">
      <c r="A12" s="8" t="s">
        <v>11</v>
      </c>
      <c r="B12" s="8" t="s">
        <v>17</v>
      </c>
      <c r="C12" s="8">
        <v>15.28</v>
      </c>
      <c r="D12" s="9">
        <f>C12*1.061</f>
        <v>16.212079999999997</v>
      </c>
      <c r="E12" s="10">
        <v>1.7058</v>
      </c>
      <c r="F12" s="11">
        <v>4.54</v>
      </c>
      <c r="G12" s="12">
        <f>SUM(D12*E12)+F12</f>
        <v>32.194566063999993</v>
      </c>
      <c r="H12" s="10">
        <v>1.5694999999999999</v>
      </c>
      <c r="I12" s="12">
        <f>SUM(G12+(D12*H12*0.33))</f>
        <v>40.591369718799989</v>
      </c>
      <c r="J12" s="10">
        <v>1.5694999999999999</v>
      </c>
      <c r="K12" s="12">
        <f>SUM(G12+(D12*J12*0.35))</f>
        <v>41.100266909999988</v>
      </c>
      <c r="L12" s="10">
        <v>1.5694999999999999</v>
      </c>
      <c r="M12" s="12">
        <f>SUM(G12+(D12*L12*1))</f>
        <v>57.639425623999983</v>
      </c>
      <c r="N12" s="10">
        <v>1.5694999999999999</v>
      </c>
      <c r="O12" s="12">
        <f>SUM(G12+(D12*N12*2))</f>
        <v>83.084285183999981</v>
      </c>
      <c r="P12" s="36"/>
      <c r="Q12" s="9">
        <f>C12*1.4</f>
        <v>21.391999999999999</v>
      </c>
      <c r="R12" s="10">
        <v>1.3842000000000001</v>
      </c>
      <c r="S12" s="12">
        <f>SUM(Q12*R12)</f>
        <v>29.610806400000001</v>
      </c>
      <c r="T12" s="9">
        <f>C12*1.8</f>
        <v>27.503999999999998</v>
      </c>
      <c r="U12" s="10">
        <v>1.3842000000000001</v>
      </c>
      <c r="V12" s="12">
        <f>SUM(T12*U12)</f>
        <v>38.071036800000002</v>
      </c>
      <c r="W12" s="9">
        <f t="shared" si="0"/>
        <v>30.56</v>
      </c>
      <c r="X12" s="10">
        <v>1.3842000000000001</v>
      </c>
      <c r="Y12" s="12">
        <f>SUM(W12*X12)</f>
        <v>42.301152000000002</v>
      </c>
    </row>
    <row r="13" spans="1:25" x14ac:dyDescent="0.25">
      <c r="A13" s="8" t="s">
        <v>11</v>
      </c>
      <c r="B13" s="8" t="s">
        <v>18</v>
      </c>
      <c r="C13" s="8">
        <v>15.28</v>
      </c>
      <c r="D13" s="9">
        <f>C13*1.061</f>
        <v>16.212079999999997</v>
      </c>
      <c r="E13" s="10">
        <v>1.629</v>
      </c>
      <c r="F13" s="11">
        <v>4.54</v>
      </c>
      <c r="G13" s="12">
        <f>SUM(D13*E13)+F13</f>
        <v>30.949478319999994</v>
      </c>
      <c r="H13" s="10">
        <v>1.4866999999999999</v>
      </c>
      <c r="I13" s="12">
        <f>SUM(G13+(D13*H13*0.33))</f>
        <v>38.903303100879995</v>
      </c>
      <c r="J13" s="10">
        <v>1.4866999999999999</v>
      </c>
      <c r="K13" s="12">
        <f>SUM(G13+(D13*J13*0.35))</f>
        <v>39.385353087599995</v>
      </c>
      <c r="L13" s="10">
        <v>1.4866999999999999</v>
      </c>
      <c r="M13" s="12">
        <f>SUM(G13+(D13*L13*1))</f>
        <v>55.051977655999991</v>
      </c>
      <c r="N13" s="10">
        <v>1.4866999999999999</v>
      </c>
      <c r="O13" s="12">
        <f>SUM(G13+(D13*N13*2))</f>
        <v>79.154476991999985</v>
      </c>
      <c r="P13" s="36"/>
      <c r="Q13" s="9">
        <f>C13*1.4</f>
        <v>21.391999999999999</v>
      </c>
      <c r="R13" s="10">
        <v>1.3012999999999999</v>
      </c>
      <c r="S13" s="12">
        <f>SUM(Q13*R13)</f>
        <v>27.837409599999997</v>
      </c>
      <c r="T13" s="9">
        <f>C13*1.8</f>
        <v>27.503999999999998</v>
      </c>
      <c r="U13" s="10">
        <v>1.3012999999999999</v>
      </c>
      <c r="V13" s="12">
        <f>SUM(T13*U13)</f>
        <v>35.790955199999992</v>
      </c>
      <c r="W13" s="9">
        <f t="shared" si="0"/>
        <v>30.56</v>
      </c>
      <c r="X13" s="10">
        <v>1.3012999999999999</v>
      </c>
      <c r="Y13" s="12">
        <f>SUM(W13*X13)</f>
        <v>39.767727999999998</v>
      </c>
    </row>
    <row r="14" spans="1:25" x14ac:dyDescent="0.25">
      <c r="M14" s="20"/>
      <c r="N14" s="20"/>
      <c r="O14" s="20"/>
      <c r="Q14" s="14"/>
      <c r="R14" s="20"/>
      <c r="S14" s="14"/>
      <c r="T14" s="14"/>
      <c r="U14" s="20"/>
      <c r="V14" s="14"/>
      <c r="W14" s="14"/>
      <c r="X14" s="20"/>
      <c r="Y14" s="14"/>
    </row>
    <row r="15" spans="1:25" x14ac:dyDescent="0.25">
      <c r="A15" s="1" t="s">
        <v>19</v>
      </c>
      <c r="M15" s="20"/>
      <c r="N15" s="20"/>
      <c r="O15" s="20"/>
      <c r="Q15" s="14"/>
      <c r="R15" s="20"/>
      <c r="S15" s="14"/>
      <c r="T15" s="14"/>
      <c r="U15" s="20"/>
      <c r="V15" s="14"/>
      <c r="W15" s="14"/>
      <c r="X15" s="20"/>
      <c r="Y15" s="14"/>
    </row>
    <row r="16" spans="1:25" x14ac:dyDescent="0.25">
      <c r="A16" s="2" t="s">
        <v>1</v>
      </c>
      <c r="B16" s="2" t="s">
        <v>2</v>
      </c>
      <c r="C16" s="2" t="s">
        <v>3</v>
      </c>
      <c r="D16" s="3" t="s">
        <v>4</v>
      </c>
      <c r="E16" s="4" t="s">
        <v>5</v>
      </c>
      <c r="F16" s="3" t="s">
        <v>6</v>
      </c>
      <c r="G16" s="5">
        <v>1</v>
      </c>
      <c r="H16" s="5" t="s">
        <v>7</v>
      </c>
      <c r="I16" s="6">
        <v>1.33</v>
      </c>
      <c r="J16" s="5" t="s">
        <v>7</v>
      </c>
      <c r="K16" s="6">
        <v>1.35</v>
      </c>
      <c r="L16" s="4" t="s">
        <v>8</v>
      </c>
      <c r="M16" s="26">
        <v>2</v>
      </c>
      <c r="N16" s="7" t="s">
        <v>8</v>
      </c>
      <c r="O16" s="26">
        <v>3</v>
      </c>
      <c r="P16" s="37"/>
      <c r="Q16" s="26" t="s">
        <v>9</v>
      </c>
      <c r="R16" s="25" t="s">
        <v>10</v>
      </c>
      <c r="S16" s="19">
        <v>1.4</v>
      </c>
      <c r="T16" s="26" t="s">
        <v>9</v>
      </c>
      <c r="U16" s="19" t="s">
        <v>10</v>
      </c>
      <c r="V16" s="19">
        <v>1.8</v>
      </c>
      <c r="W16" s="26" t="s">
        <v>9</v>
      </c>
      <c r="X16" s="19" t="s">
        <v>10</v>
      </c>
      <c r="Y16" s="19">
        <v>2</v>
      </c>
    </row>
    <row r="17" spans="1:25" x14ac:dyDescent="0.25">
      <c r="A17" s="8" t="s">
        <v>11</v>
      </c>
      <c r="B17" s="8" t="s">
        <v>20</v>
      </c>
      <c r="C17" s="8">
        <v>15.48</v>
      </c>
      <c r="D17" s="9">
        <f>C17*1.061</f>
        <v>16.42428</v>
      </c>
      <c r="E17" s="10">
        <v>1.7058</v>
      </c>
      <c r="F17" s="11">
        <v>4.54</v>
      </c>
      <c r="G17" s="12">
        <f>SUM(D17*E17)+F17</f>
        <v>32.556536823999998</v>
      </c>
      <c r="H17" s="10">
        <v>1.5694999999999999</v>
      </c>
      <c r="I17" s="12">
        <f>SUM(G17+(D17*H17*0.33))</f>
        <v>41.063246285799998</v>
      </c>
      <c r="J17" s="10">
        <v>1.5694999999999999</v>
      </c>
      <c r="K17" s="12">
        <f>SUM(G17+(D17*J17*0.35))</f>
        <v>41.578804434999995</v>
      </c>
      <c r="L17" s="10">
        <v>1.5694999999999999</v>
      </c>
      <c r="M17" s="12">
        <f>SUM(G17+(D17*L17*1))</f>
        <v>58.334444284</v>
      </c>
      <c r="N17" s="10">
        <v>1.5694999999999999</v>
      </c>
      <c r="O17" s="12">
        <f>SUM(G17+(D17*N17*2))</f>
        <v>84.112351743999994</v>
      </c>
      <c r="P17" s="36"/>
      <c r="Q17" s="9">
        <f>C17*1.4</f>
        <v>21.672000000000001</v>
      </c>
      <c r="R17" s="10">
        <v>1.3842000000000001</v>
      </c>
      <c r="S17" s="12">
        <f>SUM(Q17*R17)</f>
        <v>29.998382400000004</v>
      </c>
      <c r="T17" s="9">
        <f>C17*1.8</f>
        <v>27.864000000000001</v>
      </c>
      <c r="U17" s="10">
        <v>1.3842000000000001</v>
      </c>
      <c r="V17" s="12">
        <f>SUM(T17*U17)</f>
        <v>38.5693488</v>
      </c>
      <c r="W17" s="9">
        <f t="shared" ref="W17" si="1">C17*2</f>
        <v>30.96</v>
      </c>
      <c r="X17" s="10">
        <v>1.3842000000000001</v>
      </c>
      <c r="Y17" s="12">
        <f>SUM(W17*X17)</f>
        <v>42.854832000000002</v>
      </c>
    </row>
    <row r="18" spans="1:25" x14ac:dyDescent="0.25">
      <c r="A18" s="8" t="s">
        <v>11</v>
      </c>
      <c r="B18" s="8" t="s">
        <v>21</v>
      </c>
      <c r="C18" s="8">
        <v>15.48</v>
      </c>
      <c r="D18" s="9">
        <f>C18*1.061</f>
        <v>16.42428</v>
      </c>
      <c r="E18" s="10">
        <v>1.629</v>
      </c>
      <c r="F18" s="11">
        <v>4.54</v>
      </c>
      <c r="G18" s="12">
        <f>SUM(D18*E18)+F18</f>
        <v>31.295152119999997</v>
      </c>
      <c r="H18" s="10">
        <v>1.4866999999999999</v>
      </c>
      <c r="I18" s="12">
        <f>SUM(G18+(D18*H18*0.33))</f>
        <v>39.353084555079995</v>
      </c>
      <c r="J18" s="10">
        <v>1.4866999999999999</v>
      </c>
      <c r="K18" s="12">
        <f>SUM(G18+(D18*J18*0.35))</f>
        <v>39.841444096599993</v>
      </c>
      <c r="L18" s="10">
        <v>1.4866999999999999</v>
      </c>
      <c r="M18" s="12">
        <f>SUM(G18+(D18*L18*1))</f>
        <v>55.713129195999997</v>
      </c>
      <c r="N18" s="10">
        <v>1.4866999999999999</v>
      </c>
      <c r="O18" s="12">
        <f>SUM(G18+(D18*N18*2))</f>
        <v>80.131106271999982</v>
      </c>
      <c r="P18" s="36"/>
      <c r="Q18" s="9">
        <f t="shared" ref="Q18:Q79" si="2">C18*1.4</f>
        <v>21.672000000000001</v>
      </c>
      <c r="R18" s="10">
        <v>1.3012999999999999</v>
      </c>
      <c r="S18" s="12">
        <f>SUM(Q18*R18)</f>
        <v>28.201773599999999</v>
      </c>
      <c r="T18" s="9">
        <f t="shared" ref="T18:T79" si="3">C18*1.8</f>
        <v>27.864000000000001</v>
      </c>
      <c r="U18" s="10">
        <v>1.3012999999999999</v>
      </c>
      <c r="V18" s="12">
        <f>SUM(T18*U18)</f>
        <v>36.259423200000001</v>
      </c>
      <c r="W18" s="9">
        <f t="shared" si="0"/>
        <v>30.96</v>
      </c>
      <c r="X18" s="10">
        <v>1.3012999999999999</v>
      </c>
      <c r="Y18" s="12">
        <f>SUM(W18*X18)</f>
        <v>40.288247999999996</v>
      </c>
    </row>
    <row r="19" spans="1:25" x14ac:dyDescent="0.25">
      <c r="Q19" s="14"/>
      <c r="R19" s="20"/>
      <c r="S19" s="14"/>
      <c r="T19" s="14"/>
      <c r="U19" s="20"/>
      <c r="V19" s="14"/>
      <c r="W19" s="14"/>
      <c r="X19" s="20"/>
      <c r="Y19" s="14"/>
    </row>
    <row r="20" spans="1:25" x14ac:dyDescent="0.25">
      <c r="A20" s="1" t="s">
        <v>22</v>
      </c>
      <c r="Q20" s="14"/>
      <c r="R20" s="20"/>
      <c r="S20" s="14"/>
      <c r="T20" s="14"/>
      <c r="U20" s="20"/>
      <c r="V20" s="14"/>
      <c r="W20" s="14"/>
      <c r="X20" s="20"/>
      <c r="Y20" s="14"/>
    </row>
    <row r="21" spans="1:25" x14ac:dyDescent="0.25">
      <c r="A21" s="2" t="s">
        <v>1</v>
      </c>
      <c r="B21" s="2" t="s">
        <v>2</v>
      </c>
      <c r="C21" s="2" t="s">
        <v>3</v>
      </c>
      <c r="D21" s="3" t="s">
        <v>4</v>
      </c>
      <c r="E21" s="4" t="s">
        <v>5</v>
      </c>
      <c r="F21" s="3" t="s">
        <v>6</v>
      </c>
      <c r="G21" s="5">
        <v>1</v>
      </c>
      <c r="H21" s="5" t="s">
        <v>7</v>
      </c>
      <c r="I21" s="6">
        <v>1.33</v>
      </c>
      <c r="J21" s="5" t="s">
        <v>7</v>
      </c>
      <c r="K21" s="6">
        <v>1.35</v>
      </c>
      <c r="L21" s="4" t="s">
        <v>8</v>
      </c>
      <c r="M21" s="7">
        <v>2</v>
      </c>
      <c r="N21" s="7" t="s">
        <v>8</v>
      </c>
      <c r="O21" s="26">
        <v>3</v>
      </c>
      <c r="P21" s="37"/>
      <c r="Q21" s="26" t="s">
        <v>9</v>
      </c>
      <c r="R21" s="25" t="s">
        <v>10</v>
      </c>
      <c r="S21" s="19">
        <v>1.4</v>
      </c>
      <c r="T21" s="26" t="s">
        <v>9</v>
      </c>
      <c r="U21" s="19" t="s">
        <v>10</v>
      </c>
      <c r="V21" s="19">
        <v>1.8</v>
      </c>
      <c r="W21" s="26" t="s">
        <v>9</v>
      </c>
      <c r="X21" s="19" t="s">
        <v>10</v>
      </c>
      <c r="Y21" s="19">
        <v>2</v>
      </c>
    </row>
    <row r="22" spans="1:25" x14ac:dyDescent="0.25">
      <c r="A22" s="8" t="s">
        <v>11</v>
      </c>
      <c r="B22" s="8" t="s">
        <v>23</v>
      </c>
      <c r="C22" s="8">
        <v>15.67</v>
      </c>
      <c r="D22" s="9">
        <f>C22*1.061</f>
        <v>16.625869999999999</v>
      </c>
      <c r="E22" s="10">
        <v>1.7058</v>
      </c>
      <c r="F22" s="11">
        <v>4.54</v>
      </c>
      <c r="G22" s="12">
        <f>SUM(D22*E22)+F22</f>
        <v>32.900409046</v>
      </c>
      <c r="H22" s="10">
        <v>1.5694999999999999</v>
      </c>
      <c r="I22" s="12">
        <f>SUM(G22+(D22*H22*0.33))</f>
        <v>41.511529024449999</v>
      </c>
      <c r="J22" s="10">
        <v>1.5694999999999999</v>
      </c>
      <c r="K22" s="12">
        <f>SUM(G22+(D22*J22*0.35))</f>
        <v>42.03341508375</v>
      </c>
      <c r="L22" s="10">
        <v>1.5694999999999999</v>
      </c>
      <c r="M22" s="12">
        <f>SUM(G22+(D22*L22*1))</f>
        <v>58.994712010999997</v>
      </c>
      <c r="N22" s="10">
        <v>1.5694999999999999</v>
      </c>
      <c r="O22" s="12">
        <f>SUM(G22+(D22*N22*2))</f>
        <v>85.089014975999987</v>
      </c>
      <c r="P22" s="36"/>
      <c r="Q22" s="9">
        <f>C22*1.4</f>
        <v>21.937999999999999</v>
      </c>
      <c r="R22" s="10">
        <v>1.3842000000000001</v>
      </c>
      <c r="S22" s="12">
        <f>SUM(Q22*R22)</f>
        <v>30.366579600000001</v>
      </c>
      <c r="T22" s="9">
        <f>C22*1.8</f>
        <v>28.206</v>
      </c>
      <c r="U22" s="10">
        <v>1.3842000000000001</v>
      </c>
      <c r="V22" s="12">
        <f>SUM(T22*U22)</f>
        <v>39.042745199999999</v>
      </c>
      <c r="W22" s="9">
        <f t="shared" ref="W22" si="4">C22*2</f>
        <v>31.34</v>
      </c>
      <c r="X22" s="10">
        <v>1.3842000000000001</v>
      </c>
      <c r="Y22" s="12">
        <f>SUM(W22*X22)</f>
        <v>43.380828000000001</v>
      </c>
    </row>
    <row r="23" spans="1:25" x14ac:dyDescent="0.25">
      <c r="A23" s="8" t="s">
        <v>11</v>
      </c>
      <c r="B23" s="8" t="s">
        <v>24</v>
      </c>
      <c r="C23" s="8">
        <v>15.67</v>
      </c>
      <c r="D23" s="9">
        <f>C23*1.061</f>
        <v>16.625869999999999</v>
      </c>
      <c r="E23" s="10">
        <v>1.629</v>
      </c>
      <c r="F23" s="11">
        <v>4.54</v>
      </c>
      <c r="G23" s="12">
        <f>SUM(D23*E23)+F23</f>
        <v>31.623542229999998</v>
      </c>
      <c r="H23" s="10">
        <v>1.4866999999999999</v>
      </c>
      <c r="I23" s="12">
        <f>SUM(G23+(D23*H23*0.33))</f>
        <v>39.780376936569994</v>
      </c>
      <c r="J23" s="10">
        <v>1.4866999999999999</v>
      </c>
      <c r="K23" s="12">
        <f>SUM(G23+(D23*J23*0.35))</f>
        <v>40.274730555150001</v>
      </c>
      <c r="L23" s="10">
        <v>1.4866999999999999</v>
      </c>
      <c r="M23" s="12">
        <f>SUM(G23+(D23*L23*1))</f>
        <v>56.341223158999995</v>
      </c>
      <c r="N23" s="10">
        <v>1.4866999999999999</v>
      </c>
      <c r="O23" s="12">
        <f>SUM(G23+(D23*N23*2))</f>
        <v>81.058904087999991</v>
      </c>
      <c r="P23" s="36"/>
      <c r="Q23" s="9">
        <f t="shared" si="2"/>
        <v>21.937999999999999</v>
      </c>
      <c r="R23" s="10">
        <v>1.3012999999999999</v>
      </c>
      <c r="S23" s="12">
        <f>SUM(Q23*R23)</f>
        <v>28.547919399999998</v>
      </c>
      <c r="T23" s="9">
        <f t="shared" si="3"/>
        <v>28.206</v>
      </c>
      <c r="U23" s="10">
        <v>1.3012999999999999</v>
      </c>
      <c r="V23" s="12">
        <f>SUM(T23*U23)</f>
        <v>36.704467799999996</v>
      </c>
      <c r="W23" s="9">
        <f t="shared" si="0"/>
        <v>31.34</v>
      </c>
      <c r="X23" s="10">
        <v>1.3012999999999999</v>
      </c>
      <c r="Y23" s="12">
        <f>SUM(W23*X23)</f>
        <v>40.782741999999999</v>
      </c>
    </row>
    <row r="24" spans="1:25" x14ac:dyDescent="0.25">
      <c r="Q24" s="14"/>
      <c r="R24" s="20"/>
      <c r="S24" s="14"/>
      <c r="T24" s="14"/>
      <c r="U24" s="20"/>
      <c r="V24" s="14"/>
      <c r="W24" s="14"/>
      <c r="X24" s="20"/>
      <c r="Y24" s="14"/>
    </row>
    <row r="25" spans="1:25" x14ac:dyDescent="0.25">
      <c r="A25" s="1" t="s">
        <v>25</v>
      </c>
      <c r="Q25" s="14"/>
      <c r="R25" s="20"/>
      <c r="S25" s="14"/>
      <c r="T25" s="14"/>
      <c r="U25" s="20"/>
      <c r="V25" s="14"/>
      <c r="W25" s="14"/>
      <c r="X25" s="20"/>
      <c r="Y25" s="14"/>
    </row>
    <row r="26" spans="1:25" x14ac:dyDescent="0.25">
      <c r="A26" s="2" t="s">
        <v>1</v>
      </c>
      <c r="B26" s="2" t="s">
        <v>2</v>
      </c>
      <c r="C26" s="2" t="s">
        <v>3</v>
      </c>
      <c r="D26" s="3" t="s">
        <v>4</v>
      </c>
      <c r="E26" s="4" t="s">
        <v>5</v>
      </c>
      <c r="F26" s="3" t="s">
        <v>6</v>
      </c>
      <c r="G26" s="5">
        <v>1</v>
      </c>
      <c r="H26" s="5" t="s">
        <v>7</v>
      </c>
      <c r="I26" s="6">
        <v>1.33</v>
      </c>
      <c r="J26" s="5" t="s">
        <v>7</v>
      </c>
      <c r="K26" s="6">
        <v>1.35</v>
      </c>
      <c r="L26" s="4" t="s">
        <v>8</v>
      </c>
      <c r="M26" s="7">
        <v>2</v>
      </c>
      <c r="N26" s="7" t="s">
        <v>8</v>
      </c>
      <c r="O26" s="26">
        <v>3</v>
      </c>
      <c r="P26" s="37"/>
      <c r="Q26" s="26" t="s">
        <v>9</v>
      </c>
      <c r="R26" s="25" t="s">
        <v>10</v>
      </c>
      <c r="S26" s="19">
        <v>1.4</v>
      </c>
      <c r="T26" s="26" t="s">
        <v>9</v>
      </c>
      <c r="U26" s="19" t="s">
        <v>10</v>
      </c>
      <c r="V26" s="19">
        <v>1.8</v>
      </c>
      <c r="W26" s="26" t="s">
        <v>9</v>
      </c>
      <c r="X26" s="19" t="s">
        <v>10</v>
      </c>
      <c r="Y26" s="19">
        <v>2</v>
      </c>
    </row>
    <row r="27" spans="1:25" x14ac:dyDescent="0.25">
      <c r="A27" s="8" t="s">
        <v>11</v>
      </c>
      <c r="B27" s="8" t="s">
        <v>26</v>
      </c>
      <c r="C27" s="8">
        <v>15.86</v>
      </c>
      <c r="D27" s="9">
        <f>C27*1.061</f>
        <v>16.827459999999999</v>
      </c>
      <c r="E27" s="10">
        <v>1.629</v>
      </c>
      <c r="F27" s="11">
        <v>4.54</v>
      </c>
      <c r="G27" s="12">
        <f>SUM(D27*E27)+F27</f>
        <v>31.951932339999995</v>
      </c>
      <c r="H27" s="10">
        <v>1.4866999999999999</v>
      </c>
      <c r="I27" s="12">
        <f>SUM(G27+(D27*H27*0.33))</f>
        <v>40.207669318059999</v>
      </c>
      <c r="J27" s="10">
        <v>1.4866999999999999</v>
      </c>
      <c r="K27" s="12">
        <f>SUM(G27+(D27*J27*0.35))</f>
        <v>40.708017013699994</v>
      </c>
      <c r="L27" s="10">
        <v>1.4866999999999999</v>
      </c>
      <c r="M27" s="12">
        <f>SUM(G27+(D27*L27*1))</f>
        <v>56.969317121999993</v>
      </c>
      <c r="N27" s="10">
        <v>1.4866999999999999</v>
      </c>
      <c r="O27" s="12">
        <f>SUM(G27+(D27*N27*2))</f>
        <v>81.986701903999986</v>
      </c>
      <c r="P27" s="36"/>
      <c r="Q27" s="9">
        <f t="shared" si="2"/>
        <v>22.203999999999997</v>
      </c>
      <c r="R27" s="10">
        <v>1.3012999999999999</v>
      </c>
      <c r="S27" s="12">
        <f>SUM(Q27*R27)</f>
        <v>28.894065199999993</v>
      </c>
      <c r="T27" s="9">
        <f t="shared" si="3"/>
        <v>28.547999999999998</v>
      </c>
      <c r="U27" s="10">
        <v>1.3012999999999999</v>
      </c>
      <c r="V27" s="12">
        <f>SUM(T27*U27)</f>
        <v>37.149512399999992</v>
      </c>
      <c r="W27" s="9">
        <f t="shared" si="0"/>
        <v>31.72</v>
      </c>
      <c r="X27" s="10">
        <v>1.3012999999999999</v>
      </c>
      <c r="Y27" s="12">
        <f>SUM(W27*X27)</f>
        <v>41.277235999999995</v>
      </c>
    </row>
    <row r="28" spans="1:25" x14ac:dyDescent="0.25">
      <c r="M28" s="20"/>
      <c r="N28" s="20"/>
      <c r="O28" s="20"/>
      <c r="Q28" s="14"/>
      <c r="R28" s="20"/>
      <c r="S28" s="14"/>
      <c r="T28" s="14"/>
      <c r="U28" s="20"/>
      <c r="V28" s="14"/>
      <c r="W28" s="14"/>
      <c r="X28" s="20"/>
      <c r="Y28" s="14"/>
    </row>
    <row r="29" spans="1:25" x14ac:dyDescent="0.25">
      <c r="A29" s="1" t="s">
        <v>27</v>
      </c>
      <c r="M29" s="20"/>
      <c r="N29" s="20"/>
      <c r="O29" s="20"/>
      <c r="Q29" s="14"/>
      <c r="R29" s="20"/>
      <c r="S29" s="14"/>
      <c r="T29" s="14"/>
      <c r="U29" s="20"/>
      <c r="V29" s="14"/>
      <c r="W29" s="14"/>
      <c r="X29" s="20"/>
      <c r="Y29" s="14"/>
    </row>
    <row r="30" spans="1:25" x14ac:dyDescent="0.25">
      <c r="A30" s="2" t="s">
        <v>1</v>
      </c>
      <c r="B30" s="2" t="s">
        <v>2</v>
      </c>
      <c r="C30" s="2" t="s">
        <v>3</v>
      </c>
      <c r="D30" s="3" t="s">
        <v>4</v>
      </c>
      <c r="E30" s="4" t="s">
        <v>5</v>
      </c>
      <c r="F30" s="3" t="s">
        <v>6</v>
      </c>
      <c r="G30" s="5">
        <v>1</v>
      </c>
      <c r="H30" s="5" t="s">
        <v>7</v>
      </c>
      <c r="I30" s="6">
        <v>1.33</v>
      </c>
      <c r="J30" s="5" t="s">
        <v>7</v>
      </c>
      <c r="K30" s="6">
        <v>1.35</v>
      </c>
      <c r="L30" s="4" t="s">
        <v>8</v>
      </c>
      <c r="M30" s="26">
        <v>2</v>
      </c>
      <c r="N30" s="7" t="s">
        <v>8</v>
      </c>
      <c r="O30" s="26">
        <v>3</v>
      </c>
      <c r="P30" s="37"/>
      <c r="Q30" s="26" t="s">
        <v>9</v>
      </c>
      <c r="R30" s="25" t="s">
        <v>10</v>
      </c>
      <c r="S30" s="19">
        <v>1.4</v>
      </c>
      <c r="T30" s="26" t="s">
        <v>9</v>
      </c>
      <c r="U30" s="19" t="s">
        <v>10</v>
      </c>
      <c r="V30" s="19">
        <v>1.8</v>
      </c>
      <c r="W30" s="26" t="s">
        <v>9</v>
      </c>
      <c r="X30" s="19" t="s">
        <v>10</v>
      </c>
      <c r="Y30" s="19">
        <v>2</v>
      </c>
    </row>
    <row r="31" spans="1:25" x14ac:dyDescent="0.25">
      <c r="A31" s="8" t="s">
        <v>11</v>
      </c>
      <c r="B31" s="8" t="s">
        <v>28</v>
      </c>
      <c r="C31" s="8">
        <v>16.059999999999999</v>
      </c>
      <c r="D31" s="9">
        <f>C31*1.061</f>
        <v>17.039659999999998</v>
      </c>
      <c r="E31" s="10">
        <v>1.629</v>
      </c>
      <c r="F31" s="11">
        <v>4.54</v>
      </c>
      <c r="G31" s="12">
        <f>SUM(D31*E31)+F31</f>
        <v>32.297606139999999</v>
      </c>
      <c r="H31" s="10">
        <v>1.4866999999999999</v>
      </c>
      <c r="I31" s="12">
        <f>SUM(G31+(D31*H31*0.33))</f>
        <v>40.657450772259999</v>
      </c>
      <c r="J31" s="10">
        <v>1.4866999999999999</v>
      </c>
      <c r="K31" s="12">
        <f>SUM(G31+(D31*J31*0.35))</f>
        <v>41.164108022699999</v>
      </c>
      <c r="L31" s="10">
        <v>1.4866999999999999</v>
      </c>
      <c r="M31" s="12">
        <f>SUM(G31+(D31*L31*1))</f>
        <v>57.630468661999998</v>
      </c>
      <c r="N31" s="10">
        <v>1.4866999999999999</v>
      </c>
      <c r="O31" s="12">
        <f>SUM(G31+(D31*N31*2))</f>
        <v>82.963331183999998</v>
      </c>
      <c r="P31" s="36"/>
      <c r="Q31" s="9">
        <f t="shared" si="2"/>
        <v>22.483999999999998</v>
      </c>
      <c r="R31" s="10">
        <v>1.3012999999999999</v>
      </c>
      <c r="S31" s="12">
        <f>SUM(Q31*R31)</f>
        <v>29.258429199999995</v>
      </c>
      <c r="T31" s="9">
        <f t="shared" si="3"/>
        <v>28.907999999999998</v>
      </c>
      <c r="U31" s="10">
        <v>1.3012999999999999</v>
      </c>
      <c r="V31" s="12">
        <f>SUM(T31*U31)</f>
        <v>37.617980399999993</v>
      </c>
      <c r="W31" s="9">
        <f t="shared" si="0"/>
        <v>32.119999999999997</v>
      </c>
      <c r="X31" s="10">
        <v>1.3012999999999999</v>
      </c>
      <c r="Y31" s="12">
        <f>SUM(W31*X31)</f>
        <v>41.797755999999993</v>
      </c>
    </row>
    <row r="32" spans="1:25" x14ac:dyDescent="0.25">
      <c r="M32" s="20"/>
      <c r="N32" s="20"/>
      <c r="O32" s="20"/>
      <c r="Q32" s="14"/>
      <c r="R32" s="20"/>
      <c r="S32" s="14"/>
      <c r="T32" s="14"/>
      <c r="U32" s="20"/>
      <c r="V32" s="14"/>
      <c r="W32" s="14"/>
      <c r="X32" s="20"/>
      <c r="Y32" s="14"/>
    </row>
    <row r="33" spans="1:25" x14ac:dyDescent="0.25">
      <c r="A33" s="1" t="s">
        <v>29</v>
      </c>
      <c r="Q33" s="14"/>
      <c r="R33" s="20"/>
      <c r="S33" s="14"/>
      <c r="T33" s="14"/>
      <c r="U33" s="20"/>
      <c r="V33" s="14"/>
      <c r="W33" s="14"/>
      <c r="X33" s="20"/>
      <c r="Y33" s="14"/>
    </row>
    <row r="34" spans="1:25" x14ac:dyDescent="0.25">
      <c r="A34" s="2" t="s">
        <v>1</v>
      </c>
      <c r="B34" s="2" t="s">
        <v>2</v>
      </c>
      <c r="C34" s="2" t="s">
        <v>3</v>
      </c>
      <c r="D34" s="3" t="s">
        <v>4</v>
      </c>
      <c r="E34" s="4" t="s">
        <v>5</v>
      </c>
      <c r="F34" s="3" t="s">
        <v>6</v>
      </c>
      <c r="G34" s="5">
        <v>1</v>
      </c>
      <c r="H34" s="5" t="s">
        <v>7</v>
      </c>
      <c r="I34" s="6">
        <v>1.33</v>
      </c>
      <c r="J34" s="5" t="s">
        <v>7</v>
      </c>
      <c r="K34" s="6">
        <v>1.35</v>
      </c>
      <c r="L34" s="4" t="s">
        <v>8</v>
      </c>
      <c r="M34" s="26">
        <v>2</v>
      </c>
      <c r="N34" s="7" t="s">
        <v>8</v>
      </c>
      <c r="O34" s="26">
        <v>3</v>
      </c>
      <c r="P34" s="37"/>
      <c r="Q34" s="26" t="s">
        <v>9</v>
      </c>
      <c r="R34" s="25" t="s">
        <v>10</v>
      </c>
      <c r="S34" s="19">
        <v>1.4</v>
      </c>
      <c r="T34" s="26" t="s">
        <v>9</v>
      </c>
      <c r="U34" s="19" t="s">
        <v>10</v>
      </c>
      <c r="V34" s="19">
        <v>1.8</v>
      </c>
      <c r="W34" s="26" t="s">
        <v>9</v>
      </c>
      <c r="X34" s="19" t="s">
        <v>10</v>
      </c>
      <c r="Y34" s="19">
        <v>2</v>
      </c>
    </row>
    <row r="35" spans="1:25" x14ac:dyDescent="0.25">
      <c r="A35" s="8" t="s">
        <v>11</v>
      </c>
      <c r="B35" s="8" t="s">
        <v>30</v>
      </c>
      <c r="C35" s="8">
        <v>15.71</v>
      </c>
      <c r="D35" s="9">
        <f>C35*1.061</f>
        <v>16.668310000000002</v>
      </c>
      <c r="E35" s="10">
        <v>1.7058</v>
      </c>
      <c r="F35" s="11">
        <v>4.54</v>
      </c>
      <c r="G35" s="12">
        <f>SUM(D35*E35)+F35</f>
        <v>32.972803198000001</v>
      </c>
      <c r="H35" s="10">
        <v>1.5694999999999999</v>
      </c>
      <c r="I35" s="12">
        <f>SUM(G35+(D35*H35*0.33))</f>
        <v>41.605904337850006</v>
      </c>
      <c r="J35" s="10">
        <v>1.5694999999999999</v>
      </c>
      <c r="K35" s="12">
        <f>SUM(G35+(D35*J35*0.35))</f>
        <v>42.12912258875</v>
      </c>
      <c r="L35" s="10">
        <v>1.5694999999999999</v>
      </c>
      <c r="M35" s="12">
        <f>SUM(G35+(D35*L35*1))</f>
        <v>59.133715743000003</v>
      </c>
      <c r="N35" s="10">
        <v>1.5694999999999999</v>
      </c>
      <c r="O35" s="12">
        <f>SUM(G35+(D35*N35*2))</f>
        <v>85.294628288000013</v>
      </c>
      <c r="P35" s="36"/>
      <c r="Q35" s="9">
        <f t="shared" si="2"/>
        <v>21.994</v>
      </c>
      <c r="R35" s="10">
        <v>1.3842000000000001</v>
      </c>
      <c r="S35" s="12">
        <f>SUM(Q35*R35)</f>
        <v>30.444094800000002</v>
      </c>
      <c r="T35" s="9">
        <f t="shared" si="3"/>
        <v>28.278000000000002</v>
      </c>
      <c r="U35" s="10">
        <v>1.3842000000000001</v>
      </c>
      <c r="V35" s="12">
        <f>SUM(T35*U35)</f>
        <v>39.142407600000006</v>
      </c>
      <c r="W35" s="9">
        <f t="shared" si="0"/>
        <v>31.42</v>
      </c>
      <c r="X35" s="10">
        <v>1.3842000000000001</v>
      </c>
      <c r="Y35" s="12">
        <f>SUM(W35*X35)</f>
        <v>43.491564000000004</v>
      </c>
    </row>
    <row r="36" spans="1:25" x14ac:dyDescent="0.25">
      <c r="A36" s="8" t="s">
        <v>11</v>
      </c>
      <c r="B36" s="8" t="s">
        <v>31</v>
      </c>
      <c r="C36" s="8">
        <v>15.71</v>
      </c>
      <c r="D36" s="9">
        <f>C36*1.061</f>
        <v>16.668310000000002</v>
      </c>
      <c r="E36" s="10">
        <v>1.629</v>
      </c>
      <c r="F36" s="11">
        <v>4.54</v>
      </c>
      <c r="G36" s="12">
        <f>SUM(D36*E36)+F36</f>
        <v>31.692676990000002</v>
      </c>
      <c r="H36" s="10">
        <v>1.4866999999999999</v>
      </c>
      <c r="I36" s="12">
        <f>SUM(G36+(D36*H36*0.33))</f>
        <v>39.870333227410001</v>
      </c>
      <c r="J36" s="10">
        <v>1.4866999999999999</v>
      </c>
      <c r="K36" s="12">
        <f>SUM(G36+(D36*J36*0.35))</f>
        <v>40.365948756950004</v>
      </c>
      <c r="L36" s="10">
        <v>1.4866999999999999</v>
      </c>
      <c r="M36" s="12">
        <f>SUM(G36+(D36*L36*1))</f>
        <v>56.473453466999999</v>
      </c>
      <c r="N36" s="10">
        <v>1.4866999999999999</v>
      </c>
      <c r="O36" s="12">
        <f>SUM(G36+(D36*N36*2))</f>
        <v>81.254229944000002</v>
      </c>
      <c r="P36" s="36"/>
      <c r="Q36" s="9">
        <f t="shared" si="2"/>
        <v>21.994</v>
      </c>
      <c r="R36" s="10">
        <v>1.3012999999999999</v>
      </c>
      <c r="S36" s="12">
        <f>SUM(Q36*R36)</f>
        <v>28.620792199999997</v>
      </c>
      <c r="T36" s="9">
        <f t="shared" si="3"/>
        <v>28.278000000000002</v>
      </c>
      <c r="U36" s="10">
        <v>1.3012999999999999</v>
      </c>
      <c r="V36" s="12">
        <f>SUM(T36*U36)</f>
        <v>36.798161399999998</v>
      </c>
      <c r="W36" s="9">
        <f t="shared" si="0"/>
        <v>31.42</v>
      </c>
      <c r="X36" s="10">
        <v>1.3012999999999999</v>
      </c>
      <c r="Y36" s="12">
        <f>SUM(W36*X36)</f>
        <v>40.886845999999998</v>
      </c>
    </row>
    <row r="37" spans="1:25" x14ac:dyDescent="0.25">
      <c r="Q37" s="14"/>
      <c r="R37" s="20"/>
      <c r="S37" s="14"/>
      <c r="T37" s="14"/>
      <c r="U37" s="20"/>
      <c r="V37" s="14"/>
      <c r="W37" s="14"/>
      <c r="X37" s="20"/>
      <c r="Y37" s="14"/>
    </row>
    <row r="38" spans="1:25" x14ac:dyDescent="0.25">
      <c r="A38" s="1" t="s">
        <v>32</v>
      </c>
      <c r="Q38" s="14"/>
      <c r="R38" s="20"/>
      <c r="S38" s="14"/>
      <c r="T38" s="14"/>
      <c r="U38" s="20"/>
      <c r="V38" s="14"/>
      <c r="W38" s="14"/>
      <c r="X38" s="20"/>
      <c r="Y38" s="14"/>
    </row>
    <row r="39" spans="1:25" x14ac:dyDescent="0.25">
      <c r="A39" s="2" t="s">
        <v>1</v>
      </c>
      <c r="B39" s="2" t="s">
        <v>2</v>
      </c>
      <c r="C39" s="2" t="s">
        <v>3</v>
      </c>
      <c r="D39" s="3" t="s">
        <v>4</v>
      </c>
      <c r="E39" s="4" t="s">
        <v>5</v>
      </c>
      <c r="F39" s="3" t="s">
        <v>6</v>
      </c>
      <c r="G39" s="5">
        <v>1</v>
      </c>
      <c r="H39" s="5" t="s">
        <v>7</v>
      </c>
      <c r="I39" s="6">
        <v>1.33</v>
      </c>
      <c r="J39" s="5" t="s">
        <v>7</v>
      </c>
      <c r="K39" s="6">
        <v>1.35</v>
      </c>
      <c r="L39" s="4" t="s">
        <v>8</v>
      </c>
      <c r="M39" s="26">
        <v>2</v>
      </c>
      <c r="N39" s="7" t="s">
        <v>8</v>
      </c>
      <c r="O39" s="26">
        <v>3</v>
      </c>
      <c r="P39" s="37"/>
      <c r="Q39" s="26" t="s">
        <v>9</v>
      </c>
      <c r="R39" s="25" t="s">
        <v>10</v>
      </c>
      <c r="S39" s="19">
        <v>1.4</v>
      </c>
      <c r="T39" s="26" t="s">
        <v>9</v>
      </c>
      <c r="U39" s="19" t="s">
        <v>10</v>
      </c>
      <c r="V39" s="19">
        <v>1.8</v>
      </c>
      <c r="W39" s="26" t="s">
        <v>9</v>
      </c>
      <c r="X39" s="19" t="s">
        <v>10</v>
      </c>
      <c r="Y39" s="19">
        <v>2</v>
      </c>
    </row>
    <row r="40" spans="1:25" x14ac:dyDescent="0.25">
      <c r="A40" s="8" t="s">
        <v>11</v>
      </c>
      <c r="B40" s="8" t="s">
        <v>33</v>
      </c>
      <c r="C40" s="8">
        <v>15.92</v>
      </c>
      <c r="D40" s="9">
        <f>C40*1.061</f>
        <v>16.891119999999997</v>
      </c>
      <c r="E40" s="10">
        <v>1.629</v>
      </c>
      <c r="F40" s="11">
        <v>4.54</v>
      </c>
      <c r="G40" s="12">
        <f>SUM(D40*E40)+F40</f>
        <v>32.055634479999995</v>
      </c>
      <c r="H40" s="10">
        <v>1.4866999999999999</v>
      </c>
      <c r="I40" s="12">
        <f>SUM(G40+(D40*H40*0.33))</f>
        <v>40.342603754319995</v>
      </c>
      <c r="J40" s="10">
        <v>1.4866999999999999</v>
      </c>
      <c r="K40" s="12">
        <f>SUM(G40+(D40*J40*0.35))</f>
        <v>40.844844316399993</v>
      </c>
      <c r="L40" s="10">
        <v>1.4866999999999999</v>
      </c>
      <c r="M40" s="12">
        <f>SUM(G40+(D40*L40*1))</f>
        <v>57.167662583999984</v>
      </c>
      <c r="N40" s="10">
        <v>1.4866999999999999</v>
      </c>
      <c r="O40" s="12">
        <f>SUM(G40+(D40*N40*2))</f>
        <v>82.279690687999988</v>
      </c>
      <c r="P40" s="36"/>
      <c r="Q40" s="9">
        <f t="shared" si="2"/>
        <v>22.288</v>
      </c>
      <c r="R40" s="10">
        <v>1.3012999999999999</v>
      </c>
      <c r="S40" s="12">
        <f>SUM(Q40*R40)</f>
        <v>29.003374399999998</v>
      </c>
      <c r="T40" s="9">
        <f t="shared" si="3"/>
        <v>28.655999999999999</v>
      </c>
      <c r="U40" s="10">
        <v>1.3012999999999999</v>
      </c>
      <c r="V40" s="12">
        <f>SUM(T40*U40)</f>
        <v>37.290052799999998</v>
      </c>
      <c r="W40" s="9">
        <f t="shared" si="0"/>
        <v>31.84</v>
      </c>
      <c r="X40" s="10">
        <v>1.3012999999999999</v>
      </c>
      <c r="Y40" s="12">
        <f>SUM(W40*X40)</f>
        <v>41.433391999999998</v>
      </c>
    </row>
    <row r="41" spans="1:25" x14ac:dyDescent="0.25">
      <c r="Q41" s="14"/>
      <c r="R41" s="20"/>
      <c r="S41" s="14"/>
      <c r="T41" s="14"/>
      <c r="U41" s="20"/>
      <c r="V41" s="14"/>
      <c r="W41" s="14"/>
      <c r="X41" s="20"/>
      <c r="Y41" s="14"/>
    </row>
    <row r="42" spans="1:25" x14ac:dyDescent="0.25">
      <c r="A42" s="1" t="s">
        <v>34</v>
      </c>
      <c r="Q42" s="14"/>
      <c r="R42" s="20"/>
      <c r="S42" s="14"/>
      <c r="T42" s="14"/>
      <c r="U42" s="20"/>
      <c r="V42" s="14"/>
      <c r="W42" s="14"/>
      <c r="X42" s="20"/>
      <c r="Y42" s="14"/>
    </row>
    <row r="43" spans="1:25" x14ac:dyDescent="0.25">
      <c r="A43" s="2" t="s">
        <v>1</v>
      </c>
      <c r="B43" s="2" t="s">
        <v>2</v>
      </c>
      <c r="C43" s="2" t="s">
        <v>3</v>
      </c>
      <c r="D43" s="3" t="s">
        <v>4</v>
      </c>
      <c r="E43" s="4" t="s">
        <v>5</v>
      </c>
      <c r="F43" s="3" t="s">
        <v>6</v>
      </c>
      <c r="G43" s="5">
        <v>1</v>
      </c>
      <c r="H43" s="5" t="s">
        <v>7</v>
      </c>
      <c r="I43" s="6">
        <v>1.33</v>
      </c>
      <c r="J43" s="5" t="s">
        <v>7</v>
      </c>
      <c r="K43" s="6">
        <v>1.35</v>
      </c>
      <c r="L43" s="4" t="s">
        <v>8</v>
      </c>
      <c r="M43" s="26">
        <v>2</v>
      </c>
      <c r="N43" s="7" t="s">
        <v>8</v>
      </c>
      <c r="O43" s="26">
        <v>3</v>
      </c>
      <c r="P43" s="37"/>
      <c r="Q43" s="26" t="s">
        <v>9</v>
      </c>
      <c r="R43" s="25" t="s">
        <v>10</v>
      </c>
      <c r="S43" s="19">
        <v>1.4</v>
      </c>
      <c r="T43" s="26" t="s">
        <v>9</v>
      </c>
      <c r="U43" s="19" t="s">
        <v>10</v>
      </c>
      <c r="V43" s="19">
        <v>1.8</v>
      </c>
      <c r="W43" s="26" t="s">
        <v>9</v>
      </c>
      <c r="X43" s="19" t="s">
        <v>10</v>
      </c>
      <c r="Y43" s="19">
        <v>2</v>
      </c>
    </row>
    <row r="44" spans="1:25" x14ac:dyDescent="0.25">
      <c r="A44" s="8" t="s">
        <v>11</v>
      </c>
      <c r="B44" s="8" t="s">
        <v>35</v>
      </c>
      <c r="C44" s="8">
        <v>16.13</v>
      </c>
      <c r="D44" s="9">
        <f>C44*1.061</f>
        <v>17.113929999999996</v>
      </c>
      <c r="E44" s="10">
        <v>1.7058</v>
      </c>
      <c r="F44" s="11">
        <v>4.54</v>
      </c>
      <c r="G44" s="12">
        <f>SUM(D44*E44)+F44</f>
        <v>33.732941793999991</v>
      </c>
      <c r="H44" s="10">
        <v>1.5694999999999999</v>
      </c>
      <c r="I44" s="12">
        <f>SUM(G44+(D44*H44*0.33))</f>
        <v>42.596845128549987</v>
      </c>
      <c r="J44" s="10">
        <v>1.5694999999999999</v>
      </c>
      <c r="K44" s="12">
        <f>SUM(G44+(D44*J44*0.35))</f>
        <v>43.13405139124999</v>
      </c>
      <c r="L44" s="10">
        <v>1.5694999999999999</v>
      </c>
      <c r="M44" s="12">
        <f>SUM(G44+(D44*L44*1))</f>
        <v>60.593254928999983</v>
      </c>
      <c r="N44" s="10">
        <v>1.5694999999999999</v>
      </c>
      <c r="O44" s="12">
        <f>SUM(G44+(D44*N44*2))</f>
        <v>87.453568063999967</v>
      </c>
      <c r="P44" s="36"/>
      <c r="Q44" s="9">
        <f t="shared" si="2"/>
        <v>22.581999999999997</v>
      </c>
      <c r="R44" s="10">
        <v>1.3842000000000001</v>
      </c>
      <c r="S44" s="12">
        <f>SUM(Q44*R44)</f>
        <v>31.258004399999997</v>
      </c>
      <c r="T44" s="9">
        <f t="shared" si="3"/>
        <v>29.033999999999999</v>
      </c>
      <c r="U44" s="10">
        <v>1.3842000000000001</v>
      </c>
      <c r="V44" s="12">
        <f>SUM(T44*U44)</f>
        <v>40.188862800000003</v>
      </c>
      <c r="W44" s="9">
        <f t="shared" si="0"/>
        <v>32.26</v>
      </c>
      <c r="X44" s="10">
        <v>1.3842000000000001</v>
      </c>
      <c r="Y44" s="12">
        <f>SUM(W44*X44)</f>
        <v>44.654291999999998</v>
      </c>
    </row>
    <row r="45" spans="1:25" x14ac:dyDescent="0.25">
      <c r="A45" s="8" t="s">
        <v>11</v>
      </c>
      <c r="B45" s="8" t="s">
        <v>36</v>
      </c>
      <c r="C45" s="8">
        <v>16.13</v>
      </c>
      <c r="D45" s="9">
        <f>C45*1.061</f>
        <v>17.113929999999996</v>
      </c>
      <c r="E45" s="10">
        <v>1.629</v>
      </c>
      <c r="F45" s="11">
        <v>4.54</v>
      </c>
      <c r="G45" s="12">
        <f>SUM(D45*E45)+F45</f>
        <v>32.418591969999994</v>
      </c>
      <c r="H45" s="10">
        <v>1.4866999999999999</v>
      </c>
      <c r="I45" s="12">
        <f>SUM(G45+(D45*H45*0.33))</f>
        <v>40.81487428122999</v>
      </c>
      <c r="J45" s="10">
        <v>1.4866999999999999</v>
      </c>
      <c r="K45" s="12">
        <f>SUM(G45+(D45*J45*0.35))</f>
        <v>41.323739875849995</v>
      </c>
      <c r="L45" s="10">
        <v>1.4866999999999999</v>
      </c>
      <c r="M45" s="12">
        <f>SUM(G45+(D45*L45*1))</f>
        <v>57.861871700999984</v>
      </c>
      <c r="N45" s="10">
        <v>1.4866999999999999</v>
      </c>
      <c r="O45" s="12">
        <f>SUM(G45+(D45*N45*2))</f>
        <v>83.305151431999974</v>
      </c>
      <c r="P45" s="36"/>
      <c r="Q45" s="9">
        <f t="shared" si="2"/>
        <v>22.581999999999997</v>
      </c>
      <c r="R45" s="10">
        <v>1.3012999999999999</v>
      </c>
      <c r="S45" s="12">
        <f>SUM(Q45*R45)</f>
        <v>29.385956599999993</v>
      </c>
      <c r="T45" s="9">
        <f t="shared" si="3"/>
        <v>29.033999999999999</v>
      </c>
      <c r="U45" s="10">
        <v>1.3012999999999999</v>
      </c>
      <c r="V45" s="12">
        <f>SUM(T45*U45)</f>
        <v>37.781944199999998</v>
      </c>
      <c r="W45" s="9">
        <f t="shared" si="0"/>
        <v>32.26</v>
      </c>
      <c r="X45" s="10">
        <v>1.3012999999999999</v>
      </c>
      <c r="Y45" s="12">
        <f>SUM(W45*X45)</f>
        <v>41.979937999999997</v>
      </c>
    </row>
    <row r="46" spans="1:25" x14ac:dyDescent="0.25">
      <c r="M46" s="20"/>
      <c r="N46" s="20"/>
      <c r="O46" s="20"/>
      <c r="Q46" s="14"/>
      <c r="R46" s="20"/>
      <c r="S46" s="14"/>
      <c r="T46" s="14"/>
      <c r="U46" s="20"/>
      <c r="V46" s="14"/>
      <c r="W46" s="14"/>
      <c r="X46" s="20"/>
      <c r="Y46" s="14"/>
    </row>
    <row r="47" spans="1:25" x14ac:dyDescent="0.25">
      <c r="A47" s="1" t="s">
        <v>37</v>
      </c>
      <c r="M47" s="20"/>
      <c r="N47" s="20"/>
      <c r="O47" s="20"/>
      <c r="Q47" s="14"/>
      <c r="R47" s="20"/>
      <c r="S47" s="14"/>
      <c r="T47" s="14"/>
      <c r="U47" s="20"/>
      <c r="V47" s="14"/>
      <c r="W47" s="14"/>
      <c r="X47" s="20"/>
      <c r="Y47" s="14"/>
    </row>
    <row r="48" spans="1:25" x14ac:dyDescent="0.25">
      <c r="A48" s="2" t="s">
        <v>1</v>
      </c>
      <c r="B48" s="2" t="s">
        <v>2</v>
      </c>
      <c r="C48" s="2" t="s">
        <v>3</v>
      </c>
      <c r="D48" s="3" t="s">
        <v>4</v>
      </c>
      <c r="E48" s="4" t="s">
        <v>5</v>
      </c>
      <c r="F48" s="3" t="s">
        <v>6</v>
      </c>
      <c r="G48" s="5">
        <v>1</v>
      </c>
      <c r="H48" s="5" t="s">
        <v>7</v>
      </c>
      <c r="I48" s="6">
        <v>1.33</v>
      </c>
      <c r="J48" s="5" t="s">
        <v>7</v>
      </c>
      <c r="K48" s="6">
        <v>1.35</v>
      </c>
      <c r="L48" s="4" t="s">
        <v>8</v>
      </c>
      <c r="M48" s="26">
        <v>2</v>
      </c>
      <c r="N48" s="7" t="s">
        <v>8</v>
      </c>
      <c r="O48" s="26">
        <v>3</v>
      </c>
      <c r="P48" s="37"/>
      <c r="Q48" s="26" t="s">
        <v>9</v>
      </c>
      <c r="R48" s="25" t="s">
        <v>10</v>
      </c>
      <c r="S48" s="19">
        <v>1.4</v>
      </c>
      <c r="T48" s="26" t="s">
        <v>9</v>
      </c>
      <c r="U48" s="19" t="s">
        <v>10</v>
      </c>
      <c r="V48" s="19">
        <v>1.8</v>
      </c>
      <c r="W48" s="26" t="s">
        <v>9</v>
      </c>
      <c r="X48" s="19" t="s">
        <v>10</v>
      </c>
      <c r="Y48" s="19">
        <v>2</v>
      </c>
    </row>
    <row r="49" spans="1:25" x14ac:dyDescent="0.25">
      <c r="A49" s="8" t="s">
        <v>11</v>
      </c>
      <c r="B49" s="8" t="s">
        <v>38</v>
      </c>
      <c r="C49" s="8">
        <v>16.34</v>
      </c>
      <c r="D49" s="9">
        <f>C49*1.061</f>
        <v>17.336739999999999</v>
      </c>
      <c r="E49" s="10">
        <v>1.629</v>
      </c>
      <c r="F49" s="11">
        <v>4.54</v>
      </c>
      <c r="G49" s="12">
        <f>SUM(D49*E49)+F49</f>
        <v>32.781549460000001</v>
      </c>
      <c r="H49" s="10">
        <v>1.4866999999999999</v>
      </c>
      <c r="I49" s="12">
        <f>SUM(G49+(D49*H49*0.33))</f>
        <v>41.287144808139999</v>
      </c>
      <c r="J49" s="10">
        <v>1.4866999999999999</v>
      </c>
      <c r="K49" s="12">
        <f>SUM(G49+(D49*J49*0.35))</f>
        <v>41.802635435299997</v>
      </c>
      <c r="L49" s="10">
        <v>1.4866999999999999</v>
      </c>
      <c r="M49" s="12">
        <f>SUM(G49+(D49*L49*1))</f>
        <v>58.556080817999998</v>
      </c>
      <c r="N49" s="10">
        <v>1.4866999999999999</v>
      </c>
      <c r="O49" s="12">
        <f>SUM(G49+(D49*N49*2))</f>
        <v>84.330612175999988</v>
      </c>
      <c r="P49" s="36"/>
      <c r="Q49" s="9">
        <f t="shared" si="2"/>
        <v>22.875999999999998</v>
      </c>
      <c r="R49" s="10">
        <v>1.3012999999999999</v>
      </c>
      <c r="S49" s="12">
        <f>SUM(Q49*R49)</f>
        <v>29.768538799999995</v>
      </c>
      <c r="T49" s="9">
        <f t="shared" si="3"/>
        <v>29.411999999999999</v>
      </c>
      <c r="U49" s="10">
        <v>1.3012999999999999</v>
      </c>
      <c r="V49" s="12">
        <f>SUM(T49*U49)</f>
        <v>38.273835599999998</v>
      </c>
      <c r="W49" s="9">
        <f t="shared" si="0"/>
        <v>32.68</v>
      </c>
      <c r="X49" s="10">
        <v>1.3012999999999999</v>
      </c>
      <c r="Y49" s="12">
        <f>SUM(W49*X49)</f>
        <v>42.526483999999996</v>
      </c>
    </row>
    <row r="50" spans="1:25" x14ac:dyDescent="0.25">
      <c r="M50" s="20"/>
      <c r="N50" s="20"/>
      <c r="O50" s="20"/>
      <c r="Q50" s="14"/>
      <c r="R50" s="20"/>
      <c r="S50" s="14"/>
      <c r="T50" s="14"/>
      <c r="U50" s="20"/>
      <c r="V50" s="14"/>
      <c r="W50" s="14"/>
      <c r="X50" s="20"/>
      <c r="Y50" s="14"/>
    </row>
    <row r="51" spans="1:25" x14ac:dyDescent="0.25">
      <c r="A51" s="1" t="s">
        <v>39</v>
      </c>
      <c r="M51" s="20"/>
      <c r="N51" s="20"/>
      <c r="O51" s="20"/>
      <c r="Q51" s="14"/>
      <c r="R51" s="20"/>
      <c r="S51" s="14"/>
      <c r="T51" s="14"/>
      <c r="U51" s="20"/>
      <c r="V51" s="14"/>
      <c r="W51" s="14"/>
      <c r="X51" s="20"/>
      <c r="Y51" s="14"/>
    </row>
    <row r="52" spans="1:25" x14ac:dyDescent="0.25">
      <c r="A52" s="2" t="s">
        <v>1</v>
      </c>
      <c r="B52" s="2" t="s">
        <v>2</v>
      </c>
      <c r="C52" s="2" t="s">
        <v>3</v>
      </c>
      <c r="D52" s="3" t="s">
        <v>4</v>
      </c>
      <c r="E52" s="4" t="s">
        <v>5</v>
      </c>
      <c r="F52" s="3" t="s">
        <v>6</v>
      </c>
      <c r="G52" s="5">
        <v>1</v>
      </c>
      <c r="H52" s="5" t="s">
        <v>7</v>
      </c>
      <c r="I52" s="6">
        <v>1.33</v>
      </c>
      <c r="J52" s="5" t="s">
        <v>7</v>
      </c>
      <c r="K52" s="6">
        <v>1.35</v>
      </c>
      <c r="L52" s="4" t="s">
        <v>8</v>
      </c>
      <c r="M52" s="26">
        <v>2</v>
      </c>
      <c r="N52" s="7" t="s">
        <v>8</v>
      </c>
      <c r="O52" s="26">
        <v>3</v>
      </c>
      <c r="P52" s="37"/>
      <c r="Q52" s="26" t="s">
        <v>9</v>
      </c>
      <c r="R52" s="25" t="s">
        <v>10</v>
      </c>
      <c r="S52" s="19">
        <v>1.4</v>
      </c>
      <c r="T52" s="26" t="s">
        <v>9</v>
      </c>
      <c r="U52" s="19" t="s">
        <v>10</v>
      </c>
      <c r="V52" s="19">
        <v>1.8</v>
      </c>
      <c r="W52" s="26" t="s">
        <v>9</v>
      </c>
      <c r="X52" s="19" t="s">
        <v>10</v>
      </c>
      <c r="Y52" s="19">
        <v>2</v>
      </c>
    </row>
    <row r="53" spans="1:25" x14ac:dyDescent="0.25">
      <c r="A53" s="8" t="s">
        <v>11</v>
      </c>
      <c r="B53" s="8" t="s">
        <v>40</v>
      </c>
      <c r="C53" s="8">
        <v>16.55</v>
      </c>
      <c r="D53" s="9">
        <f>C53*1.061</f>
        <v>17.559550000000002</v>
      </c>
      <c r="E53" s="10">
        <v>1.629</v>
      </c>
      <c r="F53" s="11">
        <v>4.54</v>
      </c>
      <c r="G53" s="12">
        <f>SUM(D53*E53)+F53</f>
        <v>33.14450695</v>
      </c>
      <c r="H53" s="10">
        <v>1.4866999999999999</v>
      </c>
      <c r="I53" s="12">
        <f>SUM(G53+(D53*H53*0.33))</f>
        <v>41.759415335050001</v>
      </c>
      <c r="J53" s="10">
        <v>1.4866999999999999</v>
      </c>
      <c r="K53" s="12">
        <f>SUM(G53+(D53*J53*0.35))</f>
        <v>42.28153099475</v>
      </c>
      <c r="L53" s="10">
        <v>1.4866999999999999</v>
      </c>
      <c r="M53" s="12">
        <f>SUM(G53+(D53*L53*1))</f>
        <v>59.250289934999998</v>
      </c>
      <c r="N53" s="10">
        <v>1.4866999999999999</v>
      </c>
      <c r="O53" s="12">
        <f>SUM(G53+(D53*N53*2))</f>
        <v>85.356072920000003</v>
      </c>
      <c r="P53" s="36"/>
      <c r="Q53" s="9">
        <f t="shared" si="2"/>
        <v>23.169999999999998</v>
      </c>
      <c r="R53" s="10">
        <v>1.3012999999999999</v>
      </c>
      <c r="S53" s="12">
        <f>SUM(Q53*R53)</f>
        <v>30.151120999999996</v>
      </c>
      <c r="T53" s="9">
        <f t="shared" si="3"/>
        <v>29.790000000000003</v>
      </c>
      <c r="U53" s="10">
        <v>1.3012999999999999</v>
      </c>
      <c r="V53" s="12">
        <f>SUM(T53*U53)</f>
        <v>38.765726999999998</v>
      </c>
      <c r="W53" s="9">
        <f t="shared" si="0"/>
        <v>33.1</v>
      </c>
      <c r="X53" s="10">
        <v>1.3012999999999999</v>
      </c>
      <c r="Y53" s="12">
        <f>SUM(W53*X53)</f>
        <v>43.073029999999996</v>
      </c>
    </row>
    <row r="54" spans="1:25" x14ac:dyDescent="0.25">
      <c r="M54" s="20"/>
      <c r="N54" s="20"/>
      <c r="O54" s="20"/>
      <c r="Q54" s="14"/>
      <c r="R54" s="20"/>
      <c r="S54" s="14"/>
      <c r="T54" s="14"/>
      <c r="U54" s="20"/>
      <c r="V54" s="14"/>
      <c r="W54" s="14"/>
      <c r="X54" s="20"/>
      <c r="Y54" s="14"/>
    </row>
    <row r="55" spans="1:25" x14ac:dyDescent="0.25">
      <c r="A55" s="1" t="s">
        <v>41</v>
      </c>
      <c r="M55" s="20"/>
      <c r="N55" s="20"/>
      <c r="O55" s="20"/>
      <c r="Q55" s="14"/>
      <c r="R55" s="20"/>
      <c r="S55" s="14"/>
      <c r="T55" s="14"/>
      <c r="U55" s="20"/>
      <c r="V55" s="14"/>
      <c r="W55" s="14"/>
      <c r="X55" s="20"/>
      <c r="Y55" s="14"/>
    </row>
    <row r="56" spans="1:25" x14ac:dyDescent="0.25">
      <c r="A56" s="2" t="s">
        <v>1</v>
      </c>
      <c r="B56" s="2" t="s">
        <v>2</v>
      </c>
      <c r="C56" s="2" t="s">
        <v>3</v>
      </c>
      <c r="D56" s="3" t="s">
        <v>4</v>
      </c>
      <c r="E56" s="4" t="s">
        <v>5</v>
      </c>
      <c r="F56" s="3" t="s">
        <v>6</v>
      </c>
      <c r="G56" s="5">
        <v>1</v>
      </c>
      <c r="H56" s="5" t="s">
        <v>7</v>
      </c>
      <c r="I56" s="6">
        <v>1.33</v>
      </c>
      <c r="J56" s="5" t="s">
        <v>7</v>
      </c>
      <c r="K56" s="6">
        <v>1.35</v>
      </c>
      <c r="L56" s="4" t="s">
        <v>8</v>
      </c>
      <c r="M56" s="26">
        <v>2</v>
      </c>
      <c r="N56" s="7" t="s">
        <v>8</v>
      </c>
      <c r="O56" s="26">
        <v>3</v>
      </c>
      <c r="P56" s="37"/>
      <c r="Q56" s="26" t="s">
        <v>9</v>
      </c>
      <c r="R56" s="25" t="s">
        <v>10</v>
      </c>
      <c r="S56" s="19">
        <v>1.4</v>
      </c>
      <c r="T56" s="26" t="s">
        <v>9</v>
      </c>
      <c r="U56" s="19" t="s">
        <v>10</v>
      </c>
      <c r="V56" s="19">
        <v>1.8</v>
      </c>
      <c r="W56" s="26" t="s">
        <v>9</v>
      </c>
      <c r="X56" s="19" t="s">
        <v>10</v>
      </c>
      <c r="Y56" s="19">
        <v>2</v>
      </c>
    </row>
    <row r="57" spans="1:25" x14ac:dyDescent="0.25">
      <c r="A57" s="8" t="s">
        <v>11</v>
      </c>
      <c r="B57" s="8" t="s">
        <v>42</v>
      </c>
      <c r="C57" s="8">
        <v>16.77</v>
      </c>
      <c r="D57" s="9">
        <f>C57*1.061</f>
        <v>17.792969999999997</v>
      </c>
      <c r="E57" s="10">
        <v>1.629</v>
      </c>
      <c r="F57" s="11">
        <v>4.54</v>
      </c>
      <c r="G57" s="12">
        <f>SUM(D57*E57)+F57</f>
        <v>33.524748129999999</v>
      </c>
      <c r="H57" s="10">
        <v>1.4866999999999999</v>
      </c>
      <c r="I57" s="12">
        <f>SUM(G57+(D57*H57*0.33))</f>
        <v>42.254174934669997</v>
      </c>
      <c r="J57" s="10">
        <v>1.4866999999999999</v>
      </c>
      <c r="K57" s="12">
        <f>SUM(G57+(D57*J57*0.35))</f>
        <v>42.78323110465</v>
      </c>
      <c r="L57" s="10">
        <v>1.4866999999999999</v>
      </c>
      <c r="M57" s="12">
        <f>SUM(G57+(D57*L57*1))</f>
        <v>59.977556628999992</v>
      </c>
      <c r="N57" s="10">
        <v>1.4866999999999999</v>
      </c>
      <c r="O57" s="12">
        <f>SUM(G57+(D57*N57*2))</f>
        <v>86.430365127999977</v>
      </c>
      <c r="P57" s="36"/>
      <c r="Q57" s="9">
        <f t="shared" si="2"/>
        <v>23.477999999999998</v>
      </c>
      <c r="R57" s="10">
        <v>1.3012999999999999</v>
      </c>
      <c r="S57" s="12">
        <f>SUM(Q57*R57)</f>
        <v>30.551921399999994</v>
      </c>
      <c r="T57" s="9">
        <f t="shared" si="3"/>
        <v>30.186</v>
      </c>
      <c r="U57" s="10">
        <v>1.3012999999999999</v>
      </c>
      <c r="V57" s="12">
        <f>SUM(T57*U57)</f>
        <v>39.281041799999997</v>
      </c>
      <c r="W57" s="9">
        <f t="shared" si="0"/>
        <v>33.54</v>
      </c>
      <c r="X57" s="10">
        <v>1.3012999999999999</v>
      </c>
      <c r="Y57" s="12">
        <f>SUM(W57*X57)</f>
        <v>43.645601999999997</v>
      </c>
    </row>
    <row r="58" spans="1:25" x14ac:dyDescent="0.25">
      <c r="Q58" s="14"/>
      <c r="R58" s="20"/>
      <c r="S58" s="14"/>
      <c r="T58" s="14"/>
      <c r="U58" s="20"/>
      <c r="V58" s="14"/>
      <c r="W58" s="14"/>
      <c r="X58" s="20"/>
      <c r="Y58" s="14"/>
    </row>
    <row r="59" spans="1:25" x14ac:dyDescent="0.25">
      <c r="A59" s="1" t="s">
        <v>43</v>
      </c>
      <c r="Q59" s="14"/>
      <c r="R59" s="20"/>
      <c r="S59" s="14"/>
      <c r="T59" s="14"/>
      <c r="U59" s="20"/>
      <c r="V59" s="14"/>
      <c r="W59" s="14"/>
      <c r="X59" s="20"/>
      <c r="Y59" s="14"/>
    </row>
    <row r="60" spans="1:25" x14ac:dyDescent="0.25">
      <c r="A60" s="2" t="s">
        <v>1</v>
      </c>
      <c r="B60" s="2" t="s">
        <v>2</v>
      </c>
      <c r="C60" s="2" t="s">
        <v>3</v>
      </c>
      <c r="D60" s="3" t="s">
        <v>4</v>
      </c>
      <c r="E60" s="4" t="s">
        <v>5</v>
      </c>
      <c r="F60" s="3" t="s">
        <v>6</v>
      </c>
      <c r="G60" s="5">
        <v>1</v>
      </c>
      <c r="H60" s="5" t="s">
        <v>7</v>
      </c>
      <c r="I60" s="6">
        <v>1.33</v>
      </c>
      <c r="J60" s="5" t="s">
        <v>7</v>
      </c>
      <c r="K60" s="6">
        <v>1.35</v>
      </c>
      <c r="L60" s="4" t="s">
        <v>8</v>
      </c>
      <c r="M60" s="26">
        <v>2</v>
      </c>
      <c r="N60" s="7" t="s">
        <v>8</v>
      </c>
      <c r="O60" s="26">
        <v>3</v>
      </c>
      <c r="P60" s="37"/>
      <c r="Q60" s="26" t="s">
        <v>9</v>
      </c>
      <c r="R60" s="25" t="s">
        <v>10</v>
      </c>
      <c r="S60" s="19">
        <v>1.4</v>
      </c>
      <c r="T60" s="26" t="s">
        <v>9</v>
      </c>
      <c r="U60" s="19" t="s">
        <v>10</v>
      </c>
      <c r="V60" s="19">
        <v>1.8</v>
      </c>
      <c r="W60" s="26" t="s">
        <v>9</v>
      </c>
      <c r="X60" s="19" t="s">
        <v>10</v>
      </c>
      <c r="Y60" s="19">
        <v>2</v>
      </c>
    </row>
    <row r="61" spans="1:25" x14ac:dyDescent="0.25">
      <c r="A61" s="8" t="s">
        <v>11</v>
      </c>
      <c r="B61" s="8" t="s">
        <v>44</v>
      </c>
      <c r="C61" s="8">
        <v>16.97</v>
      </c>
      <c r="D61" s="9">
        <f>C61*1.061</f>
        <v>18.005169999999996</v>
      </c>
      <c r="E61" s="10">
        <v>1.629</v>
      </c>
      <c r="F61" s="11">
        <v>4.54</v>
      </c>
      <c r="G61" s="12">
        <f>SUM(D61*E61)+F61</f>
        <v>33.870421929999992</v>
      </c>
      <c r="H61" s="10">
        <v>1.4866999999999999</v>
      </c>
      <c r="I61" s="12">
        <f>SUM(G61+(D61*H61*0.33))</f>
        <v>42.70395638886999</v>
      </c>
      <c r="J61" s="10">
        <v>1.4866999999999999</v>
      </c>
      <c r="K61" s="12">
        <f>SUM(G61+(D61*J61*0.35))</f>
        <v>43.23932211364999</v>
      </c>
      <c r="L61" s="10">
        <v>1.4866999999999999</v>
      </c>
      <c r="M61" s="12">
        <f>SUM(G61+(D61*L61*1))</f>
        <v>60.638708168999983</v>
      </c>
      <c r="N61" s="10">
        <v>1.4866999999999999</v>
      </c>
      <c r="O61" s="12">
        <f>SUM(G61+(D61*N61*2))</f>
        <v>87.406994407999974</v>
      </c>
      <c r="P61" s="36"/>
      <c r="Q61" s="9">
        <f t="shared" si="2"/>
        <v>23.757999999999996</v>
      </c>
      <c r="R61" s="10">
        <v>1.3012999999999999</v>
      </c>
      <c r="S61" s="12">
        <f>SUM(Q61*R61)</f>
        <v>30.916285399999992</v>
      </c>
      <c r="T61" s="9">
        <f t="shared" si="3"/>
        <v>30.545999999999999</v>
      </c>
      <c r="U61" s="10">
        <v>1.3012999999999999</v>
      </c>
      <c r="V61" s="12">
        <f>SUM(T61*U61)</f>
        <v>39.749509799999998</v>
      </c>
      <c r="W61" s="9">
        <f t="shared" si="0"/>
        <v>33.94</v>
      </c>
      <c r="X61" s="10">
        <v>1.3012999999999999</v>
      </c>
      <c r="Y61" s="12">
        <f>SUM(W61*X61)</f>
        <v>44.166121999999994</v>
      </c>
    </row>
    <row r="62" spans="1:25" x14ac:dyDescent="0.25">
      <c r="Q62" s="14"/>
      <c r="R62" s="20"/>
      <c r="S62" s="14"/>
      <c r="T62" s="14"/>
      <c r="U62" s="20"/>
      <c r="V62" s="14"/>
      <c r="W62" s="14"/>
      <c r="X62" s="20"/>
      <c r="Y62" s="14"/>
    </row>
    <row r="63" spans="1:25" x14ac:dyDescent="0.25">
      <c r="A63" s="1" t="s">
        <v>45</v>
      </c>
      <c r="Q63" s="14"/>
      <c r="R63" s="20"/>
      <c r="S63" s="14"/>
      <c r="T63" s="14"/>
      <c r="U63" s="20"/>
      <c r="V63" s="14"/>
      <c r="W63" s="14"/>
      <c r="X63" s="20"/>
      <c r="Y63" s="14"/>
    </row>
    <row r="64" spans="1:25" x14ac:dyDescent="0.25">
      <c r="A64" s="2" t="s">
        <v>1</v>
      </c>
      <c r="B64" s="2" t="s">
        <v>2</v>
      </c>
      <c r="C64" s="2" t="s">
        <v>3</v>
      </c>
      <c r="D64" s="3" t="s">
        <v>4</v>
      </c>
      <c r="E64" s="4" t="s">
        <v>5</v>
      </c>
      <c r="F64" s="3" t="s">
        <v>6</v>
      </c>
      <c r="G64" s="5">
        <v>1</v>
      </c>
      <c r="H64" s="5" t="s">
        <v>7</v>
      </c>
      <c r="I64" s="6">
        <v>1.33</v>
      </c>
      <c r="J64" s="5" t="s">
        <v>7</v>
      </c>
      <c r="K64" s="6">
        <v>1.35</v>
      </c>
      <c r="L64" s="4" t="s">
        <v>8</v>
      </c>
      <c r="M64" s="26">
        <v>2</v>
      </c>
      <c r="N64" s="7" t="s">
        <v>8</v>
      </c>
      <c r="O64" s="26">
        <v>3</v>
      </c>
      <c r="P64" s="37"/>
      <c r="Q64" s="26" t="s">
        <v>9</v>
      </c>
      <c r="R64" s="25" t="s">
        <v>10</v>
      </c>
      <c r="S64" s="19">
        <v>1.4</v>
      </c>
      <c r="T64" s="26" t="s">
        <v>9</v>
      </c>
      <c r="U64" s="19" t="s">
        <v>10</v>
      </c>
      <c r="V64" s="19">
        <v>1.8</v>
      </c>
      <c r="W64" s="26" t="s">
        <v>9</v>
      </c>
      <c r="X64" s="19" t="s">
        <v>10</v>
      </c>
      <c r="Y64" s="19">
        <v>2</v>
      </c>
    </row>
    <row r="65" spans="1:25" x14ac:dyDescent="0.25">
      <c r="A65" s="8" t="s">
        <v>11</v>
      </c>
      <c r="B65" s="8" t="s">
        <v>46</v>
      </c>
      <c r="C65" s="8">
        <v>16.059999999999999</v>
      </c>
      <c r="D65" s="9">
        <f>C65*1.061</f>
        <v>17.039659999999998</v>
      </c>
      <c r="E65" s="10">
        <v>1.7058</v>
      </c>
      <c r="F65" s="11">
        <v>4.54</v>
      </c>
      <c r="G65" s="12">
        <f>SUM(D65*E65)+F65</f>
        <v>33.606252028</v>
      </c>
      <c r="H65" s="10">
        <v>1.5694999999999999</v>
      </c>
      <c r="I65" s="12">
        <f>SUM(G65+(D65*H65*0.33))</f>
        <v>42.431688330100002</v>
      </c>
      <c r="J65" s="10">
        <v>1.5694999999999999</v>
      </c>
      <c r="K65" s="12">
        <f>SUM(G65+(D65*J65*0.35))</f>
        <v>42.966563257499999</v>
      </c>
      <c r="L65" s="10">
        <v>1.5694999999999999</v>
      </c>
      <c r="M65" s="12">
        <f>SUM(G65+(D65*L65*1))</f>
        <v>60.349998397999997</v>
      </c>
      <c r="N65" s="10">
        <v>1.4866999999999999</v>
      </c>
      <c r="O65" s="12">
        <f>SUM(G65+(D65*N65*2))</f>
        <v>84.271977071999999</v>
      </c>
      <c r="P65" s="36"/>
      <c r="Q65" s="9">
        <f t="shared" si="2"/>
        <v>22.483999999999998</v>
      </c>
      <c r="R65" s="10">
        <v>1.3842000000000001</v>
      </c>
      <c r="S65" s="12">
        <f>SUM(Q65*R65)</f>
        <v>31.122352799999998</v>
      </c>
      <c r="T65" s="9">
        <f t="shared" si="3"/>
        <v>28.907999999999998</v>
      </c>
      <c r="U65" s="10">
        <v>1.3842000000000001</v>
      </c>
      <c r="V65" s="12">
        <f>SUM(T65*U65)</f>
        <v>40.014453600000003</v>
      </c>
      <c r="W65" s="9">
        <f t="shared" si="0"/>
        <v>32.119999999999997</v>
      </c>
      <c r="X65" s="10">
        <v>1.3842000000000001</v>
      </c>
      <c r="Y65" s="12">
        <f>SUM(W65*X65)</f>
        <v>44.460504</v>
      </c>
    </row>
    <row r="66" spans="1:25" x14ac:dyDescent="0.25">
      <c r="A66" s="8" t="s">
        <v>11</v>
      </c>
      <c r="B66" s="8" t="s">
        <v>47</v>
      </c>
      <c r="C66" s="8">
        <v>16.059999999999999</v>
      </c>
      <c r="D66" s="9">
        <f>C66*1.061</f>
        <v>17.039659999999998</v>
      </c>
      <c r="E66" s="10">
        <v>1.629</v>
      </c>
      <c r="F66" s="11">
        <v>4.54</v>
      </c>
      <c r="G66" s="12">
        <f>SUM(D66*E66)+F66</f>
        <v>32.297606139999999</v>
      </c>
      <c r="H66" s="10">
        <v>1.4866999999999999</v>
      </c>
      <c r="I66" s="12">
        <f>SUM(G66+(D66*H66*0.133))</f>
        <v>35.666876855425997</v>
      </c>
      <c r="J66" s="10">
        <v>1.4866999999999999</v>
      </c>
      <c r="K66" s="12">
        <f>SUM(G66+(D66*J66*0.35))</f>
        <v>41.164108022699999</v>
      </c>
      <c r="L66" s="10">
        <v>1.4866999999999999</v>
      </c>
      <c r="M66" s="12">
        <f>SUM(G66+(D66*L66*1))</f>
        <v>57.630468661999998</v>
      </c>
      <c r="N66" s="10">
        <v>1.4866999999999999</v>
      </c>
      <c r="O66" s="12">
        <f>SUM(G66+(D66*N66*2))</f>
        <v>82.963331183999998</v>
      </c>
      <c r="P66" s="36"/>
      <c r="Q66" s="9">
        <f t="shared" ref="Q66" si="5">C66*1.4</f>
        <v>22.483999999999998</v>
      </c>
      <c r="R66" s="10">
        <v>1.3012999999999999</v>
      </c>
      <c r="S66" s="12">
        <f>SUM(Q66*R66)</f>
        <v>29.258429199999995</v>
      </c>
      <c r="T66" s="9">
        <f t="shared" ref="T66" si="6">C66*1.8</f>
        <v>28.907999999999998</v>
      </c>
      <c r="U66" s="10">
        <v>1.3012999999999999</v>
      </c>
      <c r="V66" s="12">
        <f>SUM(T66*U66)</f>
        <v>37.617980399999993</v>
      </c>
      <c r="W66" s="9">
        <f t="shared" ref="W66" si="7">C66*2</f>
        <v>32.119999999999997</v>
      </c>
      <c r="X66" s="10">
        <v>1.3012999999999999</v>
      </c>
      <c r="Y66" s="12">
        <f>SUM(W66*X66)</f>
        <v>41.797755999999993</v>
      </c>
    </row>
    <row r="67" spans="1:25" x14ac:dyDescent="0.25">
      <c r="Q67" s="14"/>
      <c r="S67" s="14"/>
      <c r="T67" s="14"/>
      <c r="U67" s="20"/>
      <c r="V67" s="14"/>
      <c r="W67" s="14"/>
      <c r="X67" s="20"/>
      <c r="Y67" s="14"/>
    </row>
    <row r="68" spans="1:25" x14ac:dyDescent="0.25">
      <c r="A68" s="1" t="s">
        <v>48</v>
      </c>
      <c r="Q68" s="14"/>
      <c r="S68" s="14"/>
      <c r="T68" s="14"/>
      <c r="U68" s="20"/>
      <c r="V68" s="14"/>
      <c r="W68" s="14"/>
      <c r="X68" s="20"/>
      <c r="Y68" s="14"/>
    </row>
    <row r="69" spans="1:25" x14ac:dyDescent="0.25">
      <c r="A69" s="2" t="s">
        <v>1</v>
      </c>
      <c r="B69" s="2" t="s">
        <v>2</v>
      </c>
      <c r="C69" s="2" t="s">
        <v>3</v>
      </c>
      <c r="D69" s="3" t="s">
        <v>4</v>
      </c>
      <c r="E69" s="4" t="s">
        <v>5</v>
      </c>
      <c r="F69" s="3" t="s">
        <v>6</v>
      </c>
      <c r="G69" s="5">
        <v>1</v>
      </c>
      <c r="H69" s="5" t="s">
        <v>7</v>
      </c>
      <c r="I69" s="6">
        <v>1.33</v>
      </c>
      <c r="J69" s="5" t="s">
        <v>7</v>
      </c>
      <c r="K69" s="6">
        <v>1.35</v>
      </c>
      <c r="L69" s="4" t="s">
        <v>8</v>
      </c>
      <c r="M69" s="26">
        <v>2</v>
      </c>
      <c r="N69" s="7" t="s">
        <v>8</v>
      </c>
      <c r="O69" s="26">
        <v>3</v>
      </c>
      <c r="P69" s="37"/>
      <c r="Q69" s="26" t="s">
        <v>9</v>
      </c>
      <c r="R69" s="25" t="s">
        <v>10</v>
      </c>
      <c r="S69" s="19">
        <v>1.4</v>
      </c>
      <c r="T69" s="26" t="s">
        <v>9</v>
      </c>
      <c r="U69" s="19" t="s">
        <v>10</v>
      </c>
      <c r="V69" s="19">
        <v>1.8</v>
      </c>
      <c r="W69" s="26" t="s">
        <v>9</v>
      </c>
      <c r="X69" s="19" t="s">
        <v>10</v>
      </c>
      <c r="Y69" s="19">
        <v>2</v>
      </c>
    </row>
    <row r="70" spans="1:25" x14ac:dyDescent="0.25">
      <c r="A70" s="8" t="s">
        <v>11</v>
      </c>
      <c r="B70" s="8" t="s">
        <v>49</v>
      </c>
      <c r="C70" s="8">
        <v>16.28</v>
      </c>
      <c r="D70" s="9">
        <f>C70*1.061</f>
        <v>17.27308</v>
      </c>
      <c r="E70" s="10">
        <v>1.7058</v>
      </c>
      <c r="F70" s="11">
        <v>4.54</v>
      </c>
      <c r="G70" s="12">
        <f>SUM(D70*E70)+F70</f>
        <v>34.004419863999999</v>
      </c>
      <c r="H70" s="10">
        <v>1.5694999999999999</v>
      </c>
      <c r="I70" s="12">
        <f>SUM(G70+(D70*H70*0.33))</f>
        <v>42.950752553800001</v>
      </c>
      <c r="J70" s="10">
        <v>1.5694999999999999</v>
      </c>
      <c r="K70" s="12">
        <f>SUM(G70+(D70*J70*0.35))</f>
        <v>43.492954534999996</v>
      </c>
      <c r="L70" s="10">
        <v>1.5694999999999999</v>
      </c>
      <c r="M70" s="12">
        <f>SUM(G70+(D70*L70*1))</f>
        <v>61.114518923999995</v>
      </c>
      <c r="N70" s="10">
        <v>1.5694999999999999</v>
      </c>
      <c r="O70" s="12">
        <f>SUM(G70+(D70*N70*2))</f>
        <v>88.224617983999991</v>
      </c>
      <c r="P70" s="36"/>
      <c r="Q70" s="9">
        <f t="shared" si="2"/>
        <v>22.792000000000002</v>
      </c>
      <c r="R70" s="10">
        <v>1.3842000000000001</v>
      </c>
      <c r="S70" s="12">
        <f>SUM(Q70*R70)</f>
        <v>31.548686400000005</v>
      </c>
      <c r="T70" s="9">
        <f t="shared" si="3"/>
        <v>29.304000000000002</v>
      </c>
      <c r="U70" s="10">
        <v>1.3842000000000001</v>
      </c>
      <c r="V70" s="12">
        <f>SUM(T70*U70)</f>
        <v>40.562596800000009</v>
      </c>
      <c r="W70" s="9">
        <f t="shared" si="0"/>
        <v>32.56</v>
      </c>
      <c r="X70" s="10">
        <v>1.3842000000000001</v>
      </c>
      <c r="Y70" s="12">
        <f>SUM(W70*X70)</f>
        <v>45.069552000000009</v>
      </c>
    </row>
    <row r="71" spans="1:25" x14ac:dyDescent="0.25">
      <c r="A71" s="8" t="s">
        <v>11</v>
      </c>
      <c r="B71" s="8" t="s">
        <v>50</v>
      </c>
      <c r="C71" s="8">
        <v>16.28</v>
      </c>
      <c r="D71" s="9">
        <f>C71*1.061</f>
        <v>17.27308</v>
      </c>
      <c r="E71" s="10">
        <v>1.629</v>
      </c>
      <c r="F71" s="11">
        <v>4.54</v>
      </c>
      <c r="G71" s="12">
        <f>SUM(D71*E71)+F71</f>
        <v>32.677847319999998</v>
      </c>
      <c r="H71" s="10">
        <v>1.4866999999999999</v>
      </c>
      <c r="I71" s="12">
        <f>SUM(G71+(D71*H71*0.133))</f>
        <v>36.093272428787998</v>
      </c>
      <c r="J71" s="10">
        <v>1.4866999999999999</v>
      </c>
      <c r="K71" s="12">
        <f>SUM(G71+(D71*J71*0.35))</f>
        <v>41.665808132599999</v>
      </c>
      <c r="L71" s="10">
        <v>1.4866999999999999</v>
      </c>
      <c r="M71" s="12">
        <f>SUM(G71+(D71*L71*1))</f>
        <v>58.357735355999992</v>
      </c>
      <c r="N71" s="10">
        <v>1.4866999999999999</v>
      </c>
      <c r="O71" s="12">
        <f>SUM(G71+(D71*N71*2))</f>
        <v>84.037623392</v>
      </c>
      <c r="P71" s="36"/>
      <c r="Q71" s="9">
        <f t="shared" si="2"/>
        <v>22.792000000000002</v>
      </c>
      <c r="R71" s="10">
        <v>1.3012999999999999</v>
      </c>
      <c r="S71" s="12">
        <f>SUM(Q71*R71)</f>
        <v>29.6592296</v>
      </c>
      <c r="T71" s="9">
        <f t="shared" si="3"/>
        <v>29.304000000000002</v>
      </c>
      <c r="U71" s="10">
        <v>1.3012999999999999</v>
      </c>
      <c r="V71" s="12">
        <f>SUM(T71*U71)</f>
        <v>38.133295199999999</v>
      </c>
      <c r="W71" s="9">
        <f t="shared" si="0"/>
        <v>32.56</v>
      </c>
      <c r="X71" s="10">
        <v>1.3012999999999999</v>
      </c>
      <c r="Y71" s="12">
        <f>SUM(W71*X71)</f>
        <v>42.370328000000001</v>
      </c>
    </row>
    <row r="72" spans="1:25" x14ac:dyDescent="0.25">
      <c r="Q72" s="14"/>
      <c r="R72" s="20"/>
      <c r="S72" s="14"/>
      <c r="T72" s="14"/>
      <c r="U72" s="20"/>
      <c r="V72" s="14"/>
      <c r="W72" s="14"/>
      <c r="X72" s="20"/>
      <c r="Y72" s="14"/>
    </row>
    <row r="73" spans="1:25" x14ac:dyDescent="0.25">
      <c r="A73" s="1" t="s">
        <v>51</v>
      </c>
      <c r="Q73" s="14"/>
      <c r="R73" s="20"/>
      <c r="S73" s="14"/>
      <c r="T73" s="14"/>
      <c r="U73" s="20"/>
      <c r="V73" s="14"/>
      <c r="W73" s="14"/>
      <c r="X73" s="20"/>
      <c r="Y73" s="14"/>
    </row>
    <row r="74" spans="1:25" x14ac:dyDescent="0.25">
      <c r="A74" s="2" t="s">
        <v>1</v>
      </c>
      <c r="B74" s="2" t="s">
        <v>2</v>
      </c>
      <c r="C74" s="2" t="s">
        <v>3</v>
      </c>
      <c r="D74" s="3" t="s">
        <v>4</v>
      </c>
      <c r="E74" s="4" t="s">
        <v>5</v>
      </c>
      <c r="F74" s="3" t="s">
        <v>6</v>
      </c>
      <c r="G74" s="5">
        <v>1</v>
      </c>
      <c r="H74" s="5" t="s">
        <v>7</v>
      </c>
      <c r="I74" s="6">
        <v>1.33</v>
      </c>
      <c r="J74" s="5" t="s">
        <v>7</v>
      </c>
      <c r="K74" s="6">
        <v>1.35</v>
      </c>
      <c r="L74" s="4" t="s">
        <v>8</v>
      </c>
      <c r="M74" s="26">
        <v>2</v>
      </c>
      <c r="N74" s="7" t="s">
        <v>8</v>
      </c>
      <c r="O74" s="26">
        <v>3</v>
      </c>
      <c r="P74" s="37"/>
      <c r="Q74" s="26" t="s">
        <v>9</v>
      </c>
      <c r="R74" s="25" t="s">
        <v>10</v>
      </c>
      <c r="S74" s="19">
        <v>1.4</v>
      </c>
      <c r="T74" s="26" t="s">
        <v>9</v>
      </c>
      <c r="U74" s="19" t="s">
        <v>10</v>
      </c>
      <c r="V74" s="19">
        <v>1.8</v>
      </c>
      <c r="W74" s="26" t="s">
        <v>9</v>
      </c>
      <c r="X74" s="19" t="s">
        <v>10</v>
      </c>
      <c r="Y74" s="19">
        <v>2</v>
      </c>
    </row>
    <row r="75" spans="1:25" x14ac:dyDescent="0.25">
      <c r="A75" s="8" t="s">
        <v>11</v>
      </c>
      <c r="B75" s="8" t="s">
        <v>52</v>
      </c>
      <c r="C75" s="8">
        <v>16.510000000000002</v>
      </c>
      <c r="D75" s="9">
        <f>C75*1.061</f>
        <v>17.517110000000002</v>
      </c>
      <c r="E75" s="10">
        <v>1.629</v>
      </c>
      <c r="F75" s="11">
        <v>4.54</v>
      </c>
      <c r="G75" s="12">
        <f>SUM(D75*E75)+F75</f>
        <v>33.075372190000003</v>
      </c>
      <c r="H75" s="10">
        <v>1.4866999999999999</v>
      </c>
      <c r="I75" s="12">
        <f>SUM(G75+(D75*H75*0.33))</f>
        <v>41.669459044210001</v>
      </c>
      <c r="J75" s="10">
        <v>1.4866999999999999</v>
      </c>
      <c r="K75" s="12">
        <f>SUM(G75+(D75*J75*0.35))</f>
        <v>42.190312792950003</v>
      </c>
      <c r="L75" s="10">
        <v>1.4866999999999999</v>
      </c>
      <c r="M75" s="12">
        <f>SUM(G75+(D75*L75*1))</f>
        <v>59.118059627000008</v>
      </c>
      <c r="N75" s="10">
        <v>1.4866999999999999</v>
      </c>
      <c r="O75" s="12">
        <f>SUM(G75+(D75*N75*2))</f>
        <v>85.160747064000006</v>
      </c>
      <c r="P75" s="36"/>
      <c r="Q75" s="9">
        <f t="shared" si="2"/>
        <v>23.114000000000001</v>
      </c>
      <c r="R75" s="10">
        <v>1.3012999999999999</v>
      </c>
      <c r="S75" s="12">
        <f>SUM(Q75*R75)</f>
        <v>30.078248199999997</v>
      </c>
      <c r="T75" s="9">
        <f t="shared" si="3"/>
        <v>29.718000000000004</v>
      </c>
      <c r="U75" s="10">
        <v>1.3012999999999999</v>
      </c>
      <c r="V75" s="12">
        <f>SUM(T75*U75)</f>
        <v>38.672033400000004</v>
      </c>
      <c r="W75" s="9">
        <f t="shared" ref="W75:W160" si="8">C75*2</f>
        <v>33.020000000000003</v>
      </c>
      <c r="X75" s="10">
        <v>1.3012999999999999</v>
      </c>
      <c r="Y75" s="12">
        <f>SUM(W75*X75)</f>
        <v>42.968926000000003</v>
      </c>
    </row>
    <row r="76" spans="1:25" x14ac:dyDescent="0.25">
      <c r="Q76" s="14"/>
      <c r="R76" s="20"/>
      <c r="S76" s="14"/>
      <c r="T76" s="14"/>
      <c r="U76" s="20"/>
      <c r="V76" s="14"/>
      <c r="W76" s="14"/>
      <c r="X76" s="20"/>
      <c r="Y76" s="14"/>
    </row>
    <row r="77" spans="1:25" x14ac:dyDescent="0.25">
      <c r="A77" s="1" t="s">
        <v>53</v>
      </c>
      <c r="Q77" s="14"/>
      <c r="R77" s="20"/>
      <c r="S77" s="14"/>
      <c r="T77" s="14"/>
      <c r="U77" s="20"/>
      <c r="V77" s="14"/>
      <c r="W77" s="14"/>
      <c r="X77" s="20"/>
      <c r="Y77" s="14"/>
    </row>
    <row r="78" spans="1:25" x14ac:dyDescent="0.25">
      <c r="A78" s="2" t="s">
        <v>1</v>
      </c>
      <c r="B78" s="2" t="s">
        <v>2</v>
      </c>
      <c r="C78" s="2" t="s">
        <v>3</v>
      </c>
      <c r="D78" s="3" t="s">
        <v>4</v>
      </c>
      <c r="E78" s="4" t="s">
        <v>5</v>
      </c>
      <c r="F78" s="3" t="s">
        <v>6</v>
      </c>
      <c r="G78" s="5">
        <v>1</v>
      </c>
      <c r="H78" s="5" t="s">
        <v>7</v>
      </c>
      <c r="I78" s="6">
        <v>1.33</v>
      </c>
      <c r="J78" s="5" t="s">
        <v>7</v>
      </c>
      <c r="K78" s="6">
        <v>1.35</v>
      </c>
      <c r="L78" s="4" t="s">
        <v>8</v>
      </c>
      <c r="M78" s="26">
        <v>2</v>
      </c>
      <c r="N78" s="7" t="s">
        <v>8</v>
      </c>
      <c r="O78" s="26">
        <v>3</v>
      </c>
      <c r="P78" s="37"/>
      <c r="Q78" s="26" t="s">
        <v>9</v>
      </c>
      <c r="R78" s="25" t="s">
        <v>10</v>
      </c>
      <c r="S78" s="19">
        <v>1.4</v>
      </c>
      <c r="T78" s="26" t="s">
        <v>9</v>
      </c>
      <c r="U78" s="19" t="s">
        <v>10</v>
      </c>
      <c r="V78" s="19">
        <v>1.8</v>
      </c>
      <c r="W78" s="26" t="s">
        <v>9</v>
      </c>
      <c r="X78" s="19" t="s">
        <v>10</v>
      </c>
      <c r="Y78" s="19">
        <v>2</v>
      </c>
    </row>
    <row r="79" spans="1:25" x14ac:dyDescent="0.25">
      <c r="A79" s="8" t="s">
        <v>11</v>
      </c>
      <c r="B79" s="8" t="s">
        <v>54</v>
      </c>
      <c r="C79" s="8">
        <v>16.73</v>
      </c>
      <c r="D79" s="9">
        <f>C79*1.061</f>
        <v>17.750530000000001</v>
      </c>
      <c r="E79" s="10">
        <v>1.629</v>
      </c>
      <c r="F79" s="11">
        <v>4.54</v>
      </c>
      <c r="G79" s="12">
        <f>SUM(D79*E79)+F79</f>
        <v>33.455613370000002</v>
      </c>
      <c r="H79" s="10">
        <v>1.4866999999999999</v>
      </c>
      <c r="I79" s="12">
        <f>SUM(G79+(D79*H79*0.33))</f>
        <v>42.164218643830004</v>
      </c>
      <c r="J79" s="10">
        <v>1.4866999999999999</v>
      </c>
      <c r="K79" s="12">
        <f>SUM(G79+(D79*J79*0.35))</f>
        <v>42.692012902850003</v>
      </c>
      <c r="L79" s="10">
        <v>1.4866999999999999</v>
      </c>
      <c r="M79" s="12">
        <f>SUM(G79+(D79*L79*1))</f>
        <v>59.845326321000002</v>
      </c>
      <c r="N79" s="10">
        <v>1.4866999999999999</v>
      </c>
      <c r="O79" s="12">
        <f>SUM(G79+(D79*N79*2))</f>
        <v>86.235039271999995</v>
      </c>
      <c r="P79" s="36"/>
      <c r="Q79" s="9">
        <f t="shared" si="2"/>
        <v>23.422000000000001</v>
      </c>
      <c r="R79" s="10">
        <v>1.3012999999999999</v>
      </c>
      <c r="S79" s="12">
        <f>SUM(Q79*R79)</f>
        <v>30.479048599999999</v>
      </c>
      <c r="T79" s="9">
        <f t="shared" si="3"/>
        <v>30.114000000000001</v>
      </c>
      <c r="U79" s="10">
        <v>1.3012999999999999</v>
      </c>
      <c r="V79" s="12">
        <f>SUM(T79*U79)</f>
        <v>39.187348199999995</v>
      </c>
      <c r="W79" s="9">
        <f t="shared" si="8"/>
        <v>33.46</v>
      </c>
      <c r="X79" s="10">
        <v>1.3012999999999999</v>
      </c>
      <c r="Y79" s="12">
        <f>SUM(W79*X79)</f>
        <v>43.541497999999997</v>
      </c>
    </row>
    <row r="80" spans="1:25" x14ac:dyDescent="0.25">
      <c r="Q80" s="14"/>
      <c r="R80" s="20"/>
      <c r="S80" s="14"/>
      <c r="T80" s="14"/>
      <c r="U80" s="20"/>
      <c r="V80" s="14"/>
      <c r="W80" s="14"/>
      <c r="X80" s="20"/>
      <c r="Y80" s="14"/>
    </row>
    <row r="81" spans="1:25" x14ac:dyDescent="0.25">
      <c r="A81" s="1" t="s">
        <v>55</v>
      </c>
      <c r="Q81" s="14"/>
      <c r="R81" s="20"/>
      <c r="S81" s="14"/>
      <c r="T81" s="14"/>
      <c r="U81" s="20"/>
      <c r="V81" s="14"/>
      <c r="W81" s="14"/>
      <c r="X81" s="20"/>
      <c r="Y81" s="14"/>
    </row>
    <row r="82" spans="1:25" x14ac:dyDescent="0.25">
      <c r="A82" s="2" t="s">
        <v>1</v>
      </c>
      <c r="B82" s="2" t="s">
        <v>2</v>
      </c>
      <c r="C82" s="2" t="s">
        <v>3</v>
      </c>
      <c r="D82" s="3" t="s">
        <v>4</v>
      </c>
      <c r="E82" s="4" t="s">
        <v>5</v>
      </c>
      <c r="F82" s="3" t="s">
        <v>6</v>
      </c>
      <c r="G82" s="5">
        <v>1</v>
      </c>
      <c r="H82" s="5" t="s">
        <v>7</v>
      </c>
      <c r="I82" s="6">
        <v>1.33</v>
      </c>
      <c r="J82" s="5" t="s">
        <v>7</v>
      </c>
      <c r="K82" s="6">
        <v>1.35</v>
      </c>
      <c r="L82" s="4" t="s">
        <v>8</v>
      </c>
      <c r="M82" s="26">
        <v>2</v>
      </c>
      <c r="N82" s="7" t="s">
        <v>8</v>
      </c>
      <c r="O82" s="26">
        <v>3</v>
      </c>
      <c r="P82" s="37"/>
      <c r="Q82" s="26" t="s">
        <v>9</v>
      </c>
      <c r="R82" s="25" t="s">
        <v>10</v>
      </c>
      <c r="S82" s="19">
        <v>1.4</v>
      </c>
      <c r="T82" s="26" t="s">
        <v>9</v>
      </c>
      <c r="U82" s="19" t="s">
        <v>10</v>
      </c>
      <c r="V82" s="19">
        <v>1.8</v>
      </c>
      <c r="W82" s="26" t="s">
        <v>9</v>
      </c>
      <c r="X82" s="19" t="s">
        <v>10</v>
      </c>
      <c r="Y82" s="19">
        <v>2</v>
      </c>
    </row>
    <row r="83" spans="1:25" x14ac:dyDescent="0.25">
      <c r="A83" s="8" t="s">
        <v>11</v>
      </c>
      <c r="B83" s="8" t="s">
        <v>56</v>
      </c>
      <c r="C83" s="8">
        <v>16.96</v>
      </c>
      <c r="D83" s="9">
        <f>C83*1.061</f>
        <v>17.99456</v>
      </c>
      <c r="E83" s="10">
        <v>1.629</v>
      </c>
      <c r="F83" s="11">
        <v>4.54</v>
      </c>
      <c r="G83" s="12">
        <f>SUM(D83*E83)+F83</f>
        <v>33.85313824</v>
      </c>
      <c r="H83" s="10">
        <v>1.4866999999999999</v>
      </c>
      <c r="I83" s="12">
        <f>SUM(G83+(D83*H83*0.33))</f>
        <v>42.681467316159996</v>
      </c>
      <c r="J83" s="10">
        <v>1.4866999999999999</v>
      </c>
      <c r="K83" s="12">
        <f>SUM(G83+(D83*J83*0.35))</f>
        <v>43.2165175632</v>
      </c>
      <c r="L83" s="10">
        <v>1.4866999999999999</v>
      </c>
      <c r="M83" s="12">
        <f>SUM(G83+(D83*L83*1))</f>
        <v>60.605650591999996</v>
      </c>
      <c r="N83" s="10">
        <v>1.4866999999999999</v>
      </c>
      <c r="O83" s="12">
        <f>SUM(G83+(D83*N83*2))</f>
        <v>87.358162943999986</v>
      </c>
      <c r="P83" s="36"/>
      <c r="Q83" s="9">
        <f t="shared" ref="Q83" si="9">C83*1.4</f>
        <v>23.744</v>
      </c>
      <c r="R83" s="10">
        <v>1.3012999999999999</v>
      </c>
      <c r="S83" s="12">
        <f>SUM(Q83*R83)</f>
        <v>30.898067199999996</v>
      </c>
      <c r="T83" s="9">
        <f t="shared" ref="T83" si="10">C83*1.8</f>
        <v>30.528000000000002</v>
      </c>
      <c r="U83" s="10">
        <v>1.3012999999999999</v>
      </c>
      <c r="V83" s="12">
        <f>SUM(T83*U83)</f>
        <v>39.7260864</v>
      </c>
      <c r="W83" s="9">
        <f t="shared" ref="W83" si="11">C83*2</f>
        <v>33.92</v>
      </c>
      <c r="X83" s="10">
        <v>1.3012999999999999</v>
      </c>
      <c r="Y83" s="12">
        <f>SUM(W83*X83)</f>
        <v>44.140096</v>
      </c>
    </row>
    <row r="84" spans="1:25" x14ac:dyDescent="0.25">
      <c r="Q84" s="14"/>
      <c r="R84" s="20"/>
      <c r="S84" s="14"/>
      <c r="T84" s="14"/>
      <c r="U84" s="20"/>
      <c r="V84" s="14"/>
      <c r="W84" s="14"/>
      <c r="X84" s="20"/>
      <c r="Y84" s="14"/>
    </row>
    <row r="85" spans="1:25" x14ac:dyDescent="0.25">
      <c r="A85" s="1" t="s">
        <v>57</v>
      </c>
      <c r="Q85" s="14"/>
      <c r="R85" s="20"/>
      <c r="S85" s="14"/>
      <c r="T85" s="14"/>
      <c r="U85" s="20"/>
      <c r="V85" s="14"/>
      <c r="W85" s="14"/>
      <c r="X85" s="20"/>
      <c r="Y85" s="14"/>
    </row>
    <row r="86" spans="1:25" x14ac:dyDescent="0.25">
      <c r="A86" s="2" t="s">
        <v>1</v>
      </c>
      <c r="B86" s="2" t="s">
        <v>2</v>
      </c>
      <c r="C86" s="2" t="s">
        <v>3</v>
      </c>
      <c r="D86" s="3" t="s">
        <v>4</v>
      </c>
      <c r="E86" s="4" t="s">
        <v>5</v>
      </c>
      <c r="F86" s="3" t="s">
        <v>6</v>
      </c>
      <c r="G86" s="5">
        <v>1</v>
      </c>
      <c r="H86" s="5" t="s">
        <v>7</v>
      </c>
      <c r="I86" s="6">
        <v>1.33</v>
      </c>
      <c r="J86" s="5" t="s">
        <v>7</v>
      </c>
      <c r="K86" s="6">
        <v>1.35</v>
      </c>
      <c r="L86" s="4" t="s">
        <v>8</v>
      </c>
      <c r="M86" s="26">
        <v>2</v>
      </c>
      <c r="N86" s="7" t="s">
        <v>8</v>
      </c>
      <c r="O86" s="26">
        <v>3</v>
      </c>
      <c r="P86" s="37"/>
      <c r="Q86" s="26" t="s">
        <v>9</v>
      </c>
      <c r="R86" s="25" t="s">
        <v>10</v>
      </c>
      <c r="S86" s="19">
        <v>1.4</v>
      </c>
      <c r="T86" s="26" t="s">
        <v>9</v>
      </c>
      <c r="U86" s="19" t="s">
        <v>10</v>
      </c>
      <c r="V86" s="19">
        <v>1.8</v>
      </c>
      <c r="W86" s="26" t="s">
        <v>9</v>
      </c>
      <c r="X86" s="19" t="s">
        <v>10</v>
      </c>
      <c r="Y86" s="19">
        <v>2</v>
      </c>
    </row>
    <row r="87" spans="1:25" x14ac:dyDescent="0.25">
      <c r="A87" s="8" t="s">
        <v>11</v>
      </c>
      <c r="B87" s="8" t="s">
        <v>58</v>
      </c>
      <c r="C87" s="8">
        <v>17.190000000000001</v>
      </c>
      <c r="D87" s="9">
        <f>C87*1.061</f>
        <v>18.238590000000002</v>
      </c>
      <c r="E87" s="10">
        <v>1.629</v>
      </c>
      <c r="F87" s="11">
        <v>4.54</v>
      </c>
      <c r="G87" s="12">
        <f>SUM(D87*E87)+F87</f>
        <v>34.250663110000005</v>
      </c>
      <c r="H87" s="10">
        <v>1.4866999999999999</v>
      </c>
      <c r="I87" s="12">
        <f>SUM(G87+(D87*H87*0.33))</f>
        <v>43.198715988490008</v>
      </c>
      <c r="J87" s="10">
        <v>1.4866999999999999</v>
      </c>
      <c r="K87" s="12">
        <f>SUM(G87+(D87*J87*0.35))</f>
        <v>43.741022223550004</v>
      </c>
      <c r="L87" s="10">
        <v>1.4866999999999999</v>
      </c>
      <c r="M87" s="12">
        <f>SUM(G87+(D87*L87*1))</f>
        <v>61.365974863000005</v>
      </c>
      <c r="N87" s="10">
        <v>1.4866999999999999</v>
      </c>
      <c r="O87" s="12">
        <f>SUM(G87+(D87*N87*2))</f>
        <v>88.481286616000006</v>
      </c>
      <c r="P87" s="36"/>
      <c r="Q87" s="9">
        <f t="shared" ref="Q87:Q160" si="12">C87*1.4</f>
        <v>24.065999999999999</v>
      </c>
      <c r="R87" s="10">
        <v>1.3012999999999999</v>
      </c>
      <c r="S87" s="12">
        <f>SUM(Q87*R87)</f>
        <v>31.317085799999997</v>
      </c>
      <c r="T87" s="9">
        <f t="shared" ref="T87:T164" si="13">C87*1.8</f>
        <v>30.942000000000004</v>
      </c>
      <c r="U87" s="10">
        <v>1.3012999999999999</v>
      </c>
      <c r="V87" s="12">
        <f>SUM(T87*U87)</f>
        <v>40.264824600000004</v>
      </c>
      <c r="W87" s="9">
        <f t="shared" si="8"/>
        <v>34.380000000000003</v>
      </c>
      <c r="X87" s="10">
        <v>1.3012999999999999</v>
      </c>
      <c r="Y87" s="12">
        <f>SUM(W87*X87)</f>
        <v>44.738694000000002</v>
      </c>
    </row>
    <row r="88" spans="1:25" x14ac:dyDescent="0.25">
      <c r="Q88" s="14"/>
      <c r="R88" s="20"/>
      <c r="S88" s="14"/>
      <c r="T88" s="14"/>
      <c r="U88" s="20"/>
      <c r="V88" s="14"/>
      <c r="W88" s="14"/>
      <c r="X88" s="20"/>
      <c r="Y88" s="14"/>
    </row>
    <row r="89" spans="1:25" x14ac:dyDescent="0.25">
      <c r="A89" s="1" t="s">
        <v>59</v>
      </c>
      <c r="Q89" s="14"/>
      <c r="R89" s="20"/>
      <c r="S89" s="14"/>
      <c r="T89" s="14"/>
      <c r="U89" s="20"/>
      <c r="V89" s="14"/>
      <c r="W89" s="14"/>
      <c r="X89" s="20"/>
      <c r="Y89" s="14"/>
    </row>
    <row r="90" spans="1:25" x14ac:dyDescent="0.25">
      <c r="A90" s="2" t="s">
        <v>1</v>
      </c>
      <c r="B90" s="2" t="s">
        <v>2</v>
      </c>
      <c r="C90" s="2" t="s">
        <v>3</v>
      </c>
      <c r="D90" s="3" t="s">
        <v>4</v>
      </c>
      <c r="E90" s="4" t="s">
        <v>5</v>
      </c>
      <c r="F90" s="3" t="s">
        <v>6</v>
      </c>
      <c r="G90" s="5">
        <v>1</v>
      </c>
      <c r="H90" s="5" t="s">
        <v>7</v>
      </c>
      <c r="I90" s="6">
        <v>1.33</v>
      </c>
      <c r="J90" s="5" t="s">
        <v>7</v>
      </c>
      <c r="K90" s="6">
        <v>1.35</v>
      </c>
      <c r="L90" s="4" t="s">
        <v>8</v>
      </c>
      <c r="M90" s="26">
        <v>2</v>
      </c>
      <c r="N90" s="7" t="s">
        <v>8</v>
      </c>
      <c r="O90" s="26">
        <v>3</v>
      </c>
      <c r="P90" s="37"/>
      <c r="Q90" s="26" t="s">
        <v>9</v>
      </c>
      <c r="R90" s="25" t="s">
        <v>10</v>
      </c>
      <c r="S90" s="19">
        <v>1.4</v>
      </c>
      <c r="T90" s="26" t="s">
        <v>9</v>
      </c>
      <c r="U90" s="19" t="s">
        <v>10</v>
      </c>
      <c r="V90" s="19">
        <v>1.8</v>
      </c>
      <c r="W90" s="26" t="s">
        <v>9</v>
      </c>
      <c r="X90" s="19" t="s">
        <v>10</v>
      </c>
      <c r="Y90" s="19">
        <v>2</v>
      </c>
    </row>
    <row r="91" spans="1:25" x14ac:dyDescent="0.25">
      <c r="A91" s="8" t="s">
        <v>11</v>
      </c>
      <c r="B91" s="8" t="s">
        <v>60</v>
      </c>
      <c r="C91" s="8">
        <v>17.420000000000002</v>
      </c>
      <c r="D91" s="9">
        <f>C91*1.061</f>
        <v>18.482620000000001</v>
      </c>
      <c r="E91" s="10">
        <v>1.629</v>
      </c>
      <c r="F91" s="11">
        <v>4.54</v>
      </c>
      <c r="G91" s="12">
        <f>SUM(D91*E91)+F91</f>
        <v>34.648187980000003</v>
      </c>
      <c r="H91" s="10">
        <v>1.4866999999999999</v>
      </c>
      <c r="I91" s="12">
        <f>SUM(G91+(D91*H91*0.33))</f>
        <v>43.715964660820006</v>
      </c>
      <c r="J91" s="10">
        <v>1.4866999999999999</v>
      </c>
      <c r="K91" s="12">
        <f>SUM(G91+(D91*J91*0.35))</f>
        <v>44.265526883900002</v>
      </c>
      <c r="L91" s="10">
        <v>1.4866999999999999</v>
      </c>
      <c r="M91" s="12">
        <f>SUM(G91+(D91*L91*1))</f>
        <v>62.126299134000007</v>
      </c>
      <c r="N91" s="10">
        <v>1.4866999999999999</v>
      </c>
      <c r="O91" s="12">
        <f>SUM(G91+(D91*N91*2))</f>
        <v>89.604410287999997</v>
      </c>
      <c r="P91" s="36"/>
      <c r="Q91" s="9">
        <f t="shared" si="12"/>
        <v>24.388000000000002</v>
      </c>
      <c r="R91" s="10">
        <v>1.3012999999999999</v>
      </c>
      <c r="S91" s="12">
        <f>SUM(Q91*R91)</f>
        <v>31.736104399999999</v>
      </c>
      <c r="T91" s="9">
        <f t="shared" si="13"/>
        <v>31.356000000000005</v>
      </c>
      <c r="U91" s="10">
        <v>1.3012999999999999</v>
      </c>
      <c r="V91" s="12">
        <f>SUM(T91*U91)</f>
        <v>40.803562800000002</v>
      </c>
      <c r="W91" s="9">
        <f t="shared" si="8"/>
        <v>34.840000000000003</v>
      </c>
      <c r="X91" s="10">
        <v>1.3012999999999999</v>
      </c>
      <c r="Y91" s="12">
        <f>SUM(W91*X91)</f>
        <v>45.337291999999998</v>
      </c>
    </row>
    <row r="92" spans="1:25" x14ac:dyDescent="0.25">
      <c r="M92" s="20"/>
      <c r="N92" s="20"/>
      <c r="O92" s="20"/>
      <c r="Q92" s="14"/>
      <c r="R92" s="20"/>
      <c r="S92" s="14"/>
      <c r="T92" s="14"/>
      <c r="U92" s="20"/>
      <c r="V92" s="14"/>
      <c r="W92" s="14"/>
      <c r="X92" s="20"/>
      <c r="Y92" s="14"/>
    </row>
    <row r="93" spans="1:25" x14ac:dyDescent="0.25">
      <c r="A93" s="1" t="s">
        <v>61</v>
      </c>
      <c r="M93" s="20"/>
      <c r="N93" s="20"/>
      <c r="O93" s="20"/>
      <c r="Q93" s="14"/>
      <c r="R93" s="20"/>
      <c r="S93" s="14"/>
      <c r="T93" s="14"/>
      <c r="U93" s="20"/>
      <c r="V93" s="14"/>
      <c r="W93" s="14"/>
      <c r="X93" s="20"/>
      <c r="Y93" s="14"/>
    </row>
    <row r="94" spans="1:25" x14ac:dyDescent="0.25">
      <c r="A94" s="2" t="s">
        <v>1</v>
      </c>
      <c r="B94" s="2" t="s">
        <v>2</v>
      </c>
      <c r="C94" s="2" t="s">
        <v>3</v>
      </c>
      <c r="D94" s="3" t="s">
        <v>4</v>
      </c>
      <c r="E94" s="4" t="s">
        <v>5</v>
      </c>
      <c r="F94" s="3" t="s">
        <v>6</v>
      </c>
      <c r="G94" s="5">
        <v>1</v>
      </c>
      <c r="H94" s="5" t="s">
        <v>7</v>
      </c>
      <c r="I94" s="6">
        <v>1.33</v>
      </c>
      <c r="J94" s="5" t="s">
        <v>7</v>
      </c>
      <c r="K94" s="6">
        <v>1.35</v>
      </c>
      <c r="L94" s="4" t="s">
        <v>8</v>
      </c>
      <c r="M94" s="26">
        <v>2</v>
      </c>
      <c r="N94" s="7" t="s">
        <v>8</v>
      </c>
      <c r="O94" s="26">
        <v>3</v>
      </c>
      <c r="P94" s="37"/>
      <c r="Q94" s="26" t="s">
        <v>9</v>
      </c>
      <c r="R94" s="25" t="s">
        <v>10</v>
      </c>
      <c r="S94" s="19">
        <v>1.4</v>
      </c>
      <c r="T94" s="26" t="s">
        <v>9</v>
      </c>
      <c r="U94" s="19" t="s">
        <v>10</v>
      </c>
      <c r="V94" s="19">
        <v>1.8</v>
      </c>
      <c r="W94" s="26" t="s">
        <v>9</v>
      </c>
      <c r="X94" s="19" t="s">
        <v>10</v>
      </c>
      <c r="Y94" s="19">
        <v>2</v>
      </c>
    </row>
    <row r="95" spans="1:25" x14ac:dyDescent="0.25">
      <c r="A95" s="8" t="s">
        <v>11</v>
      </c>
      <c r="B95" s="8" t="s">
        <v>62</v>
      </c>
      <c r="C95" s="8">
        <v>17.87</v>
      </c>
      <c r="D95" s="9">
        <f>C95*1.061</f>
        <v>18.960070000000002</v>
      </c>
      <c r="E95" s="10">
        <v>1.629</v>
      </c>
      <c r="F95" s="11">
        <v>4.54</v>
      </c>
      <c r="G95" s="12">
        <f>SUM(D95*E95)+F95</f>
        <v>35.425954030000007</v>
      </c>
      <c r="H95" s="10">
        <v>1.4866999999999999</v>
      </c>
      <c r="I95" s="12">
        <f>SUM(G95+(D95*H95*0.33))</f>
        <v>44.727972932770008</v>
      </c>
      <c r="J95" s="10">
        <v>1.4866999999999999</v>
      </c>
      <c r="K95" s="12">
        <f>SUM(G95+(D95*J95*0.35))</f>
        <v>45.291731654150006</v>
      </c>
      <c r="L95" s="10">
        <v>1.4866999999999999</v>
      </c>
      <c r="M95" s="12">
        <f>SUM(G95+(D95*L95*1))</f>
        <v>63.613890099000002</v>
      </c>
      <c r="N95" s="10">
        <v>1.4866999999999999</v>
      </c>
      <c r="O95" s="12">
        <f>SUM(G95+(D95*N95*2))</f>
        <v>91.801826168000005</v>
      </c>
      <c r="P95" s="36"/>
      <c r="Q95" s="9">
        <f t="shared" si="12"/>
        <v>25.018000000000001</v>
      </c>
      <c r="R95" s="10">
        <v>1.3012999999999999</v>
      </c>
      <c r="S95" s="12">
        <f>SUM(Q95*R95)</f>
        <v>32.555923399999998</v>
      </c>
      <c r="T95" s="9">
        <f t="shared" si="13"/>
        <v>32.166000000000004</v>
      </c>
      <c r="U95" s="10">
        <v>1.3012999999999999</v>
      </c>
      <c r="V95" s="12">
        <f>SUM(T95*U95)</f>
        <v>41.857615800000005</v>
      </c>
      <c r="W95" s="9">
        <f t="shared" si="8"/>
        <v>35.74</v>
      </c>
      <c r="X95" s="10">
        <v>1.3012999999999999</v>
      </c>
      <c r="Y95" s="12">
        <f>SUM(W95*X95)</f>
        <v>46.508462000000002</v>
      </c>
    </row>
    <row r="96" spans="1:25" x14ac:dyDescent="0.25">
      <c r="M96" s="20"/>
      <c r="N96" s="20"/>
      <c r="O96" s="20"/>
      <c r="Q96" s="14"/>
      <c r="R96" s="20"/>
      <c r="S96" s="14"/>
      <c r="T96" s="14"/>
      <c r="U96" s="20"/>
      <c r="V96" s="14"/>
      <c r="W96" s="14"/>
      <c r="X96" s="20"/>
      <c r="Y96" s="14"/>
    </row>
    <row r="97" spans="1:25" x14ac:dyDescent="0.25">
      <c r="A97" s="1" t="s">
        <v>63</v>
      </c>
      <c r="M97" s="20"/>
      <c r="N97" s="20"/>
      <c r="O97" s="20"/>
      <c r="Q97" s="14"/>
      <c r="R97" s="20"/>
      <c r="S97" s="14"/>
      <c r="T97" s="14"/>
      <c r="U97" s="20"/>
      <c r="V97" s="14"/>
      <c r="W97" s="14"/>
      <c r="X97" s="20"/>
      <c r="Y97" s="14"/>
    </row>
    <row r="98" spans="1:25" x14ac:dyDescent="0.25">
      <c r="A98" s="2" t="s">
        <v>1</v>
      </c>
      <c r="B98" s="2" t="s">
        <v>2</v>
      </c>
      <c r="C98" s="2" t="s">
        <v>3</v>
      </c>
      <c r="D98" s="3" t="s">
        <v>4</v>
      </c>
      <c r="E98" s="4" t="s">
        <v>5</v>
      </c>
      <c r="F98" s="3" t="s">
        <v>6</v>
      </c>
      <c r="G98" s="5">
        <v>1</v>
      </c>
      <c r="H98" s="5" t="s">
        <v>7</v>
      </c>
      <c r="I98" s="6">
        <v>1.33</v>
      </c>
      <c r="J98" s="5" t="s">
        <v>7</v>
      </c>
      <c r="K98" s="6">
        <v>1.35</v>
      </c>
      <c r="L98" s="4" t="s">
        <v>8</v>
      </c>
      <c r="M98" s="26">
        <v>2</v>
      </c>
      <c r="N98" s="7" t="s">
        <v>8</v>
      </c>
      <c r="O98" s="26">
        <v>3</v>
      </c>
      <c r="P98" s="37"/>
      <c r="Q98" s="26" t="s">
        <v>9</v>
      </c>
      <c r="R98" s="25" t="s">
        <v>10</v>
      </c>
      <c r="S98" s="19">
        <v>1.4</v>
      </c>
      <c r="T98" s="26" t="s">
        <v>9</v>
      </c>
      <c r="U98" s="19" t="s">
        <v>10</v>
      </c>
      <c r="V98" s="19">
        <v>1.8</v>
      </c>
      <c r="W98" s="26" t="s">
        <v>9</v>
      </c>
      <c r="X98" s="19" t="s">
        <v>10</v>
      </c>
      <c r="Y98" s="19">
        <v>2</v>
      </c>
    </row>
    <row r="99" spans="1:25" x14ac:dyDescent="0.25">
      <c r="A99" s="8" t="s">
        <v>11</v>
      </c>
      <c r="B99" s="8" t="s">
        <v>64</v>
      </c>
      <c r="C99" s="8">
        <v>16.5</v>
      </c>
      <c r="D99" s="9">
        <f>C99*1.061</f>
        <v>17.506499999999999</v>
      </c>
      <c r="E99" s="10">
        <v>1.7058</v>
      </c>
      <c r="F99" s="11">
        <v>4.54</v>
      </c>
      <c r="G99" s="12">
        <f>SUM(D99*E99)+F99</f>
        <v>34.402587699999998</v>
      </c>
      <c r="H99" s="10">
        <v>1.5694999999999999</v>
      </c>
      <c r="I99" s="12">
        <f>SUM(G99+(D99*H99*0.33))</f>
        <v>43.4698167775</v>
      </c>
      <c r="J99" s="10">
        <v>1.5694999999999999</v>
      </c>
      <c r="K99" s="12">
        <f>SUM(G99+(D99*J99*0.35))</f>
        <v>44.019345812499992</v>
      </c>
      <c r="L99" s="10">
        <v>1.5694999999999999</v>
      </c>
      <c r="M99" s="12">
        <f>SUM(G99+(D99*L99*1))</f>
        <v>61.879039449999993</v>
      </c>
      <c r="N99" s="10">
        <v>1.5694999999999999</v>
      </c>
      <c r="O99" s="12">
        <f>SUM(G99+(D99*N99*2))</f>
        <v>89.355491199999989</v>
      </c>
      <c r="P99" s="36"/>
      <c r="Q99" s="9">
        <f t="shared" si="12"/>
        <v>23.099999999999998</v>
      </c>
      <c r="R99" s="10">
        <v>1.3842000000000001</v>
      </c>
      <c r="S99" s="12">
        <f>SUM(Q99*R99)</f>
        <v>31.975020000000001</v>
      </c>
      <c r="T99" s="9">
        <f t="shared" si="13"/>
        <v>29.7</v>
      </c>
      <c r="U99" s="10">
        <v>1.3842000000000001</v>
      </c>
      <c r="V99" s="12">
        <f>SUM(T99*U99)</f>
        <v>41.11074</v>
      </c>
      <c r="W99" s="9">
        <f t="shared" si="8"/>
        <v>33</v>
      </c>
      <c r="X99" s="10">
        <v>1.3842000000000001</v>
      </c>
      <c r="Y99" s="12">
        <f>SUM(W99*X99)</f>
        <v>45.678600000000003</v>
      </c>
    </row>
    <row r="100" spans="1:25" x14ac:dyDescent="0.25">
      <c r="A100" s="8" t="s">
        <v>11</v>
      </c>
      <c r="B100" s="8" t="s">
        <v>65</v>
      </c>
      <c r="C100" s="8">
        <v>16.5</v>
      </c>
      <c r="D100" s="9">
        <f>C100*1.061</f>
        <v>17.506499999999999</v>
      </c>
      <c r="E100" s="10">
        <v>1.629</v>
      </c>
      <c r="F100" s="11">
        <v>4.54</v>
      </c>
      <c r="G100" s="12">
        <f>SUM(D100*E100)+F100</f>
        <v>33.058088499999997</v>
      </c>
      <c r="H100" s="10">
        <v>1.4866999999999999</v>
      </c>
      <c r="I100" s="12">
        <f>SUM(G100+(D100*H100*0.33))</f>
        <v>41.646969971499999</v>
      </c>
      <c r="J100" s="10">
        <v>1.4866999999999999</v>
      </c>
      <c r="K100" s="12">
        <f>SUM(G100+(D100*J100*0.35))</f>
        <v>42.167508242499991</v>
      </c>
      <c r="L100" s="10">
        <v>1.4866999999999999</v>
      </c>
      <c r="M100" s="12">
        <f>SUM(G100+(D100*L100*1))</f>
        <v>59.085002049999993</v>
      </c>
      <c r="N100" s="10">
        <v>1.4866999999999999</v>
      </c>
      <c r="O100" s="12">
        <f>SUM(G100+(D100*N100*2))</f>
        <v>85.111915599999989</v>
      </c>
      <c r="P100" s="36"/>
      <c r="Q100" s="9">
        <f t="shared" si="12"/>
        <v>23.099999999999998</v>
      </c>
      <c r="R100" s="10">
        <v>1.3012999999999999</v>
      </c>
      <c r="S100" s="12">
        <f>SUM(Q100*R100)</f>
        <v>30.060029999999994</v>
      </c>
      <c r="T100" s="9">
        <f t="shared" si="13"/>
        <v>29.7</v>
      </c>
      <c r="U100" s="10">
        <v>1.3012999999999999</v>
      </c>
      <c r="V100" s="12">
        <f>SUM(T100*U100)</f>
        <v>38.648609999999998</v>
      </c>
      <c r="W100" s="9">
        <f t="shared" si="8"/>
        <v>33</v>
      </c>
      <c r="X100" s="10">
        <v>1.3012999999999999</v>
      </c>
      <c r="Y100" s="12">
        <f>SUM(W100*X100)</f>
        <v>42.942899999999995</v>
      </c>
    </row>
    <row r="101" spans="1:25" x14ac:dyDescent="0.25">
      <c r="M101" s="20"/>
      <c r="N101" s="20"/>
      <c r="O101" s="20"/>
      <c r="Q101" s="14"/>
      <c r="R101" s="20"/>
      <c r="S101" s="14"/>
      <c r="T101" s="14"/>
      <c r="U101" s="20"/>
      <c r="V101" s="14"/>
      <c r="W101" s="14"/>
      <c r="X101" s="20"/>
      <c r="Y101" s="14"/>
    </row>
    <row r="102" spans="1:25" x14ac:dyDescent="0.25">
      <c r="A102" s="1" t="s">
        <v>66</v>
      </c>
      <c r="M102" s="20"/>
      <c r="N102" s="20"/>
      <c r="O102" s="20"/>
      <c r="Q102" s="14"/>
      <c r="R102" s="20"/>
      <c r="S102" s="14"/>
      <c r="T102" s="14"/>
      <c r="U102" s="20"/>
      <c r="V102" s="14"/>
      <c r="W102" s="14"/>
      <c r="X102" s="20"/>
      <c r="Y102" s="14"/>
    </row>
    <row r="103" spans="1:25" x14ac:dyDescent="0.25">
      <c r="A103" s="2" t="s">
        <v>1</v>
      </c>
      <c r="B103" s="2" t="s">
        <v>2</v>
      </c>
      <c r="C103" s="2" t="s">
        <v>3</v>
      </c>
      <c r="D103" s="3" t="s">
        <v>4</v>
      </c>
      <c r="E103" s="4" t="s">
        <v>5</v>
      </c>
      <c r="F103" s="3" t="s">
        <v>6</v>
      </c>
      <c r="G103" s="5">
        <v>1</v>
      </c>
      <c r="H103" s="5" t="s">
        <v>7</v>
      </c>
      <c r="I103" s="6">
        <v>1.33</v>
      </c>
      <c r="J103" s="5" t="s">
        <v>7</v>
      </c>
      <c r="K103" s="6">
        <v>1.35</v>
      </c>
      <c r="L103" s="4" t="s">
        <v>8</v>
      </c>
      <c r="M103" s="26">
        <v>2</v>
      </c>
      <c r="N103" s="7" t="s">
        <v>8</v>
      </c>
      <c r="O103" s="26">
        <v>3</v>
      </c>
      <c r="P103" s="37"/>
      <c r="Q103" s="26" t="s">
        <v>9</v>
      </c>
      <c r="R103" s="25" t="s">
        <v>10</v>
      </c>
      <c r="S103" s="19">
        <v>1.4</v>
      </c>
      <c r="T103" s="26" t="s">
        <v>9</v>
      </c>
      <c r="U103" s="19" t="s">
        <v>10</v>
      </c>
      <c r="V103" s="19">
        <v>1.8</v>
      </c>
      <c r="W103" s="26" t="s">
        <v>9</v>
      </c>
      <c r="X103" s="19" t="s">
        <v>10</v>
      </c>
      <c r="Y103" s="19">
        <v>2</v>
      </c>
    </row>
    <row r="104" spans="1:25" x14ac:dyDescent="0.25">
      <c r="A104" s="8" t="s">
        <v>11</v>
      </c>
      <c r="B104" s="8" t="s">
        <v>67</v>
      </c>
      <c r="C104" s="8">
        <v>16.739999999999998</v>
      </c>
      <c r="D104" s="9">
        <f>C104*1.061</f>
        <v>17.761139999999997</v>
      </c>
      <c r="E104" s="10">
        <v>1.629</v>
      </c>
      <c r="F104" s="11">
        <v>4.54</v>
      </c>
      <c r="G104" s="12">
        <f>SUM(D104*E104)+F104</f>
        <v>33.472897059999994</v>
      </c>
      <c r="H104" s="10">
        <v>1.4866999999999999</v>
      </c>
      <c r="I104" s="12">
        <f>SUM(G104+(D104*H104*0.33))</f>
        <v>42.186707716539992</v>
      </c>
      <c r="J104" s="10">
        <v>1.4866999999999999</v>
      </c>
      <c r="K104" s="12">
        <f>SUM(G104+(D104*J104*0.35))</f>
        <v>42.714817453299993</v>
      </c>
      <c r="L104" s="10">
        <v>1.4866999999999999</v>
      </c>
      <c r="M104" s="12">
        <f>SUM(G104+(D104*L104*1))</f>
        <v>59.878383897999989</v>
      </c>
      <c r="N104" s="10">
        <v>1.4866999999999999</v>
      </c>
      <c r="O104" s="12">
        <f>SUM(G104+(D104*N104*2))</f>
        <v>86.283870735999983</v>
      </c>
      <c r="P104" s="36"/>
      <c r="Q104" s="9">
        <f t="shared" si="12"/>
        <v>23.435999999999996</v>
      </c>
      <c r="R104" s="10">
        <v>1.3012999999999999</v>
      </c>
      <c r="S104" s="12">
        <f>SUM(Q104*R104)</f>
        <v>30.497266799999991</v>
      </c>
      <c r="T104" s="9">
        <f t="shared" si="13"/>
        <v>30.131999999999998</v>
      </c>
      <c r="U104" s="10">
        <v>1.3012999999999999</v>
      </c>
      <c r="V104" s="12">
        <f>SUM(T104*U104)</f>
        <v>39.210771599999994</v>
      </c>
      <c r="W104" s="9">
        <f t="shared" si="8"/>
        <v>33.479999999999997</v>
      </c>
      <c r="X104" s="10">
        <v>1.3012999999999999</v>
      </c>
      <c r="Y104" s="12">
        <f>SUM(W104*X104)</f>
        <v>43.567523999999992</v>
      </c>
    </row>
    <row r="105" spans="1:25" x14ac:dyDescent="0.25">
      <c r="M105" s="20"/>
      <c r="N105" s="20"/>
      <c r="O105" s="20"/>
      <c r="Q105" s="14"/>
      <c r="R105" s="20"/>
      <c r="S105" s="14"/>
      <c r="T105" s="14"/>
      <c r="U105" s="20"/>
      <c r="V105" s="14"/>
      <c r="W105" s="14"/>
      <c r="X105" s="20"/>
      <c r="Y105" s="14"/>
    </row>
    <row r="106" spans="1:25" x14ac:dyDescent="0.25">
      <c r="A106" s="1" t="s">
        <v>68</v>
      </c>
      <c r="M106" s="20"/>
      <c r="N106" s="20"/>
      <c r="O106" s="20"/>
      <c r="Q106" s="14"/>
      <c r="R106" s="20"/>
      <c r="S106" s="14"/>
      <c r="T106" s="14"/>
      <c r="U106" s="20"/>
      <c r="V106" s="14"/>
      <c r="W106" s="14"/>
      <c r="X106" s="20"/>
      <c r="Y106" s="14"/>
    </row>
    <row r="107" spans="1:25" x14ac:dyDescent="0.25">
      <c r="A107" s="2" t="s">
        <v>1</v>
      </c>
      <c r="B107" s="2" t="s">
        <v>2</v>
      </c>
      <c r="C107" s="2" t="s">
        <v>3</v>
      </c>
      <c r="D107" s="3" t="s">
        <v>4</v>
      </c>
      <c r="E107" s="4" t="s">
        <v>5</v>
      </c>
      <c r="F107" s="3" t="s">
        <v>6</v>
      </c>
      <c r="G107" s="5">
        <v>1</v>
      </c>
      <c r="H107" s="5" t="s">
        <v>7</v>
      </c>
      <c r="I107" s="6">
        <v>1.33</v>
      </c>
      <c r="J107" s="5" t="s">
        <v>7</v>
      </c>
      <c r="K107" s="6">
        <v>1.35</v>
      </c>
      <c r="L107" s="4" t="s">
        <v>8</v>
      </c>
      <c r="M107" s="26">
        <v>2</v>
      </c>
      <c r="N107" s="7" t="s">
        <v>8</v>
      </c>
      <c r="O107" s="26">
        <v>3</v>
      </c>
      <c r="P107" s="37"/>
      <c r="Q107" s="26" t="s">
        <v>9</v>
      </c>
      <c r="R107" s="25" t="s">
        <v>10</v>
      </c>
      <c r="S107" s="19">
        <v>1.4</v>
      </c>
      <c r="T107" s="26" t="s">
        <v>9</v>
      </c>
      <c r="U107" s="19" t="s">
        <v>10</v>
      </c>
      <c r="V107" s="19">
        <v>1.8</v>
      </c>
      <c r="W107" s="26" t="s">
        <v>9</v>
      </c>
      <c r="X107" s="19" t="s">
        <v>10</v>
      </c>
      <c r="Y107" s="19">
        <v>2</v>
      </c>
    </row>
    <row r="108" spans="1:25" x14ac:dyDescent="0.25">
      <c r="A108" s="8" t="s">
        <v>11</v>
      </c>
      <c r="B108" s="8" t="s">
        <v>69</v>
      </c>
      <c r="C108" s="8">
        <v>16.989999999999998</v>
      </c>
      <c r="D108" s="9">
        <f>C108*1.061</f>
        <v>18.026389999999996</v>
      </c>
      <c r="E108" s="10">
        <v>1.629</v>
      </c>
      <c r="F108" s="11">
        <v>4.54</v>
      </c>
      <c r="G108" s="12">
        <f>SUM(D108*E108)+F108</f>
        <v>33.904989309999991</v>
      </c>
      <c r="H108" s="10">
        <v>1.4866999999999999</v>
      </c>
      <c r="I108" s="12">
        <f>SUM(G108+(D108*H108*0.33))</f>
        <v>42.748934534289987</v>
      </c>
      <c r="J108" s="10">
        <v>1.4866999999999999</v>
      </c>
      <c r="K108" s="12">
        <f>SUM(G108+(D108*J108*0.35))</f>
        <v>43.284931214549985</v>
      </c>
      <c r="L108" s="10">
        <v>1.4866999999999999</v>
      </c>
      <c r="M108" s="12">
        <f>SUM(G108+(D108*L108*1))</f>
        <v>60.704823322999985</v>
      </c>
      <c r="N108" s="10">
        <v>1.4866999999999999</v>
      </c>
      <c r="O108" s="12">
        <f>SUM(G108+(D108*N108*2))</f>
        <v>87.50465733599998</v>
      </c>
      <c r="P108" s="36"/>
      <c r="Q108" s="9">
        <f t="shared" si="12"/>
        <v>23.785999999999998</v>
      </c>
      <c r="R108" s="10">
        <v>1.3012999999999999</v>
      </c>
      <c r="S108" s="12">
        <f>SUM(Q108*R108)</f>
        <v>30.952721799999996</v>
      </c>
      <c r="T108" s="9">
        <f t="shared" si="13"/>
        <v>30.581999999999997</v>
      </c>
      <c r="U108" s="10">
        <v>1.3012999999999999</v>
      </c>
      <c r="V108" s="12">
        <f>SUM(T108*U108)</f>
        <v>39.796356599999996</v>
      </c>
      <c r="W108" s="9">
        <f t="shared" si="8"/>
        <v>33.979999999999997</v>
      </c>
      <c r="X108" s="10">
        <v>1.3012999999999999</v>
      </c>
      <c r="Y108" s="12">
        <f>SUM(W108*X108)</f>
        <v>44.218173999999991</v>
      </c>
    </row>
    <row r="109" spans="1:25" x14ac:dyDescent="0.25">
      <c r="Q109" s="14"/>
      <c r="R109" s="20"/>
      <c r="S109" s="14"/>
      <c r="T109" s="14"/>
      <c r="U109" s="20"/>
      <c r="V109" s="14"/>
      <c r="W109" s="14"/>
      <c r="X109" s="20"/>
      <c r="Y109" s="14"/>
    </row>
    <row r="110" spans="1:25" x14ac:dyDescent="0.25">
      <c r="A110" s="1" t="s">
        <v>70</v>
      </c>
      <c r="Q110" s="14"/>
      <c r="R110" s="20"/>
      <c r="S110" s="14"/>
      <c r="T110" s="14"/>
      <c r="U110" s="20"/>
      <c r="V110" s="14"/>
      <c r="W110" s="14"/>
      <c r="X110" s="20"/>
      <c r="Y110" s="14"/>
    </row>
    <row r="111" spans="1:25" x14ac:dyDescent="0.25">
      <c r="A111" s="2" t="s">
        <v>1</v>
      </c>
      <c r="B111" s="2" t="s">
        <v>2</v>
      </c>
      <c r="C111" s="2" t="s">
        <v>3</v>
      </c>
      <c r="D111" s="3" t="s">
        <v>4</v>
      </c>
      <c r="E111" s="4" t="s">
        <v>5</v>
      </c>
      <c r="F111" s="3" t="s">
        <v>6</v>
      </c>
      <c r="G111" s="5">
        <v>1</v>
      </c>
      <c r="H111" s="5" t="s">
        <v>7</v>
      </c>
      <c r="I111" s="6">
        <v>1.33</v>
      </c>
      <c r="J111" s="5" t="s">
        <v>7</v>
      </c>
      <c r="K111" s="6">
        <v>1.35</v>
      </c>
      <c r="L111" s="29" t="s">
        <v>8</v>
      </c>
      <c r="M111" s="31">
        <v>2</v>
      </c>
      <c r="N111" s="7" t="s">
        <v>8</v>
      </c>
      <c r="O111" s="31">
        <v>3</v>
      </c>
      <c r="P111" s="38"/>
      <c r="Q111" s="31" t="s">
        <v>9</v>
      </c>
      <c r="R111" s="27" t="s">
        <v>10</v>
      </c>
      <c r="S111" s="22">
        <v>1.4</v>
      </c>
      <c r="T111" s="31" t="s">
        <v>9</v>
      </c>
      <c r="U111" s="22" t="s">
        <v>10</v>
      </c>
      <c r="V111" s="22">
        <v>1.8</v>
      </c>
      <c r="W111" s="31" t="s">
        <v>9</v>
      </c>
      <c r="X111" s="22" t="s">
        <v>10</v>
      </c>
      <c r="Y111" s="19">
        <v>2</v>
      </c>
    </row>
    <row r="112" spans="1:25" x14ac:dyDescent="0.25">
      <c r="A112" s="8" t="s">
        <v>11</v>
      </c>
      <c r="B112" s="8" t="s">
        <v>71</v>
      </c>
      <c r="C112" s="8">
        <v>17.23</v>
      </c>
      <c r="D112" s="9">
        <f>C112*1.061</f>
        <v>18.281030000000001</v>
      </c>
      <c r="E112" s="10">
        <v>1.629</v>
      </c>
      <c r="F112" s="11">
        <v>4.54</v>
      </c>
      <c r="G112" s="12">
        <f>SUM(D112*E112)+F112</f>
        <v>34.319797870000002</v>
      </c>
      <c r="H112" s="10">
        <v>1.4866999999999999</v>
      </c>
      <c r="I112" s="12">
        <f>SUM(G112+(D112*H112*0.33))</f>
        <v>43.288672279330001</v>
      </c>
      <c r="J112" s="10">
        <v>1.4866999999999999</v>
      </c>
      <c r="K112" s="12">
        <f>SUM(G112+(D112*J112*0.35))</f>
        <v>43.832240425350001</v>
      </c>
      <c r="L112" s="30">
        <v>1.4866999999999999</v>
      </c>
      <c r="M112" s="12">
        <f>SUM(G112+(D112*L112*1))</f>
        <v>61.498205171000002</v>
      </c>
      <c r="N112" s="10">
        <v>1.4866999999999999</v>
      </c>
      <c r="O112" s="12">
        <f>SUM(G112+(D112*N112*2))</f>
        <v>88.676612472000002</v>
      </c>
      <c r="P112" s="39"/>
      <c r="Q112" s="28">
        <f t="shared" si="12"/>
        <v>24.122</v>
      </c>
      <c r="R112" s="30">
        <v>1.3012999999999999</v>
      </c>
      <c r="S112" s="12">
        <f>SUM(Q112*R112)</f>
        <v>31.389958599999996</v>
      </c>
      <c r="T112" s="28">
        <f t="shared" si="13"/>
        <v>31.014000000000003</v>
      </c>
      <c r="U112" s="30">
        <v>1.3012999999999999</v>
      </c>
      <c r="V112" s="12">
        <f>SUM(T112*U112)</f>
        <v>40.358518199999999</v>
      </c>
      <c r="W112" s="28">
        <f t="shared" si="8"/>
        <v>34.46</v>
      </c>
      <c r="X112" s="30">
        <v>1.3012999999999999</v>
      </c>
      <c r="Y112" s="12">
        <f>SUM(W112*X112)</f>
        <v>44.842797999999995</v>
      </c>
    </row>
    <row r="113" spans="1:25" x14ac:dyDescent="0.25">
      <c r="Q113" s="14"/>
      <c r="R113" s="20"/>
      <c r="S113" s="14"/>
      <c r="T113" s="14"/>
      <c r="U113" s="20"/>
      <c r="V113" s="14"/>
      <c r="W113" s="14"/>
      <c r="X113" s="20"/>
      <c r="Y113" s="14"/>
    </row>
    <row r="114" spans="1:25" x14ac:dyDescent="0.25">
      <c r="A114" s="1" t="s">
        <v>72</v>
      </c>
      <c r="Q114" s="14"/>
      <c r="R114" s="20"/>
      <c r="S114" s="14"/>
      <c r="T114" s="14"/>
      <c r="U114" s="20"/>
      <c r="V114" s="14"/>
      <c r="W114" s="14"/>
      <c r="X114" s="20"/>
      <c r="Y114" s="14"/>
    </row>
    <row r="115" spans="1:25" x14ac:dyDescent="0.25">
      <c r="A115" s="2" t="s">
        <v>1</v>
      </c>
      <c r="B115" s="2" t="s">
        <v>2</v>
      </c>
      <c r="C115" s="2" t="s">
        <v>3</v>
      </c>
      <c r="D115" s="3" t="s">
        <v>4</v>
      </c>
      <c r="E115" s="4" t="s">
        <v>5</v>
      </c>
      <c r="F115" s="3" t="s">
        <v>6</v>
      </c>
      <c r="G115" s="5">
        <v>1</v>
      </c>
      <c r="H115" s="5" t="s">
        <v>7</v>
      </c>
      <c r="I115" s="6">
        <v>1.33</v>
      </c>
      <c r="J115" s="5" t="s">
        <v>7</v>
      </c>
      <c r="K115" s="6">
        <v>1.35</v>
      </c>
      <c r="L115" s="4" t="s">
        <v>8</v>
      </c>
      <c r="M115" s="26">
        <v>2</v>
      </c>
      <c r="N115" s="7" t="s">
        <v>8</v>
      </c>
      <c r="O115" s="26">
        <v>3</v>
      </c>
      <c r="P115" s="37"/>
      <c r="Q115" s="26" t="s">
        <v>9</v>
      </c>
      <c r="R115" s="25" t="s">
        <v>10</v>
      </c>
      <c r="S115" s="19">
        <v>1.4</v>
      </c>
      <c r="T115" s="26" t="s">
        <v>9</v>
      </c>
      <c r="U115" s="19" t="s">
        <v>10</v>
      </c>
      <c r="V115" s="19">
        <v>1.8</v>
      </c>
      <c r="W115" s="26" t="s">
        <v>9</v>
      </c>
      <c r="X115" s="19" t="s">
        <v>10</v>
      </c>
      <c r="Y115" s="19">
        <v>2</v>
      </c>
    </row>
    <row r="116" spans="1:25" x14ac:dyDescent="0.25">
      <c r="A116" s="8" t="s">
        <v>11</v>
      </c>
      <c r="B116" s="8" t="s">
        <v>73</v>
      </c>
      <c r="C116" s="8">
        <v>17.47</v>
      </c>
      <c r="D116" s="9">
        <f>C116*1.061</f>
        <v>18.535669999999996</v>
      </c>
      <c r="E116" s="10">
        <v>1.629</v>
      </c>
      <c r="F116" s="11">
        <v>4.54</v>
      </c>
      <c r="G116" s="12">
        <f>SUM(D116*E116)+F116</f>
        <v>34.734606429999992</v>
      </c>
      <c r="H116" s="10">
        <v>1.4866999999999999</v>
      </c>
      <c r="I116" s="12">
        <f>SUM(G116+(D116*H116*0.33))</f>
        <v>43.828410024369987</v>
      </c>
      <c r="J116" s="10">
        <v>1.4866999999999999</v>
      </c>
      <c r="K116" s="12">
        <f>SUM(G116+(D116*J116*0.35))</f>
        <v>44.379549636149989</v>
      </c>
      <c r="L116" s="10">
        <v>1.4866999999999999</v>
      </c>
      <c r="M116" s="12">
        <f>SUM(G116+(D116*L116*1))</f>
        <v>62.291587018999984</v>
      </c>
      <c r="N116" s="10">
        <v>1.4866999999999999</v>
      </c>
      <c r="O116" s="12">
        <f>SUM(G116+(D116*N116*2))</f>
        <v>89.848567607999968</v>
      </c>
      <c r="P116" s="36"/>
      <c r="Q116" s="9">
        <f t="shared" si="12"/>
        <v>24.457999999999998</v>
      </c>
      <c r="R116" s="10">
        <v>1.3012999999999999</v>
      </c>
      <c r="S116" s="12">
        <f>SUM(Q116*R116)</f>
        <v>31.827195399999997</v>
      </c>
      <c r="T116" s="9">
        <f t="shared" si="13"/>
        <v>31.445999999999998</v>
      </c>
      <c r="U116" s="10">
        <v>1.3012999999999999</v>
      </c>
      <c r="V116" s="12">
        <f>SUM(T116*U116)</f>
        <v>40.920679799999995</v>
      </c>
      <c r="W116" s="9">
        <f t="shared" si="8"/>
        <v>34.94</v>
      </c>
      <c r="X116" s="10">
        <v>1.3012999999999999</v>
      </c>
      <c r="Y116" s="12">
        <f>SUM(W116*X116)</f>
        <v>45.467421999999992</v>
      </c>
    </row>
    <row r="117" spans="1:25" x14ac:dyDescent="0.25">
      <c r="Q117" s="14"/>
      <c r="R117" s="20"/>
      <c r="S117" s="14"/>
      <c r="T117" s="14"/>
      <c r="U117" s="20"/>
      <c r="V117" s="14"/>
      <c r="W117" s="14"/>
      <c r="X117" s="20"/>
      <c r="Y117" s="14"/>
    </row>
    <row r="118" spans="1:25" x14ac:dyDescent="0.25">
      <c r="A118" s="1" t="s">
        <v>74</v>
      </c>
      <c r="Q118" s="14"/>
      <c r="R118" s="20"/>
      <c r="S118" s="14"/>
      <c r="T118" s="14"/>
      <c r="U118" s="20"/>
      <c r="V118" s="14"/>
      <c r="W118" s="14"/>
      <c r="X118" s="20"/>
      <c r="Y118" s="14"/>
    </row>
    <row r="119" spans="1:25" x14ac:dyDescent="0.25">
      <c r="A119" s="2" t="s">
        <v>1</v>
      </c>
      <c r="B119" s="2" t="s">
        <v>2</v>
      </c>
      <c r="C119" s="2" t="s">
        <v>3</v>
      </c>
      <c r="D119" s="3" t="s">
        <v>4</v>
      </c>
      <c r="E119" s="4" t="s">
        <v>5</v>
      </c>
      <c r="F119" s="3" t="s">
        <v>6</v>
      </c>
      <c r="G119" s="5">
        <v>1</v>
      </c>
      <c r="H119" s="5" t="s">
        <v>7</v>
      </c>
      <c r="I119" s="6">
        <v>1.33</v>
      </c>
      <c r="J119" s="5" t="s">
        <v>7</v>
      </c>
      <c r="K119" s="6">
        <v>1.35</v>
      </c>
      <c r="L119" s="4" t="s">
        <v>8</v>
      </c>
      <c r="M119" s="26">
        <v>2</v>
      </c>
      <c r="N119" s="7" t="s">
        <v>8</v>
      </c>
      <c r="O119" s="26">
        <v>3</v>
      </c>
      <c r="P119" s="37"/>
      <c r="Q119" s="26" t="s">
        <v>9</v>
      </c>
      <c r="R119" s="25" t="s">
        <v>10</v>
      </c>
      <c r="S119" s="19">
        <v>1.4</v>
      </c>
      <c r="T119" s="26" t="s">
        <v>9</v>
      </c>
      <c r="U119" s="19" t="s">
        <v>10</v>
      </c>
      <c r="V119" s="19">
        <v>1.8</v>
      </c>
      <c r="W119" s="26" t="s">
        <v>9</v>
      </c>
      <c r="X119" s="19" t="s">
        <v>10</v>
      </c>
      <c r="Y119" s="19">
        <v>2</v>
      </c>
    </row>
    <row r="120" spans="1:25" x14ac:dyDescent="0.25">
      <c r="A120" s="8" t="s">
        <v>11</v>
      </c>
      <c r="B120" s="8" t="s">
        <v>75</v>
      </c>
      <c r="C120" s="8">
        <v>17.96</v>
      </c>
      <c r="D120" s="9">
        <f>C120*1.061</f>
        <v>19.05556</v>
      </c>
      <c r="E120" s="10">
        <v>1.629</v>
      </c>
      <c r="F120" s="11">
        <v>4.54</v>
      </c>
      <c r="G120" s="12">
        <f>SUM(D120*E120)+F120</f>
        <v>35.581507240000001</v>
      </c>
      <c r="H120" s="10">
        <v>1.4866999999999999</v>
      </c>
      <c r="I120" s="12">
        <f>SUM(G120+(D120*H120*0.33))</f>
        <v>44.930374587160003</v>
      </c>
      <c r="J120" s="10">
        <v>1.4866999999999999</v>
      </c>
      <c r="K120" s="12">
        <f>SUM(G120+(D120*J120*0.35))</f>
        <v>45.496972608199997</v>
      </c>
      <c r="L120" s="10">
        <v>1.4866999999999999</v>
      </c>
      <c r="M120" s="12">
        <f>SUM(G120+(D120*L120*1))</f>
        <v>63.911408291999997</v>
      </c>
      <c r="N120" s="10">
        <v>1.4866999999999999</v>
      </c>
      <c r="O120" s="12">
        <f>SUM(G120+(D120*N120*2))</f>
        <v>92.241309344000001</v>
      </c>
      <c r="P120" s="36"/>
      <c r="Q120" s="9">
        <f t="shared" si="12"/>
        <v>25.143999999999998</v>
      </c>
      <c r="R120" s="10">
        <v>1.3012999999999999</v>
      </c>
      <c r="S120" s="12">
        <f>SUM(Q120*R120)</f>
        <v>32.719887199999995</v>
      </c>
      <c r="T120" s="9">
        <f t="shared" si="13"/>
        <v>32.328000000000003</v>
      </c>
      <c r="U120" s="10">
        <v>1.3012999999999999</v>
      </c>
      <c r="V120" s="12">
        <f>SUM(T120*U120)</f>
        <v>42.0684264</v>
      </c>
      <c r="W120" s="9">
        <f t="shared" si="8"/>
        <v>35.92</v>
      </c>
      <c r="X120" s="10">
        <v>1.3012999999999999</v>
      </c>
      <c r="Y120" s="12">
        <f>SUM(W120*X120)</f>
        <v>46.742695999999995</v>
      </c>
    </row>
    <row r="121" spans="1:25" x14ac:dyDescent="0.25">
      <c r="A121" s="13"/>
      <c r="B121" s="13"/>
      <c r="C121" s="13"/>
      <c r="D121" s="43"/>
      <c r="E121" s="44"/>
      <c r="F121" s="45"/>
      <c r="G121" s="43"/>
      <c r="H121" s="44"/>
      <c r="I121" s="43"/>
      <c r="J121" s="44"/>
      <c r="K121" s="43"/>
      <c r="L121" s="44"/>
      <c r="M121" s="43"/>
      <c r="N121" s="44"/>
      <c r="O121" s="43"/>
      <c r="P121" s="45"/>
      <c r="Q121" s="43"/>
      <c r="R121" s="44"/>
      <c r="S121" s="43"/>
      <c r="T121" s="43"/>
      <c r="U121" s="44"/>
      <c r="V121" s="43"/>
      <c r="W121" s="43"/>
      <c r="X121" s="44"/>
      <c r="Y121" s="43"/>
    </row>
    <row r="122" spans="1:25" x14ac:dyDescent="0.25">
      <c r="A122" s="1" t="s">
        <v>76</v>
      </c>
      <c r="Q122" s="14"/>
      <c r="R122" s="20"/>
      <c r="S122" s="14"/>
      <c r="T122" s="14"/>
      <c r="U122" s="20"/>
      <c r="V122" s="14"/>
      <c r="W122" s="14"/>
      <c r="X122" s="20"/>
      <c r="Y122" s="14"/>
    </row>
    <row r="123" spans="1:25" x14ac:dyDescent="0.25">
      <c r="A123" s="2" t="s">
        <v>1</v>
      </c>
      <c r="B123" s="2" t="s">
        <v>2</v>
      </c>
      <c r="C123" s="2" t="s">
        <v>3</v>
      </c>
      <c r="D123" s="3" t="s">
        <v>4</v>
      </c>
      <c r="E123" s="4" t="s">
        <v>5</v>
      </c>
      <c r="F123" s="3" t="s">
        <v>6</v>
      </c>
      <c r="G123" s="5">
        <v>1</v>
      </c>
      <c r="H123" s="5" t="s">
        <v>7</v>
      </c>
      <c r="I123" s="6">
        <v>1.33</v>
      </c>
      <c r="J123" s="5" t="s">
        <v>7</v>
      </c>
      <c r="K123" s="6">
        <v>1.35</v>
      </c>
      <c r="L123" s="4" t="s">
        <v>8</v>
      </c>
      <c r="M123" s="26">
        <v>2</v>
      </c>
      <c r="N123" s="7" t="s">
        <v>8</v>
      </c>
      <c r="O123" s="26">
        <v>3</v>
      </c>
      <c r="P123" s="37"/>
      <c r="Q123" s="26" t="s">
        <v>9</v>
      </c>
      <c r="R123" s="25" t="s">
        <v>10</v>
      </c>
      <c r="S123" s="19">
        <v>1.4</v>
      </c>
      <c r="T123" s="26" t="s">
        <v>9</v>
      </c>
      <c r="U123" s="19" t="s">
        <v>10</v>
      </c>
      <c r="V123" s="19">
        <v>1.8</v>
      </c>
      <c r="W123" s="26" t="s">
        <v>9</v>
      </c>
      <c r="X123" s="19" t="s">
        <v>10</v>
      </c>
      <c r="Y123" s="19">
        <v>2</v>
      </c>
    </row>
    <row r="124" spans="1:25" x14ac:dyDescent="0.25">
      <c r="A124" s="8" t="s">
        <v>11</v>
      </c>
      <c r="B124" s="8" t="s">
        <v>77</v>
      </c>
      <c r="C124" s="8">
        <v>17.71</v>
      </c>
      <c r="D124" s="9">
        <f>C124*1.061</f>
        <v>18.790310000000002</v>
      </c>
      <c r="E124" s="10">
        <v>1.629</v>
      </c>
      <c r="F124" s="11">
        <v>4.54</v>
      </c>
      <c r="G124" s="12">
        <f>SUM(D124*E124)+F124</f>
        <v>35.149414990000004</v>
      </c>
      <c r="H124" s="10">
        <v>1.4866999999999999</v>
      </c>
      <c r="I124" s="12">
        <f>SUM(G124+(D124*H124*0.33))</f>
        <v>44.368147769410001</v>
      </c>
      <c r="J124" s="10">
        <v>1.4866999999999999</v>
      </c>
      <c r="K124" s="12">
        <f>SUM(G124+(D124*J124*0.35))</f>
        <v>44.926858846950005</v>
      </c>
      <c r="L124" s="10">
        <v>1.4866999999999999</v>
      </c>
      <c r="M124" s="12">
        <f>SUM(G124+(D124*L124*1))</f>
        <v>63.084968867000001</v>
      </c>
      <c r="N124" s="10">
        <v>1.4866999999999999</v>
      </c>
      <c r="O124" s="12">
        <f>SUM(G124+(D124*N124*2))</f>
        <v>91.020522744000004</v>
      </c>
      <c r="P124" s="36"/>
      <c r="Q124" s="9">
        <f t="shared" ref="Q124" si="14">C124*1.4</f>
        <v>24.794</v>
      </c>
      <c r="R124" s="10">
        <v>1.3012999999999999</v>
      </c>
      <c r="S124" s="12">
        <f>SUM(Q124*R124)</f>
        <v>32.264432200000002</v>
      </c>
      <c r="T124" s="9">
        <f t="shared" ref="T124" si="15">C124*1.8</f>
        <v>31.878000000000004</v>
      </c>
      <c r="U124" s="10">
        <v>1.3012999999999999</v>
      </c>
      <c r="V124" s="12">
        <f>SUM(T124*U124)</f>
        <v>41.482841399999998</v>
      </c>
      <c r="W124" s="9">
        <f t="shared" ref="W124" si="16">C124*2</f>
        <v>35.42</v>
      </c>
      <c r="X124" s="10">
        <v>1.3012999999999999</v>
      </c>
      <c r="Y124" s="12">
        <f>SUM(W124*X124)</f>
        <v>46.092045999999996</v>
      </c>
    </row>
    <row r="125" spans="1:25" x14ac:dyDescent="0.25">
      <c r="Q125" s="14"/>
      <c r="R125" s="20"/>
      <c r="S125" s="14"/>
      <c r="T125" s="14"/>
      <c r="U125" s="20"/>
      <c r="V125" s="14"/>
      <c r="W125" s="14"/>
      <c r="X125" s="20"/>
      <c r="Y125" s="14"/>
    </row>
    <row r="126" spans="1:25" x14ac:dyDescent="0.25">
      <c r="A126" s="1" t="s">
        <v>78</v>
      </c>
      <c r="Q126" s="14"/>
      <c r="R126" s="20"/>
      <c r="S126" s="14"/>
      <c r="T126" s="14"/>
      <c r="U126" s="20"/>
      <c r="V126" s="14"/>
      <c r="W126" s="14"/>
      <c r="X126" s="20"/>
      <c r="Y126" s="14"/>
    </row>
    <row r="127" spans="1:25" x14ac:dyDescent="0.25">
      <c r="A127" s="2" t="s">
        <v>1</v>
      </c>
      <c r="B127" s="2" t="s">
        <v>2</v>
      </c>
      <c r="C127" s="2" t="s">
        <v>3</v>
      </c>
      <c r="D127" s="3" t="s">
        <v>4</v>
      </c>
      <c r="E127" s="4" t="s">
        <v>5</v>
      </c>
      <c r="F127" s="3" t="s">
        <v>6</v>
      </c>
      <c r="G127" s="5">
        <v>1</v>
      </c>
      <c r="H127" s="5" t="s">
        <v>7</v>
      </c>
      <c r="I127" s="6">
        <v>1.33</v>
      </c>
      <c r="J127" s="5" t="s">
        <v>7</v>
      </c>
      <c r="K127" s="6">
        <v>1.35</v>
      </c>
      <c r="L127" s="4" t="s">
        <v>8</v>
      </c>
      <c r="M127" s="26">
        <v>2</v>
      </c>
      <c r="N127" s="7" t="s">
        <v>8</v>
      </c>
      <c r="O127" s="26">
        <v>3</v>
      </c>
      <c r="P127" s="37"/>
      <c r="Q127" s="26" t="s">
        <v>9</v>
      </c>
      <c r="R127" s="25" t="s">
        <v>10</v>
      </c>
      <c r="S127" s="19">
        <v>1.4</v>
      </c>
      <c r="T127" s="26" t="s">
        <v>9</v>
      </c>
      <c r="U127" s="19" t="s">
        <v>10</v>
      </c>
      <c r="V127" s="19">
        <v>1.8</v>
      </c>
      <c r="W127" s="26" t="s">
        <v>9</v>
      </c>
      <c r="X127" s="19" t="s">
        <v>10</v>
      </c>
      <c r="Y127" s="19">
        <v>2</v>
      </c>
    </row>
    <row r="128" spans="1:25" x14ac:dyDescent="0.25">
      <c r="A128" s="8" t="s">
        <v>11</v>
      </c>
      <c r="B128" s="8" t="s">
        <v>79</v>
      </c>
      <c r="C128" s="8">
        <v>17.91</v>
      </c>
      <c r="D128" s="9">
        <f>C128*1.061</f>
        <v>19.002510000000001</v>
      </c>
      <c r="E128" s="10">
        <v>1.629</v>
      </c>
      <c r="F128" s="11">
        <v>4.54</v>
      </c>
      <c r="G128" s="12">
        <f>SUM(D128*E128)+F128</f>
        <v>35.495088790000004</v>
      </c>
      <c r="H128" s="10">
        <v>1.4866999999999999</v>
      </c>
      <c r="I128" s="12">
        <f>SUM(G128+(D128*H128*0.33))</f>
        <v>44.817929223610008</v>
      </c>
      <c r="J128" s="10">
        <v>1.4866999999999999</v>
      </c>
      <c r="K128" s="12">
        <f>SUM(G128+(D128*J128*0.35))</f>
        <v>45.382949855950002</v>
      </c>
      <c r="L128" s="10">
        <v>1.4866999999999999</v>
      </c>
      <c r="M128" s="12">
        <f>SUM(G128+(D128*L128*1))</f>
        <v>63.746120407000006</v>
      </c>
      <c r="N128" s="10">
        <v>1.5694999999999999</v>
      </c>
      <c r="O128" s="12">
        <f>SUM(G128+(D128*N128*2))</f>
        <v>95.143967680000003</v>
      </c>
      <c r="P128" s="36"/>
      <c r="Q128" s="9">
        <f t="shared" si="12"/>
        <v>25.073999999999998</v>
      </c>
      <c r="R128" s="10">
        <v>1.3012999999999999</v>
      </c>
      <c r="S128" s="12">
        <f>SUM(Q128*R128)</f>
        <v>32.628796199999996</v>
      </c>
      <c r="T128" s="9">
        <f t="shared" si="13"/>
        <v>32.238</v>
      </c>
      <c r="U128" s="10">
        <v>1.3012999999999999</v>
      </c>
      <c r="V128" s="12">
        <f>SUM(T128*U128)</f>
        <v>41.9513094</v>
      </c>
      <c r="W128" s="9">
        <f t="shared" si="8"/>
        <v>35.82</v>
      </c>
      <c r="X128" s="10">
        <v>1.3012999999999999</v>
      </c>
      <c r="Y128" s="12">
        <f>SUM(W128*X128)</f>
        <v>46.612565999999994</v>
      </c>
    </row>
    <row r="129" spans="1:25" x14ac:dyDescent="0.25">
      <c r="A129" s="8" t="s">
        <v>11</v>
      </c>
      <c r="B129" s="8" t="s">
        <v>80</v>
      </c>
      <c r="C129" s="8">
        <v>17.91</v>
      </c>
      <c r="D129" s="9">
        <f>C129*1.061</f>
        <v>19.002510000000001</v>
      </c>
      <c r="E129" s="33">
        <v>1.6914</v>
      </c>
      <c r="F129" s="11">
        <v>4.54</v>
      </c>
      <c r="G129" s="12">
        <f>SUM(D129*E129)+F129</f>
        <v>36.680845414000004</v>
      </c>
      <c r="H129" s="33">
        <v>1.5415000000000001</v>
      </c>
      <c r="I129" s="12">
        <f>SUM(G129+(D129*H129*0.33))</f>
        <v>46.347327238450006</v>
      </c>
      <c r="J129" s="33">
        <v>1.5415000000000001</v>
      </c>
      <c r="K129" s="12">
        <f>SUM(G129+(D129*J129*0.35))</f>
        <v>46.933174621750005</v>
      </c>
      <c r="L129" s="33">
        <v>1.5415000000000001</v>
      </c>
      <c r="M129" s="12">
        <f>SUM(G129+(D129*L129*1))</f>
        <v>65.973214579</v>
      </c>
      <c r="N129" s="10">
        <v>1.4866999999999999</v>
      </c>
      <c r="O129" s="12">
        <f>SUM(G129+(D129*N129*2))</f>
        <v>93.182908647999994</v>
      </c>
      <c r="P129" s="36"/>
      <c r="Q129" s="41">
        <f t="shared" si="12"/>
        <v>25.073999999999998</v>
      </c>
      <c r="R129" s="42">
        <v>1.3439000000000001</v>
      </c>
      <c r="S129" s="12">
        <f>SUM(Q129*R129)</f>
        <v>33.696948599999999</v>
      </c>
      <c r="T129" s="41">
        <f t="shared" ref="T129" si="17">C129*1.8</f>
        <v>32.238</v>
      </c>
      <c r="U129" s="42">
        <v>1.3439000000000001</v>
      </c>
      <c r="V129" s="12">
        <f>SUM(T129*U129)</f>
        <v>43.324648200000006</v>
      </c>
      <c r="W129" s="41">
        <f t="shared" ref="W129" si="18">C129*2</f>
        <v>35.82</v>
      </c>
      <c r="X129" s="42">
        <v>1.3439000000000001</v>
      </c>
      <c r="Y129" s="12">
        <f>SUM(W129*X129)</f>
        <v>48.138498000000006</v>
      </c>
    </row>
    <row r="130" spans="1:25" x14ac:dyDescent="0.25">
      <c r="A130" s="8" t="s">
        <v>11</v>
      </c>
      <c r="B130" s="8" t="s">
        <v>81</v>
      </c>
      <c r="C130" s="8">
        <v>17.91</v>
      </c>
      <c r="D130" s="9">
        <f>C130*1.061</f>
        <v>19.002510000000001</v>
      </c>
      <c r="E130" s="33">
        <v>1.6914</v>
      </c>
      <c r="F130" s="11">
        <v>4.54</v>
      </c>
      <c r="G130" s="12">
        <f>SUM(D130*E130)+F130</f>
        <v>36.680845414000004</v>
      </c>
      <c r="H130" s="33">
        <v>1.5415000000000001</v>
      </c>
      <c r="I130" s="12">
        <f>SUM(G130+(D130*H130*0.33))</f>
        <v>46.347327238450006</v>
      </c>
      <c r="J130" s="33">
        <v>1.5415000000000001</v>
      </c>
      <c r="K130" s="12">
        <f>SUM(G130+(D130*J130*0.35))</f>
        <v>46.933174621750005</v>
      </c>
      <c r="L130" s="33">
        <v>1.5415000000000001</v>
      </c>
      <c r="M130" s="12">
        <f>SUM(G130+(D130*L130*1))</f>
        <v>65.973214579</v>
      </c>
      <c r="N130" s="10">
        <v>1.4866999999999999</v>
      </c>
      <c r="O130" s="12">
        <f>SUM(G130+(D130*N130*2))</f>
        <v>93.182908647999994</v>
      </c>
      <c r="P130" s="36"/>
      <c r="Q130" s="41">
        <f t="shared" ref="Q130" si="19">C130*1.4</f>
        <v>25.073999999999998</v>
      </c>
      <c r="R130" s="42">
        <v>1.3439000000000001</v>
      </c>
      <c r="S130" s="12">
        <f>SUM(Q130*R130)</f>
        <v>33.696948599999999</v>
      </c>
      <c r="T130" s="41">
        <f t="shared" ref="T130" si="20">C130*1.8</f>
        <v>32.238</v>
      </c>
      <c r="U130" s="42">
        <v>1.3439000000000001</v>
      </c>
      <c r="V130" s="12">
        <f>SUM(T130*U130)</f>
        <v>43.324648200000006</v>
      </c>
      <c r="W130" s="41">
        <f t="shared" ref="W130" si="21">C130*2</f>
        <v>35.82</v>
      </c>
      <c r="X130" s="42">
        <v>1.3439000000000001</v>
      </c>
      <c r="Y130" s="12">
        <f>SUM(W130*X130)</f>
        <v>48.138498000000006</v>
      </c>
    </row>
    <row r="131" spans="1:25" x14ac:dyDescent="0.25">
      <c r="A131" s="13"/>
      <c r="B131" s="13"/>
      <c r="C131" s="13"/>
      <c r="D131" s="14"/>
      <c r="Q131" s="14"/>
      <c r="R131" s="20"/>
      <c r="S131" s="14"/>
      <c r="T131" s="14"/>
      <c r="U131" s="20"/>
      <c r="V131" s="14"/>
      <c r="W131" s="14"/>
      <c r="X131" s="20"/>
      <c r="Y131" s="14"/>
    </row>
    <row r="132" spans="1:25" x14ac:dyDescent="0.25">
      <c r="A132" s="1" t="s">
        <v>82</v>
      </c>
      <c r="Q132" s="14"/>
      <c r="R132" s="20"/>
      <c r="S132" s="14"/>
      <c r="T132" s="14"/>
      <c r="U132" s="20"/>
      <c r="V132" s="14"/>
      <c r="W132" s="14"/>
      <c r="X132" s="20"/>
      <c r="Y132" s="14"/>
    </row>
    <row r="133" spans="1:25" x14ac:dyDescent="0.25">
      <c r="A133" s="2" t="s">
        <v>1</v>
      </c>
      <c r="B133" s="2" t="s">
        <v>2</v>
      </c>
      <c r="C133" s="2" t="s">
        <v>3</v>
      </c>
      <c r="D133" s="3" t="s">
        <v>4</v>
      </c>
      <c r="E133" s="4" t="s">
        <v>5</v>
      </c>
      <c r="F133" s="3" t="s">
        <v>6</v>
      </c>
      <c r="G133" s="5">
        <v>1</v>
      </c>
      <c r="H133" s="5" t="s">
        <v>7</v>
      </c>
      <c r="I133" s="6">
        <v>1.33</v>
      </c>
      <c r="J133" s="5" t="s">
        <v>7</v>
      </c>
      <c r="K133" s="6">
        <v>1.35</v>
      </c>
      <c r="L133" s="4" t="s">
        <v>8</v>
      </c>
      <c r="M133" s="26">
        <v>2</v>
      </c>
      <c r="N133" s="7" t="s">
        <v>8</v>
      </c>
      <c r="O133" s="26">
        <v>3</v>
      </c>
      <c r="P133" s="37"/>
      <c r="Q133" s="26" t="s">
        <v>9</v>
      </c>
      <c r="R133" s="25" t="s">
        <v>10</v>
      </c>
      <c r="S133" s="19">
        <v>1.4</v>
      </c>
      <c r="T133" s="26" t="s">
        <v>9</v>
      </c>
      <c r="U133" s="19" t="s">
        <v>10</v>
      </c>
      <c r="V133" s="19">
        <v>1.8</v>
      </c>
      <c r="W133" s="26" t="s">
        <v>9</v>
      </c>
      <c r="X133" s="19" t="s">
        <v>10</v>
      </c>
      <c r="Y133" s="19">
        <v>2</v>
      </c>
    </row>
    <row r="134" spans="1:25" x14ac:dyDescent="0.25">
      <c r="A134" s="8" t="s">
        <v>11</v>
      </c>
      <c r="B134" s="8" t="s">
        <v>83</v>
      </c>
      <c r="C134" s="8">
        <v>18.170000000000002</v>
      </c>
      <c r="D134" s="9">
        <f>C134*1.061</f>
        <v>19.278370000000002</v>
      </c>
      <c r="E134" s="10">
        <v>1.629</v>
      </c>
      <c r="F134" s="11">
        <v>4.54</v>
      </c>
      <c r="G134" s="12">
        <f>SUM(D134*E134)+F134</f>
        <v>35.944464730000007</v>
      </c>
      <c r="H134" s="10">
        <v>1.4866999999999999</v>
      </c>
      <c r="I134" s="12">
        <f>SUM(G134+(D134*H134*0.33))</f>
        <v>45.402645114070012</v>
      </c>
      <c r="J134" s="10">
        <v>1.4866999999999999</v>
      </c>
      <c r="K134" s="12">
        <f>SUM(G134+(D134*J134*0.35))</f>
        <v>45.975868167650006</v>
      </c>
      <c r="L134" s="10">
        <v>1.4866999999999999</v>
      </c>
      <c r="M134" s="12">
        <f>SUM(G134+(D134*L134*1))</f>
        <v>64.605617409000004</v>
      </c>
      <c r="N134" s="10">
        <v>1.4866999999999999</v>
      </c>
      <c r="O134" s="12">
        <f>SUM(G134+(D134*N134*2))</f>
        <v>93.266770088000015</v>
      </c>
      <c r="P134" s="36"/>
      <c r="Q134" s="9">
        <f t="shared" ref="Q134:Q135" si="22">C134*1.4</f>
        <v>25.438000000000002</v>
      </c>
      <c r="R134" s="10">
        <v>1.3012999999999999</v>
      </c>
      <c r="S134" s="12">
        <f>SUM(Q134*R134)</f>
        <v>33.102469400000004</v>
      </c>
      <c r="T134" s="9">
        <f t="shared" ref="T134:T135" si="23">C134*1.8</f>
        <v>32.706000000000003</v>
      </c>
      <c r="U134" s="10">
        <v>1.3012999999999999</v>
      </c>
      <c r="V134" s="12">
        <f>SUM(T134*U134)</f>
        <v>42.5603178</v>
      </c>
      <c r="W134" s="9">
        <f t="shared" ref="W134:W135" si="24">C134*2</f>
        <v>36.340000000000003</v>
      </c>
      <c r="X134" s="10">
        <v>1.3012999999999999</v>
      </c>
      <c r="Y134" s="12">
        <f>SUM(W134*X134)</f>
        <v>47.289242000000002</v>
      </c>
    </row>
    <row r="135" spans="1:25" x14ac:dyDescent="0.25">
      <c r="A135" s="8" t="s">
        <v>11</v>
      </c>
      <c r="B135" s="8" t="s">
        <v>84</v>
      </c>
      <c r="C135" s="8">
        <v>18.170000000000002</v>
      </c>
      <c r="D135" s="9">
        <f>C135*1.061</f>
        <v>19.278370000000002</v>
      </c>
      <c r="E135" s="33">
        <v>1.6914</v>
      </c>
      <c r="F135" s="11">
        <v>4.54</v>
      </c>
      <c r="G135" s="12">
        <f>SUM(D135*E135)+F135</f>
        <v>37.147435018000003</v>
      </c>
      <c r="H135" s="33">
        <v>1.5415000000000001</v>
      </c>
      <c r="I135" s="12">
        <f>SUM(G135+(D135*H135*0.33))</f>
        <v>46.954245445150008</v>
      </c>
      <c r="J135" s="33">
        <v>1.5415000000000001</v>
      </c>
      <c r="K135" s="12">
        <f>SUM(G135+(D135*J135*0.35))</f>
        <v>47.548597592250005</v>
      </c>
      <c r="L135" s="33">
        <v>1.5415000000000001</v>
      </c>
      <c r="M135" s="12">
        <f>SUM(G135+(D135*L135*1))</f>
        <v>66.865042373000009</v>
      </c>
      <c r="N135" s="10">
        <v>1.4866999999999999</v>
      </c>
      <c r="O135" s="12">
        <f>SUM(G135+(D135*N135*2))</f>
        <v>94.469740376000004</v>
      </c>
      <c r="P135" s="36"/>
      <c r="Q135" s="41">
        <f t="shared" si="22"/>
        <v>25.438000000000002</v>
      </c>
      <c r="R135" s="42">
        <v>1.3439000000000001</v>
      </c>
      <c r="S135" s="12">
        <f>SUM(Q135*R135)</f>
        <v>34.186128200000006</v>
      </c>
      <c r="T135" s="41">
        <f t="shared" si="23"/>
        <v>32.706000000000003</v>
      </c>
      <c r="U135" s="42">
        <v>1.3439000000000001</v>
      </c>
      <c r="V135" s="12">
        <f>SUM(T135*U135)</f>
        <v>43.95359340000001</v>
      </c>
      <c r="W135" s="41">
        <f t="shared" si="24"/>
        <v>36.340000000000003</v>
      </c>
      <c r="X135" s="42">
        <v>1.3439000000000001</v>
      </c>
      <c r="Y135" s="12">
        <f>SUM(W135*X135)</f>
        <v>48.837326000000012</v>
      </c>
    </row>
    <row r="136" spans="1:25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40"/>
      <c r="Q136" s="14"/>
      <c r="R136" s="18"/>
      <c r="S136" s="14"/>
      <c r="T136" s="14"/>
      <c r="U136" s="24"/>
      <c r="V136" s="14"/>
      <c r="W136" s="14"/>
      <c r="X136" s="24"/>
      <c r="Y136" s="14"/>
    </row>
    <row r="137" spans="1:25" x14ac:dyDescent="0.25">
      <c r="A137" s="1" t="s">
        <v>85</v>
      </c>
      <c r="Q137" s="14"/>
      <c r="R137" s="20"/>
      <c r="S137" s="14"/>
      <c r="T137" s="14"/>
      <c r="U137" s="20"/>
      <c r="V137" s="14"/>
      <c r="W137" s="14"/>
      <c r="X137" s="20"/>
      <c r="Y137" s="14"/>
    </row>
    <row r="138" spans="1:25" x14ac:dyDescent="0.25">
      <c r="A138" s="2" t="s">
        <v>1</v>
      </c>
      <c r="B138" s="2" t="s">
        <v>2</v>
      </c>
      <c r="C138" s="2" t="s">
        <v>3</v>
      </c>
      <c r="D138" s="3" t="s">
        <v>4</v>
      </c>
      <c r="E138" s="4" t="s">
        <v>5</v>
      </c>
      <c r="F138" s="3" t="s">
        <v>6</v>
      </c>
      <c r="G138" s="5">
        <v>1</v>
      </c>
      <c r="H138" s="5" t="s">
        <v>7</v>
      </c>
      <c r="I138" s="6">
        <v>1.33</v>
      </c>
      <c r="J138" s="5" t="s">
        <v>7</v>
      </c>
      <c r="K138" s="6">
        <v>1.35</v>
      </c>
      <c r="L138" s="4" t="s">
        <v>8</v>
      </c>
      <c r="M138" s="26">
        <v>2</v>
      </c>
      <c r="N138" s="7" t="s">
        <v>8</v>
      </c>
      <c r="O138" s="26">
        <v>3</v>
      </c>
      <c r="P138" s="37"/>
      <c r="Q138" s="26" t="s">
        <v>9</v>
      </c>
      <c r="R138" s="25" t="s">
        <v>10</v>
      </c>
      <c r="S138" s="19">
        <v>1.4</v>
      </c>
      <c r="T138" s="26" t="s">
        <v>9</v>
      </c>
      <c r="U138" s="19" t="s">
        <v>10</v>
      </c>
      <c r="V138" s="19">
        <v>1.8</v>
      </c>
      <c r="W138" s="26" t="s">
        <v>9</v>
      </c>
      <c r="X138" s="19" t="s">
        <v>10</v>
      </c>
      <c r="Y138" s="19">
        <v>2</v>
      </c>
    </row>
    <row r="139" spans="1:25" x14ac:dyDescent="0.25">
      <c r="A139" s="8" t="s">
        <v>11</v>
      </c>
      <c r="B139" s="8" t="s">
        <v>86</v>
      </c>
      <c r="C139" s="8">
        <v>18.43</v>
      </c>
      <c r="D139" s="9">
        <f>C139*1.061</f>
        <v>19.554229999999997</v>
      </c>
      <c r="E139" s="10">
        <v>1.629</v>
      </c>
      <c r="F139" s="11">
        <v>4.54</v>
      </c>
      <c r="G139" s="12">
        <f>SUM(D139*E139)+F139</f>
        <v>36.393840669999996</v>
      </c>
      <c r="H139" s="10">
        <v>1.4866999999999999</v>
      </c>
      <c r="I139" s="12">
        <f>SUM(G139+(D139*H139*0.33))</f>
        <v>45.987361004529994</v>
      </c>
      <c r="J139" s="10">
        <v>1.4866999999999999</v>
      </c>
      <c r="K139" s="12">
        <f>SUM(G139+(D139*J139*0.35))</f>
        <v>46.568786479349995</v>
      </c>
      <c r="L139" s="10">
        <v>1.4866999999999999</v>
      </c>
      <c r="M139" s="12">
        <f>SUM(G139+(D139*L139*1))</f>
        <v>65.465114410999988</v>
      </c>
      <c r="N139" s="10">
        <v>1.4866999999999999</v>
      </c>
      <c r="O139" s="12">
        <f>SUM(G139+(D139*N139*2))</f>
        <v>94.536388151999986</v>
      </c>
      <c r="P139" s="36"/>
      <c r="Q139" s="9">
        <f t="shared" ref="Q139" si="25">C139*1.4</f>
        <v>25.802</v>
      </c>
      <c r="R139" s="10">
        <v>1.3012999999999999</v>
      </c>
      <c r="S139" s="12">
        <f>SUM(Q139*R139)</f>
        <v>33.576142599999997</v>
      </c>
      <c r="T139" s="9">
        <f t="shared" ref="T139" si="26">C139*1.8</f>
        <v>33.173999999999999</v>
      </c>
      <c r="U139" s="10">
        <v>1.3012999999999999</v>
      </c>
      <c r="V139" s="12">
        <f>SUM(T139*U139)</f>
        <v>43.169326199999993</v>
      </c>
      <c r="W139" s="9">
        <f t="shared" ref="W139" si="27">C139*2</f>
        <v>36.86</v>
      </c>
      <c r="X139" s="10">
        <v>1.3012999999999999</v>
      </c>
      <c r="Y139" s="12">
        <f>SUM(W139*X139)</f>
        <v>47.965917999999995</v>
      </c>
    </row>
    <row r="140" spans="1:25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40"/>
      <c r="Q140" s="14"/>
      <c r="R140" s="18"/>
      <c r="S140" s="14"/>
      <c r="T140" s="14"/>
      <c r="U140" s="24"/>
      <c r="V140" s="14"/>
      <c r="W140" s="14"/>
      <c r="X140" s="24"/>
      <c r="Y140" s="14"/>
    </row>
    <row r="141" spans="1:25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40"/>
      <c r="Q141" s="14"/>
      <c r="R141" s="18"/>
      <c r="S141" s="14"/>
      <c r="T141" s="14"/>
      <c r="U141" s="24"/>
      <c r="V141" s="14"/>
      <c r="W141" s="14"/>
      <c r="X141" s="24"/>
      <c r="Y141" s="14"/>
    </row>
    <row r="142" spans="1:25" x14ac:dyDescent="0.25">
      <c r="A142" s="1" t="s">
        <v>87</v>
      </c>
      <c r="Q142" s="14"/>
      <c r="S142" s="14"/>
      <c r="T142" s="14"/>
      <c r="U142" s="20"/>
      <c r="V142" s="14"/>
      <c r="W142" s="14"/>
      <c r="X142" s="20"/>
      <c r="Y142" s="14"/>
    </row>
    <row r="143" spans="1:25" x14ac:dyDescent="0.25">
      <c r="A143" s="2" t="s">
        <v>1</v>
      </c>
      <c r="B143" s="2" t="s">
        <v>2</v>
      </c>
      <c r="C143" s="2" t="s">
        <v>3</v>
      </c>
      <c r="D143" s="3" t="s">
        <v>4</v>
      </c>
      <c r="E143" s="4" t="s">
        <v>5</v>
      </c>
      <c r="F143" s="3" t="s">
        <v>6</v>
      </c>
      <c r="G143" s="5">
        <v>1</v>
      </c>
      <c r="H143" s="5" t="s">
        <v>7</v>
      </c>
      <c r="I143" s="6">
        <v>1.33</v>
      </c>
      <c r="J143" s="5" t="s">
        <v>7</v>
      </c>
      <c r="K143" s="6">
        <v>1.35</v>
      </c>
      <c r="L143" s="25" t="s">
        <v>8</v>
      </c>
      <c r="M143" s="26">
        <v>2</v>
      </c>
      <c r="N143" s="7" t="s">
        <v>8</v>
      </c>
      <c r="O143" s="26">
        <v>3</v>
      </c>
      <c r="P143" s="37"/>
      <c r="Q143" s="26" t="s">
        <v>9</v>
      </c>
      <c r="R143" s="25" t="s">
        <v>10</v>
      </c>
      <c r="S143" s="22">
        <v>1.4</v>
      </c>
      <c r="T143" s="26" t="s">
        <v>9</v>
      </c>
      <c r="U143" s="22" t="s">
        <v>10</v>
      </c>
      <c r="V143" s="19">
        <v>1.8</v>
      </c>
      <c r="W143" s="26" t="s">
        <v>9</v>
      </c>
      <c r="X143" s="19" t="s">
        <v>10</v>
      </c>
      <c r="Y143" s="19">
        <v>2</v>
      </c>
    </row>
    <row r="144" spans="1:25" x14ac:dyDescent="0.25">
      <c r="A144" s="8" t="s">
        <v>11</v>
      </c>
      <c r="B144" s="8" t="s">
        <v>88</v>
      </c>
      <c r="C144" s="8">
        <v>18.46</v>
      </c>
      <c r="D144" s="9">
        <f>C144*1.061</f>
        <v>19.58606</v>
      </c>
      <c r="E144" s="10">
        <v>1.629</v>
      </c>
      <c r="F144" s="11">
        <v>4.54</v>
      </c>
      <c r="G144" s="12">
        <f>SUM(D144*E144)+F144</f>
        <v>36.445691740000001</v>
      </c>
      <c r="H144" s="10">
        <v>1.4866999999999999</v>
      </c>
      <c r="I144" s="12">
        <f>SUM(G144+(D144*H144*0.33))</f>
        <v>46.054828222659999</v>
      </c>
      <c r="J144" s="10">
        <v>1.4866999999999999</v>
      </c>
      <c r="K144" s="12">
        <f>SUM(G144+(D144*J144*0.35))</f>
        <v>46.637200130699995</v>
      </c>
      <c r="L144" s="10">
        <v>1.4866999999999999</v>
      </c>
      <c r="M144" s="12">
        <f>SUM(G144+(D144*L144*1))</f>
        <v>65.564287141999998</v>
      </c>
      <c r="N144" s="10">
        <v>1.4866999999999999</v>
      </c>
      <c r="O144" s="12">
        <f>SUM(G144+(D144*N144*2))</f>
        <v>94.682882543999995</v>
      </c>
      <c r="P144" s="36"/>
      <c r="Q144" s="9">
        <f t="shared" si="12"/>
        <v>25.844000000000001</v>
      </c>
      <c r="R144" s="21">
        <v>1.3012999999999999</v>
      </c>
      <c r="S144" s="12">
        <f>SUM(Q144*R144)</f>
        <v>33.630797199999996</v>
      </c>
      <c r="T144" s="9">
        <f t="shared" si="13"/>
        <v>33.228000000000002</v>
      </c>
      <c r="U144" s="23">
        <v>1.3012999999999999</v>
      </c>
      <c r="V144" s="12">
        <f>SUM(T144*U144)</f>
        <v>43.239596399999996</v>
      </c>
      <c r="W144" s="9">
        <f t="shared" si="8"/>
        <v>36.92</v>
      </c>
      <c r="X144" s="10">
        <v>1.3012999999999999</v>
      </c>
      <c r="Y144" s="12">
        <f>SUM(W144*X144)</f>
        <v>48.043996</v>
      </c>
    </row>
    <row r="145" spans="1:25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40"/>
      <c r="Q145" s="14"/>
      <c r="R145" s="18"/>
      <c r="S145" s="14"/>
      <c r="T145" s="14"/>
      <c r="U145" s="24"/>
      <c r="V145" s="14"/>
      <c r="W145" s="14"/>
      <c r="X145" s="24"/>
      <c r="Y145" s="14"/>
    </row>
    <row r="146" spans="1:25" x14ac:dyDescent="0.25">
      <c r="A146" s="1" t="s">
        <v>89</v>
      </c>
      <c r="Q146" s="14"/>
      <c r="S146" s="14"/>
      <c r="T146" s="14"/>
      <c r="U146" s="20"/>
      <c r="V146" s="14"/>
      <c r="W146" s="14"/>
      <c r="X146" s="20"/>
      <c r="Y146" s="14"/>
    </row>
    <row r="147" spans="1:25" x14ac:dyDescent="0.25">
      <c r="A147" s="2" t="s">
        <v>1</v>
      </c>
      <c r="B147" s="2" t="s">
        <v>2</v>
      </c>
      <c r="C147" s="2" t="s">
        <v>3</v>
      </c>
      <c r="D147" s="3" t="s">
        <v>4</v>
      </c>
      <c r="E147" s="4" t="s">
        <v>5</v>
      </c>
      <c r="F147" s="3" t="s">
        <v>6</v>
      </c>
      <c r="G147" s="5">
        <v>1</v>
      </c>
      <c r="H147" s="5" t="s">
        <v>7</v>
      </c>
      <c r="I147" s="6">
        <v>1.33</v>
      </c>
      <c r="J147" s="5" t="s">
        <v>7</v>
      </c>
      <c r="K147" s="6">
        <v>1.35</v>
      </c>
      <c r="L147" s="4" t="s">
        <v>8</v>
      </c>
      <c r="M147" s="26">
        <v>2</v>
      </c>
      <c r="N147" s="7" t="s">
        <v>8</v>
      </c>
      <c r="O147" s="26">
        <v>3</v>
      </c>
      <c r="P147" s="37"/>
      <c r="Q147" s="26" t="s">
        <v>9</v>
      </c>
      <c r="R147" s="25" t="s">
        <v>10</v>
      </c>
      <c r="S147" s="22">
        <v>1.4</v>
      </c>
      <c r="T147" s="26" t="s">
        <v>9</v>
      </c>
      <c r="U147" s="22" t="s">
        <v>10</v>
      </c>
      <c r="V147" s="19">
        <v>1.8</v>
      </c>
      <c r="W147" s="26" t="s">
        <v>9</v>
      </c>
      <c r="X147" s="19" t="s">
        <v>10</v>
      </c>
      <c r="Y147" s="19">
        <v>2</v>
      </c>
    </row>
    <row r="148" spans="1:25" x14ac:dyDescent="0.25">
      <c r="A148" s="8" t="s">
        <v>11</v>
      </c>
      <c r="B148" s="8" t="s">
        <v>90</v>
      </c>
      <c r="C148" s="8">
        <v>18.75</v>
      </c>
      <c r="D148" s="9">
        <f>C148*1.061</f>
        <v>19.893749999999997</v>
      </c>
      <c r="E148" s="10">
        <v>1.629</v>
      </c>
      <c r="F148" s="11">
        <v>4.54</v>
      </c>
      <c r="G148" s="12">
        <f>SUM(D148*E148)+F148</f>
        <v>36.946918749999995</v>
      </c>
      <c r="H148" s="10">
        <v>1.4866999999999999</v>
      </c>
      <c r="I148" s="12">
        <f>SUM(G148+(D148*H148*0.33))</f>
        <v>46.707011331249994</v>
      </c>
      <c r="J148" s="10">
        <v>1.4866999999999999</v>
      </c>
      <c r="K148" s="12">
        <f>SUM(G148+(D148*J148*0.35))</f>
        <v>47.298532093749991</v>
      </c>
      <c r="L148" s="10">
        <v>1.4866999999999999</v>
      </c>
      <c r="M148" s="12">
        <f>SUM(G148+(D148*L148*1))</f>
        <v>66.522956874999991</v>
      </c>
      <c r="N148" s="10">
        <v>1.4866999999999999</v>
      </c>
      <c r="O148" s="12">
        <f>SUM(G148+(D148*N148*2))</f>
        <v>96.098994999999974</v>
      </c>
      <c r="P148" s="36"/>
      <c r="Q148" s="9">
        <f t="shared" si="12"/>
        <v>26.25</v>
      </c>
      <c r="R148" s="21">
        <v>1.3012999999999999</v>
      </c>
      <c r="S148" s="12">
        <f>SUM(Q148*R148)</f>
        <v>34.159124999999996</v>
      </c>
      <c r="T148" s="9">
        <f t="shared" si="13"/>
        <v>33.75</v>
      </c>
      <c r="U148" s="23">
        <v>1.3012999999999999</v>
      </c>
      <c r="V148" s="12">
        <f>SUM(T148*U148)</f>
        <v>43.918875</v>
      </c>
      <c r="W148" s="9">
        <f t="shared" si="8"/>
        <v>37.5</v>
      </c>
      <c r="X148" s="10">
        <v>1.3012999999999999</v>
      </c>
      <c r="Y148" s="12">
        <f>SUM(W148*X148)</f>
        <v>48.798749999999998</v>
      </c>
    </row>
    <row r="149" spans="1:25" x14ac:dyDescent="0.25">
      <c r="A149" s="13"/>
      <c r="B149" s="13"/>
      <c r="C149" s="13"/>
      <c r="D149" s="43"/>
      <c r="E149" s="44"/>
      <c r="F149" s="45"/>
      <c r="G149" s="43"/>
      <c r="H149" s="44"/>
      <c r="I149" s="43"/>
      <c r="J149" s="44"/>
      <c r="K149" s="43"/>
      <c r="L149" s="44"/>
      <c r="M149" s="43"/>
      <c r="N149" s="44"/>
      <c r="O149" s="43"/>
      <c r="P149" s="45"/>
      <c r="Q149" s="43"/>
      <c r="R149" s="44"/>
      <c r="S149" s="43"/>
      <c r="T149" s="43"/>
      <c r="U149" s="44"/>
      <c r="V149" s="43"/>
      <c r="W149" s="43"/>
      <c r="X149" s="44"/>
      <c r="Y149" s="43"/>
    </row>
    <row r="150" spans="1:25" x14ac:dyDescent="0.25">
      <c r="A150" s="1" t="s">
        <v>91</v>
      </c>
      <c r="Q150" s="14"/>
      <c r="S150" s="14"/>
      <c r="T150" s="14"/>
      <c r="U150" s="20"/>
      <c r="V150" s="14"/>
      <c r="W150" s="14"/>
      <c r="X150" s="20"/>
      <c r="Y150" s="14"/>
    </row>
    <row r="151" spans="1:25" x14ac:dyDescent="0.25">
      <c r="A151" s="2" t="s">
        <v>1</v>
      </c>
      <c r="B151" s="2" t="s">
        <v>2</v>
      </c>
      <c r="C151" s="2" t="s">
        <v>3</v>
      </c>
      <c r="D151" s="3" t="s">
        <v>4</v>
      </c>
      <c r="E151" s="4" t="s">
        <v>5</v>
      </c>
      <c r="F151" s="3" t="s">
        <v>6</v>
      </c>
      <c r="G151" s="5">
        <v>1</v>
      </c>
      <c r="H151" s="5" t="s">
        <v>7</v>
      </c>
      <c r="I151" s="6">
        <v>1.33</v>
      </c>
      <c r="J151" s="5" t="s">
        <v>7</v>
      </c>
      <c r="K151" s="6">
        <v>1.35</v>
      </c>
      <c r="L151" s="4" t="s">
        <v>8</v>
      </c>
      <c r="M151" s="26">
        <v>2</v>
      </c>
      <c r="N151" s="7" t="s">
        <v>8</v>
      </c>
      <c r="O151" s="26">
        <v>3</v>
      </c>
      <c r="P151" s="37"/>
      <c r="Q151" s="26" t="s">
        <v>9</v>
      </c>
      <c r="R151" s="25" t="s">
        <v>10</v>
      </c>
      <c r="S151" s="22">
        <v>1.4</v>
      </c>
      <c r="T151" s="26" t="s">
        <v>9</v>
      </c>
      <c r="U151" s="22" t="s">
        <v>10</v>
      </c>
      <c r="V151" s="19">
        <v>1.8</v>
      </c>
      <c r="W151" s="26" t="s">
        <v>9</v>
      </c>
      <c r="X151" s="19" t="s">
        <v>10</v>
      </c>
      <c r="Y151" s="19">
        <v>2</v>
      </c>
    </row>
    <row r="152" spans="1:25" x14ac:dyDescent="0.25">
      <c r="A152" s="8" t="s">
        <v>11</v>
      </c>
      <c r="B152" s="8" t="s">
        <v>92</v>
      </c>
      <c r="C152" s="8">
        <v>19.04</v>
      </c>
      <c r="D152" s="9">
        <f>C152*1.061</f>
        <v>20.201439999999998</v>
      </c>
      <c r="E152" s="10">
        <v>1.629</v>
      </c>
      <c r="F152" s="11">
        <v>4.54</v>
      </c>
      <c r="G152" s="12">
        <f>SUM(D152*E152)+F152</f>
        <v>37.448145759999996</v>
      </c>
      <c r="H152" s="10">
        <v>1.4866999999999999</v>
      </c>
      <c r="I152" s="12">
        <f>SUM(G152+(D152*H152*0.33))</f>
        <v>47.359194439839996</v>
      </c>
      <c r="J152" s="10">
        <v>1.4866999999999999</v>
      </c>
      <c r="K152" s="12">
        <f>SUM(G152+(D152*J152*0.35))</f>
        <v>47.959864056799994</v>
      </c>
      <c r="L152" s="10">
        <v>1.4866999999999999</v>
      </c>
      <c r="M152" s="12">
        <f>SUM(G152+(D152*L152*1))</f>
        <v>67.481626607999999</v>
      </c>
      <c r="N152" s="10">
        <v>1.4866999999999999</v>
      </c>
      <c r="O152" s="12">
        <f>SUM(G152+(D152*N152*2))</f>
        <v>97.515107455999981</v>
      </c>
      <c r="P152" s="36"/>
      <c r="Q152" s="9">
        <f t="shared" ref="Q152" si="28">C152*1.4</f>
        <v>26.655999999999999</v>
      </c>
      <c r="R152" s="21">
        <v>1.3012999999999999</v>
      </c>
      <c r="S152" s="12">
        <f>SUM(Q152*R152)</f>
        <v>34.687452799999996</v>
      </c>
      <c r="T152" s="9">
        <f t="shared" ref="T152" si="29">C152*1.8</f>
        <v>34.271999999999998</v>
      </c>
      <c r="U152" s="23">
        <v>1.3012999999999999</v>
      </c>
      <c r="V152" s="12">
        <f>SUM(T152*U152)</f>
        <v>44.598153599999996</v>
      </c>
      <c r="W152" s="9">
        <f t="shared" ref="W152" si="30">C152*2</f>
        <v>38.08</v>
      </c>
      <c r="X152" s="10">
        <v>1.3012999999999999</v>
      </c>
      <c r="Y152" s="12">
        <f>SUM(W152*X152)</f>
        <v>49.553503999999997</v>
      </c>
    </row>
    <row r="153" spans="1:25" x14ac:dyDescent="0.25">
      <c r="A153" s="13"/>
      <c r="B153" s="13"/>
      <c r="C153" s="13"/>
      <c r="D153" s="43"/>
      <c r="E153" s="44"/>
      <c r="F153" s="45"/>
      <c r="G153" s="43"/>
      <c r="H153" s="44"/>
      <c r="I153" s="43"/>
      <c r="J153" s="44"/>
      <c r="K153" s="43"/>
      <c r="L153" s="44"/>
      <c r="M153" s="43"/>
      <c r="N153" s="44"/>
      <c r="O153" s="43"/>
      <c r="P153" s="45"/>
      <c r="Q153" s="43"/>
      <c r="R153" s="44"/>
      <c r="S153" s="43"/>
      <c r="T153" s="43"/>
      <c r="U153" s="44"/>
      <c r="V153" s="43"/>
      <c r="W153" s="43"/>
      <c r="X153" s="44"/>
      <c r="Y153" s="43"/>
    </row>
    <row r="154" spans="1:25" x14ac:dyDescent="0.25">
      <c r="A154" s="1" t="s">
        <v>93</v>
      </c>
      <c r="Q154" s="14"/>
      <c r="S154" s="14"/>
      <c r="T154" s="14"/>
      <c r="U154" s="20"/>
      <c r="V154" s="14"/>
      <c r="W154" s="14"/>
      <c r="X154" s="20"/>
      <c r="Y154" s="14"/>
    </row>
    <row r="155" spans="1:25" x14ac:dyDescent="0.25">
      <c r="A155" s="2" t="s">
        <v>1</v>
      </c>
      <c r="B155" s="2" t="s">
        <v>2</v>
      </c>
      <c r="C155" s="2" t="s">
        <v>3</v>
      </c>
      <c r="D155" s="3" t="s">
        <v>4</v>
      </c>
      <c r="E155" s="4" t="s">
        <v>5</v>
      </c>
      <c r="F155" s="3" t="s">
        <v>6</v>
      </c>
      <c r="G155" s="5">
        <v>1</v>
      </c>
      <c r="H155" s="5" t="s">
        <v>7</v>
      </c>
      <c r="I155" s="6">
        <v>1.33</v>
      </c>
      <c r="J155" s="5" t="s">
        <v>7</v>
      </c>
      <c r="K155" s="6">
        <v>1.35</v>
      </c>
      <c r="L155" s="4" t="s">
        <v>8</v>
      </c>
      <c r="M155" s="26">
        <v>2</v>
      </c>
      <c r="N155" s="7" t="s">
        <v>8</v>
      </c>
      <c r="O155" s="26">
        <v>3</v>
      </c>
      <c r="P155" s="37"/>
      <c r="Q155" s="26" t="s">
        <v>9</v>
      </c>
      <c r="R155" s="25" t="s">
        <v>10</v>
      </c>
      <c r="S155" s="19">
        <v>1.4</v>
      </c>
      <c r="T155" s="26" t="s">
        <v>9</v>
      </c>
      <c r="U155" s="19" t="s">
        <v>10</v>
      </c>
      <c r="V155" s="19">
        <v>1.8</v>
      </c>
      <c r="W155" s="26" t="s">
        <v>9</v>
      </c>
      <c r="X155" s="19" t="s">
        <v>10</v>
      </c>
      <c r="Y155" s="5">
        <v>2</v>
      </c>
    </row>
    <row r="156" spans="1:25" x14ac:dyDescent="0.25">
      <c r="A156" s="8" t="s">
        <v>11</v>
      </c>
      <c r="B156" s="8" t="s">
        <v>94</v>
      </c>
      <c r="C156" s="8">
        <v>18.690000000000001</v>
      </c>
      <c r="D156" s="9">
        <f>C156*1.061</f>
        <v>19.830090000000002</v>
      </c>
      <c r="E156" s="10">
        <v>1.629</v>
      </c>
      <c r="F156" s="11">
        <v>4.54</v>
      </c>
      <c r="G156" s="12">
        <f>SUM(D156*E156)+F156</f>
        <v>36.843216609999999</v>
      </c>
      <c r="H156" s="10">
        <v>1.4866999999999999</v>
      </c>
      <c r="I156" s="12">
        <f>SUM(G156+(D156*H156*0.33))</f>
        <v>46.572076894989998</v>
      </c>
      <c r="J156" s="10">
        <v>1.4866999999999999</v>
      </c>
      <c r="K156" s="12">
        <f>SUM(G156+(D156*J156*0.35))</f>
        <v>47.161704791049999</v>
      </c>
      <c r="L156" s="10">
        <v>1.4866999999999999</v>
      </c>
      <c r="M156" s="12">
        <f>SUM(G156+(D156*L156*1))</f>
        <v>66.324611413</v>
      </c>
      <c r="N156" s="10">
        <v>1.4866999999999999</v>
      </c>
      <c r="O156" s="12">
        <f>SUM(G156+(D156*N156*2))</f>
        <v>95.806006216</v>
      </c>
      <c r="P156" s="36"/>
      <c r="Q156" s="9">
        <f t="shared" si="12"/>
        <v>26.166</v>
      </c>
      <c r="R156" s="10">
        <v>1.3012999999999999</v>
      </c>
      <c r="S156" s="12">
        <f>SUM(Q156*R156)</f>
        <v>34.049815799999998</v>
      </c>
      <c r="T156" s="9">
        <f t="shared" si="13"/>
        <v>33.642000000000003</v>
      </c>
      <c r="U156" s="10">
        <v>1.3012999999999999</v>
      </c>
      <c r="V156" s="12">
        <f>SUM(T156*U156)</f>
        <v>43.778334600000001</v>
      </c>
      <c r="W156" s="9">
        <f t="shared" si="8"/>
        <v>37.380000000000003</v>
      </c>
      <c r="X156" s="10">
        <v>1.3012999999999999</v>
      </c>
      <c r="Y156" s="12">
        <f>SUM(W156*X156)</f>
        <v>48.642594000000003</v>
      </c>
    </row>
    <row r="157" spans="1:25" x14ac:dyDescent="0.25">
      <c r="Q157" s="14"/>
      <c r="S157" s="14"/>
      <c r="T157" s="14"/>
      <c r="U157" s="20"/>
      <c r="V157" s="14"/>
      <c r="W157" s="14"/>
      <c r="X157" s="20"/>
      <c r="Y157" s="14"/>
    </row>
    <row r="158" spans="1:25" x14ac:dyDescent="0.25">
      <c r="A158" s="1" t="s">
        <v>95</v>
      </c>
      <c r="Q158" s="14"/>
      <c r="S158" s="14"/>
      <c r="T158" s="14"/>
      <c r="U158" s="20"/>
      <c r="V158" s="14"/>
      <c r="W158" s="14"/>
      <c r="X158" s="20"/>
      <c r="Y158" s="14"/>
    </row>
    <row r="159" spans="1:25" x14ac:dyDescent="0.25">
      <c r="A159" s="2" t="s">
        <v>1</v>
      </c>
      <c r="B159" s="2" t="s">
        <v>2</v>
      </c>
      <c r="C159" s="2" t="s">
        <v>3</v>
      </c>
      <c r="D159" s="3" t="s">
        <v>4</v>
      </c>
      <c r="E159" s="4" t="s">
        <v>5</v>
      </c>
      <c r="F159" s="3" t="s">
        <v>6</v>
      </c>
      <c r="G159" s="5">
        <v>1</v>
      </c>
      <c r="H159" s="5" t="s">
        <v>7</v>
      </c>
      <c r="I159" s="6">
        <v>1.33</v>
      </c>
      <c r="J159" s="5" t="s">
        <v>7</v>
      </c>
      <c r="K159" s="6">
        <v>1.35</v>
      </c>
      <c r="L159" s="4" t="s">
        <v>8</v>
      </c>
      <c r="M159" s="7">
        <v>2</v>
      </c>
      <c r="N159" s="7" t="s">
        <v>8</v>
      </c>
      <c r="O159" s="26">
        <v>3</v>
      </c>
      <c r="P159" s="37"/>
      <c r="Q159" s="26" t="s">
        <v>9</v>
      </c>
      <c r="R159" s="25" t="s">
        <v>10</v>
      </c>
      <c r="S159" s="19">
        <v>1.4</v>
      </c>
      <c r="T159" s="26" t="s">
        <v>9</v>
      </c>
      <c r="U159" s="19" t="s">
        <v>10</v>
      </c>
      <c r="V159" s="19">
        <v>1.8</v>
      </c>
      <c r="W159" s="26" t="s">
        <v>9</v>
      </c>
      <c r="X159" s="19" t="s">
        <v>10</v>
      </c>
      <c r="Y159" s="19">
        <v>2</v>
      </c>
    </row>
    <row r="160" spans="1:25" x14ac:dyDescent="0.25">
      <c r="A160" s="8" t="s">
        <v>11</v>
      </c>
      <c r="B160" s="8" t="s">
        <v>96</v>
      </c>
      <c r="C160" s="8">
        <v>19.32</v>
      </c>
      <c r="D160" s="9">
        <f>C160*1.061</f>
        <v>20.498519999999999</v>
      </c>
      <c r="E160" s="10">
        <v>1.629</v>
      </c>
      <c r="F160" s="11">
        <v>4.54</v>
      </c>
      <c r="G160" s="12">
        <f>SUM(D160*E160)+F160</f>
        <v>37.932089079999997</v>
      </c>
      <c r="H160" s="10">
        <v>1.4866999999999999</v>
      </c>
      <c r="I160" s="12">
        <f>SUM(G160+(D160*H160*0.33))</f>
        <v>47.988888475719996</v>
      </c>
      <c r="J160" s="10">
        <v>1.4866999999999999</v>
      </c>
      <c r="K160" s="12">
        <f>SUM(G160+(D160*J160*0.35))</f>
        <v>48.598391469399999</v>
      </c>
      <c r="L160" s="10">
        <v>1.4866999999999999</v>
      </c>
      <c r="M160" s="12">
        <f>SUM(G160+(D160*L160*1))</f>
        <v>68.407238763999999</v>
      </c>
      <c r="N160" s="10">
        <v>1.4866999999999999</v>
      </c>
      <c r="O160" s="12">
        <f>SUM(G160+(D160*N160*2))</f>
        <v>98.882388448</v>
      </c>
      <c r="P160" s="36"/>
      <c r="Q160" s="9">
        <f t="shared" si="12"/>
        <v>27.047999999999998</v>
      </c>
      <c r="R160" s="10">
        <v>1.3012999999999999</v>
      </c>
      <c r="S160" s="12">
        <f>SUM(Q160*R160)</f>
        <v>35.197562399999995</v>
      </c>
      <c r="T160" s="9">
        <f t="shared" si="13"/>
        <v>34.776000000000003</v>
      </c>
      <c r="U160" s="10">
        <v>1.3012999999999999</v>
      </c>
      <c r="V160" s="12">
        <f>SUM(T160*U160)</f>
        <v>45.254008800000001</v>
      </c>
      <c r="W160" s="9">
        <f t="shared" si="8"/>
        <v>38.64</v>
      </c>
      <c r="X160" s="10">
        <v>1.3012999999999999</v>
      </c>
      <c r="Y160" s="12">
        <f>SUM(W160*X160)</f>
        <v>50.282231999999993</v>
      </c>
    </row>
    <row r="161" spans="1:25" x14ac:dyDescent="0.25">
      <c r="Q161" s="14"/>
      <c r="T161" s="14"/>
      <c r="W161" s="14"/>
    </row>
    <row r="162" spans="1:25" x14ac:dyDescent="0.25">
      <c r="A162" s="1" t="s">
        <v>97</v>
      </c>
      <c r="Q162" s="14"/>
      <c r="S162" s="14"/>
      <c r="T162" s="14"/>
      <c r="U162" s="20"/>
      <c r="V162" s="14"/>
      <c r="W162" s="14"/>
      <c r="X162" s="20"/>
      <c r="Y162" s="14"/>
    </row>
    <row r="163" spans="1:25" x14ac:dyDescent="0.25">
      <c r="A163" s="2" t="s">
        <v>1</v>
      </c>
      <c r="B163" s="2" t="s">
        <v>2</v>
      </c>
      <c r="C163" s="2" t="s">
        <v>3</v>
      </c>
      <c r="D163" s="3" t="s">
        <v>4</v>
      </c>
      <c r="E163" s="4" t="s">
        <v>5</v>
      </c>
      <c r="F163" s="3" t="s">
        <v>6</v>
      </c>
      <c r="G163" s="5">
        <v>1</v>
      </c>
      <c r="H163" s="5" t="s">
        <v>7</v>
      </c>
      <c r="I163" s="6">
        <v>1.33</v>
      </c>
      <c r="J163" s="5" t="s">
        <v>7</v>
      </c>
      <c r="K163" s="6">
        <v>1.35</v>
      </c>
      <c r="L163" s="4" t="s">
        <v>8</v>
      </c>
      <c r="M163" s="26">
        <v>2</v>
      </c>
      <c r="N163" s="7" t="s">
        <v>8</v>
      </c>
      <c r="O163" s="26">
        <v>3</v>
      </c>
      <c r="P163" s="37"/>
      <c r="Q163" s="26" t="s">
        <v>9</v>
      </c>
      <c r="R163" s="25" t="s">
        <v>10</v>
      </c>
      <c r="S163" s="19">
        <v>1.4</v>
      </c>
      <c r="T163" s="26" t="s">
        <v>9</v>
      </c>
      <c r="U163" s="19" t="s">
        <v>10</v>
      </c>
      <c r="V163" s="19">
        <v>1.8</v>
      </c>
      <c r="W163" s="26" t="s">
        <v>9</v>
      </c>
      <c r="X163" s="19" t="s">
        <v>10</v>
      </c>
      <c r="Y163" s="19">
        <v>2</v>
      </c>
    </row>
    <row r="164" spans="1:25" x14ac:dyDescent="0.25">
      <c r="A164" s="8" t="s">
        <v>11</v>
      </c>
      <c r="B164" s="8" t="s">
        <v>98</v>
      </c>
      <c r="C164" s="8">
        <v>19.61</v>
      </c>
      <c r="D164" s="9">
        <f>C164*1.061</f>
        <v>20.806209999999997</v>
      </c>
      <c r="E164" s="10">
        <v>1.629</v>
      </c>
      <c r="F164" s="11">
        <v>4.54</v>
      </c>
      <c r="G164" s="12">
        <f>SUM(D164*E164)+F164</f>
        <v>38.433316089999991</v>
      </c>
      <c r="H164" s="10">
        <v>1.4866999999999999</v>
      </c>
      <c r="I164" s="12">
        <f>SUM(G164+(D164*H164*0.33))</f>
        <v>48.641071584309991</v>
      </c>
      <c r="J164" s="10">
        <v>1.4866999999999999</v>
      </c>
      <c r="K164" s="12">
        <f>SUM(G164+(D164*J164*0.35))</f>
        <v>49.259723432449988</v>
      </c>
      <c r="L164" s="10">
        <v>1.4866999999999999</v>
      </c>
      <c r="M164" s="12">
        <f>SUM(G164+(D164*L164*1))</f>
        <v>69.365908496999992</v>
      </c>
      <c r="N164" s="10">
        <v>1.4866999999999999</v>
      </c>
      <c r="O164" s="12">
        <f>SUM(G164+(D164*N164*2))</f>
        <v>100.29850090399998</v>
      </c>
      <c r="P164" s="36"/>
      <c r="Q164" s="9">
        <f>C164*1.4</f>
        <v>27.453999999999997</v>
      </c>
      <c r="R164" s="10">
        <v>1.3012999999999999</v>
      </c>
      <c r="S164" s="12">
        <f>SUM(Q164*R164)</f>
        <v>35.725890199999995</v>
      </c>
      <c r="T164" s="9">
        <f t="shared" si="13"/>
        <v>35.298000000000002</v>
      </c>
      <c r="U164" s="10">
        <v>1.3012999999999999</v>
      </c>
      <c r="V164" s="12">
        <f>SUM(T164*U164)</f>
        <v>45.933287399999998</v>
      </c>
      <c r="W164" s="9">
        <f t="shared" ref="W164" si="31">C164*2</f>
        <v>39.22</v>
      </c>
      <c r="X164" s="10">
        <v>1.3012999999999999</v>
      </c>
      <c r="Y164" s="12">
        <f>SUM(W164*X164)</f>
        <v>51.036985999999992</v>
      </c>
    </row>
    <row r="166" spans="1:25" x14ac:dyDescent="0.25">
      <c r="A166" s="1" t="s">
        <v>99</v>
      </c>
      <c r="Q166" s="14"/>
      <c r="S166" s="14"/>
      <c r="T166" s="14"/>
      <c r="U166" s="20"/>
      <c r="V166" s="14"/>
      <c r="W166" s="14"/>
      <c r="X166" s="20"/>
      <c r="Y166" s="14"/>
    </row>
    <row r="167" spans="1:25" x14ac:dyDescent="0.25">
      <c r="A167" s="2" t="s">
        <v>1</v>
      </c>
      <c r="B167" s="2" t="s">
        <v>2</v>
      </c>
      <c r="C167" s="2" t="s">
        <v>3</v>
      </c>
      <c r="D167" s="3" t="s">
        <v>4</v>
      </c>
      <c r="E167" s="4" t="s">
        <v>5</v>
      </c>
      <c r="F167" s="3" t="s">
        <v>6</v>
      </c>
      <c r="G167" s="5">
        <v>1</v>
      </c>
      <c r="H167" s="5" t="s">
        <v>7</v>
      </c>
      <c r="I167" s="6">
        <v>1.33</v>
      </c>
      <c r="J167" s="5" t="s">
        <v>7</v>
      </c>
      <c r="K167" s="6">
        <v>1.35</v>
      </c>
      <c r="L167" s="4" t="s">
        <v>8</v>
      </c>
      <c r="M167" s="26">
        <v>2</v>
      </c>
      <c r="N167" s="7" t="s">
        <v>8</v>
      </c>
      <c r="O167" s="26">
        <v>3</v>
      </c>
      <c r="P167" s="37"/>
      <c r="Q167" s="26" t="s">
        <v>9</v>
      </c>
      <c r="R167" s="25" t="s">
        <v>10</v>
      </c>
      <c r="S167" s="19">
        <v>1.4</v>
      </c>
      <c r="T167" s="26" t="s">
        <v>9</v>
      </c>
      <c r="U167" s="19" t="s">
        <v>10</v>
      </c>
      <c r="V167" s="19">
        <v>1.8</v>
      </c>
      <c r="W167" s="26" t="s">
        <v>9</v>
      </c>
      <c r="X167" s="19" t="s">
        <v>10</v>
      </c>
      <c r="Y167" s="19">
        <v>2</v>
      </c>
    </row>
    <row r="168" spans="1:25" x14ac:dyDescent="0.25">
      <c r="A168" s="8" t="s">
        <v>11</v>
      </c>
      <c r="B168" s="8" t="s">
        <v>100</v>
      </c>
      <c r="C168" s="8">
        <v>19.899999999999999</v>
      </c>
      <c r="D168" s="9">
        <f>C168*1.061</f>
        <v>21.113899999999997</v>
      </c>
      <c r="E168" s="10">
        <v>1.629</v>
      </c>
      <c r="F168" s="11">
        <v>4.54</v>
      </c>
      <c r="G168" s="12">
        <f>SUM(D168*E168)+F168</f>
        <v>38.934543099999992</v>
      </c>
      <c r="H168" s="10">
        <v>1.4866999999999999</v>
      </c>
      <c r="I168" s="12">
        <f>SUM(G168+(D168*H168*0.33))</f>
        <v>49.293254692899993</v>
      </c>
      <c r="J168" s="10">
        <v>1.4866999999999999</v>
      </c>
      <c r="K168" s="12">
        <f>SUM(G168+(D168*J168*0.35))</f>
        <v>49.921055395499991</v>
      </c>
      <c r="L168" s="10">
        <v>1.4866999999999999</v>
      </c>
      <c r="M168" s="12">
        <f>SUM(G168+(D168*L168*1))</f>
        <v>70.324578229999986</v>
      </c>
      <c r="N168" s="10">
        <v>1.4866999999999999</v>
      </c>
      <c r="O168" s="12">
        <f>SUM(G168+(D168*N168*2))</f>
        <v>101.71461335999999</v>
      </c>
      <c r="P168" s="36"/>
      <c r="Q168" s="9">
        <f>C168*1.4</f>
        <v>27.859999999999996</v>
      </c>
      <c r="R168" s="10">
        <v>1.3012999999999999</v>
      </c>
      <c r="S168" s="12">
        <f>SUM(Q168*R168)</f>
        <v>36.254217999999995</v>
      </c>
      <c r="T168" s="9">
        <f t="shared" ref="T168" si="32">C168*1.8</f>
        <v>35.82</v>
      </c>
      <c r="U168" s="10">
        <v>1.3012999999999999</v>
      </c>
      <c r="V168" s="12">
        <f>SUM(T168*U168)</f>
        <v>46.612565999999994</v>
      </c>
      <c r="W168" s="9">
        <f t="shared" ref="W168" si="33">C168*2</f>
        <v>39.799999999999997</v>
      </c>
      <c r="X168" s="10">
        <v>1.3012999999999999</v>
      </c>
      <c r="Y168" s="12">
        <f>SUM(W168*X168)</f>
        <v>51.79173999999999</v>
      </c>
    </row>
    <row r="170" spans="1:25" x14ac:dyDescent="0.25">
      <c r="A170" s="1" t="s">
        <v>101</v>
      </c>
      <c r="M170" s="20"/>
      <c r="N170" s="20"/>
      <c r="O170" s="20"/>
      <c r="Q170" s="14"/>
      <c r="R170" s="20"/>
      <c r="S170" s="14"/>
      <c r="T170" s="14"/>
      <c r="U170" s="20"/>
      <c r="V170" s="14"/>
      <c r="W170" s="14"/>
      <c r="X170" s="20"/>
      <c r="Y170" s="14"/>
    </row>
    <row r="171" spans="1:25" x14ac:dyDescent="0.25">
      <c r="A171" s="2" t="s">
        <v>1</v>
      </c>
      <c r="B171" s="2" t="s">
        <v>2</v>
      </c>
      <c r="C171" s="3" t="s">
        <v>4</v>
      </c>
      <c r="D171" s="3" t="s">
        <v>102</v>
      </c>
      <c r="E171" s="4" t="s">
        <v>5</v>
      </c>
      <c r="F171" s="3" t="s">
        <v>6</v>
      </c>
      <c r="G171" s="5">
        <v>1</v>
      </c>
      <c r="H171" s="5" t="s">
        <v>7</v>
      </c>
      <c r="I171" s="6">
        <v>1.33</v>
      </c>
      <c r="J171" s="5" t="s">
        <v>7</v>
      </c>
      <c r="K171" s="6">
        <v>1.35</v>
      </c>
      <c r="L171" s="4" t="s">
        <v>8</v>
      </c>
      <c r="M171" s="26">
        <v>2</v>
      </c>
      <c r="N171" s="7" t="s">
        <v>8</v>
      </c>
      <c r="O171" s="26">
        <v>3</v>
      </c>
      <c r="P171" s="37"/>
      <c r="Q171" s="26" t="s">
        <v>9</v>
      </c>
      <c r="R171" s="25" t="s">
        <v>10</v>
      </c>
      <c r="S171" s="19">
        <v>1.4</v>
      </c>
      <c r="T171" s="26" t="s">
        <v>9</v>
      </c>
      <c r="U171" s="19" t="s">
        <v>10</v>
      </c>
      <c r="V171" s="19">
        <v>1.8</v>
      </c>
      <c r="W171" s="26" t="s">
        <v>9</v>
      </c>
      <c r="X171" s="19" t="s">
        <v>10</v>
      </c>
      <c r="Y171" s="19">
        <v>2</v>
      </c>
    </row>
    <row r="172" spans="1:25" x14ac:dyDescent="0.25">
      <c r="A172" s="8" t="s">
        <v>11</v>
      </c>
      <c r="B172" s="8" t="s">
        <v>103</v>
      </c>
      <c r="C172" s="8">
        <v>17.79</v>
      </c>
      <c r="D172" s="9">
        <f>C172+0.81</f>
        <v>18.599999999999998</v>
      </c>
      <c r="E172" s="10">
        <v>1.629</v>
      </c>
      <c r="F172" s="11">
        <v>4.54</v>
      </c>
      <c r="G172" s="12">
        <f>SUM(D172*E172)+F172</f>
        <v>34.839399999999998</v>
      </c>
      <c r="H172" s="10">
        <v>1.4866999999999999</v>
      </c>
      <c r="I172" s="12">
        <f>SUM(G172+(D172*H172*0.33))</f>
        <v>43.964764599999995</v>
      </c>
      <c r="J172" s="10">
        <v>1.4866999999999999</v>
      </c>
      <c r="K172" s="12">
        <f>SUM(G172+(D172*J172*0.35))</f>
        <v>44.517816999999994</v>
      </c>
      <c r="L172" s="10">
        <v>1.4866999999999999</v>
      </c>
      <c r="M172" s="12">
        <f>SUM(G172+(D172*L172*1))</f>
        <v>62.492019999999997</v>
      </c>
      <c r="N172" s="10">
        <v>1.4866999999999999</v>
      </c>
      <c r="O172" s="12">
        <f>SUM(G172+(D172*N172*2))</f>
        <v>90.144639999999981</v>
      </c>
      <c r="P172" s="36"/>
      <c r="Q172" s="9">
        <f t="shared" ref="Q172" si="34">C172*1.4</f>
        <v>24.905999999999999</v>
      </c>
      <c r="R172" s="10">
        <v>1.3012999999999999</v>
      </c>
      <c r="S172" s="12">
        <f>SUM(Q172*R172)</f>
        <v>32.410177799999992</v>
      </c>
      <c r="T172" s="9">
        <f>C172*1.8</f>
        <v>32.021999999999998</v>
      </c>
      <c r="U172" s="10">
        <v>1.3012999999999999</v>
      </c>
      <c r="V172" s="12">
        <f>SUM(T172*U172)</f>
        <v>41.670228599999994</v>
      </c>
      <c r="W172" s="9">
        <f t="shared" ref="W172" si="35">C172*2</f>
        <v>35.58</v>
      </c>
      <c r="X172" s="10">
        <v>1.3012999999999999</v>
      </c>
      <c r="Y172" s="12">
        <f>SUM(W172*X172)</f>
        <v>46.300253999999995</v>
      </c>
    </row>
    <row r="174" spans="1:25" x14ac:dyDescent="0.25">
      <c r="A174" s="17" t="s">
        <v>104</v>
      </c>
    </row>
  </sheetData>
  <pageMargins left="0.7" right="0.7" top="0.75" bottom="0.75" header="0.3" footer="0.3"/>
  <pageSetup paperSize="9" scale="57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26F65-6C4C-409A-83AA-22DE30AD9FBB}">
  <dimension ref="A1:AB55"/>
  <sheetViews>
    <sheetView tabSelected="1" zoomScale="70" zoomScaleNormal="70" workbookViewId="0">
      <selection activeCell="A19" sqref="A19:XFD19"/>
    </sheetView>
  </sheetViews>
  <sheetFormatPr defaultRowHeight="15" x14ac:dyDescent="0.25"/>
  <cols>
    <col min="1" max="1" width="12.85546875" bestFit="1" customWidth="1"/>
    <col min="2" max="2" width="22.7109375" customWidth="1"/>
    <col min="3" max="3" width="25.28515625" customWidth="1"/>
    <col min="4" max="5" width="43" customWidth="1"/>
    <col min="6" max="6" width="17.7109375" bestFit="1" customWidth="1"/>
    <col min="7" max="7" width="20.140625" customWidth="1"/>
    <col min="8" max="8" width="6.140625" bestFit="1" customWidth="1"/>
    <col min="20" max="20" width="11.7109375" bestFit="1" customWidth="1"/>
  </cols>
  <sheetData>
    <row r="1" spans="1:28" x14ac:dyDescent="0.25">
      <c r="A1" s="47" t="s">
        <v>105</v>
      </c>
      <c r="B1" s="47" t="s">
        <v>106</v>
      </c>
      <c r="C1" s="48" t="s">
        <v>107</v>
      </c>
      <c r="D1" s="48" t="s">
        <v>108</v>
      </c>
      <c r="E1" s="47" t="s">
        <v>109</v>
      </c>
      <c r="F1" s="67" t="s">
        <v>3</v>
      </c>
      <c r="G1" s="49" t="s">
        <v>4</v>
      </c>
      <c r="H1" s="49" t="s">
        <v>5</v>
      </c>
      <c r="I1" s="49" t="s">
        <v>6</v>
      </c>
      <c r="J1" s="50">
        <v>1</v>
      </c>
      <c r="K1" s="49" t="s">
        <v>7</v>
      </c>
      <c r="L1" s="51">
        <v>1.33</v>
      </c>
      <c r="M1" s="49" t="s">
        <v>7</v>
      </c>
      <c r="N1" s="51">
        <v>1.35</v>
      </c>
      <c r="O1" s="49" t="s">
        <v>8</v>
      </c>
      <c r="P1" s="53">
        <v>2</v>
      </c>
      <c r="Q1" s="49" t="s">
        <v>8</v>
      </c>
      <c r="R1" s="53">
        <v>3</v>
      </c>
      <c r="S1" s="54"/>
      <c r="T1" s="52" t="s">
        <v>9</v>
      </c>
      <c r="U1" s="52" t="s">
        <v>10</v>
      </c>
      <c r="V1" s="55">
        <v>1.4</v>
      </c>
      <c r="W1" s="52" t="s">
        <v>9</v>
      </c>
      <c r="X1" s="52" t="s">
        <v>10</v>
      </c>
      <c r="Y1" s="55">
        <v>1.8</v>
      </c>
      <c r="Z1" s="52" t="s">
        <v>9</v>
      </c>
      <c r="AA1" s="52" t="s">
        <v>10</v>
      </c>
      <c r="AB1" s="55">
        <v>2</v>
      </c>
    </row>
    <row r="2" spans="1:28" x14ac:dyDescent="0.25">
      <c r="A2" s="46" t="s">
        <v>110</v>
      </c>
      <c r="B2" s="46" t="s">
        <v>111</v>
      </c>
      <c r="C2" s="46" t="s">
        <v>112</v>
      </c>
      <c r="D2" s="64" t="s">
        <v>73</v>
      </c>
      <c r="E2" s="63" t="s">
        <v>113</v>
      </c>
      <c r="F2" s="68">
        <v>17.47</v>
      </c>
      <c r="G2" s="60">
        <v>18.54</v>
      </c>
      <c r="H2" s="56">
        <v>1.629</v>
      </c>
      <c r="I2" s="57">
        <v>4.54</v>
      </c>
      <c r="J2" s="58">
        <v>34.729999999999997</v>
      </c>
      <c r="K2" s="56">
        <v>1.4866999999999999</v>
      </c>
      <c r="L2" s="58">
        <v>43.83</v>
      </c>
      <c r="M2" s="56">
        <v>1.4866999999999999</v>
      </c>
      <c r="N2" s="58">
        <v>44.38</v>
      </c>
      <c r="O2" s="56">
        <v>1.4866999999999999</v>
      </c>
      <c r="P2" s="58">
        <v>62.29</v>
      </c>
      <c r="Q2" s="56">
        <v>1.4866999999999999</v>
      </c>
      <c r="R2" s="58">
        <v>89.85</v>
      </c>
      <c r="S2" s="59"/>
      <c r="T2" s="60">
        <v>24.46</v>
      </c>
      <c r="U2" s="56">
        <v>1.3012999999999999</v>
      </c>
      <c r="V2" s="58">
        <v>31.83</v>
      </c>
      <c r="W2" s="60">
        <v>31.45</v>
      </c>
      <c r="X2" s="56">
        <v>1.3012999999999999</v>
      </c>
      <c r="Y2" s="58">
        <v>40.92</v>
      </c>
      <c r="Z2" s="60">
        <v>34.94</v>
      </c>
      <c r="AA2" s="56">
        <v>1.3012999999999999</v>
      </c>
      <c r="AB2" s="58">
        <v>45.47</v>
      </c>
    </row>
    <row r="3" spans="1:28" x14ac:dyDescent="0.25">
      <c r="A3" s="46" t="s">
        <v>114</v>
      </c>
      <c r="B3" s="46" t="s">
        <v>115</v>
      </c>
      <c r="C3" s="46" t="s">
        <v>116</v>
      </c>
      <c r="D3" s="65" t="s">
        <v>117</v>
      </c>
      <c r="E3" s="63" t="s">
        <v>113</v>
      </c>
      <c r="F3" s="68">
        <v>19.899999999999999</v>
      </c>
      <c r="G3" s="60">
        <v>21.11</v>
      </c>
      <c r="H3" s="56">
        <v>1.629</v>
      </c>
      <c r="I3" s="57">
        <v>4.54</v>
      </c>
      <c r="J3" s="58">
        <v>38.93</v>
      </c>
      <c r="K3" s="56">
        <v>1.4866999999999999</v>
      </c>
      <c r="L3" s="58">
        <v>49.29</v>
      </c>
      <c r="M3" s="56">
        <v>1.4866999999999999</v>
      </c>
      <c r="N3" s="58">
        <v>49.92</v>
      </c>
      <c r="O3" s="56">
        <v>1.4866999999999999</v>
      </c>
      <c r="P3" s="58">
        <v>70.319999999999993</v>
      </c>
      <c r="Q3" s="56">
        <v>1.4866999999999999</v>
      </c>
      <c r="R3" s="58">
        <v>101.71</v>
      </c>
      <c r="S3" s="59"/>
      <c r="T3" s="60">
        <v>27.86</v>
      </c>
      <c r="U3" s="56">
        <v>1.3012999999999999</v>
      </c>
      <c r="V3" s="58">
        <v>36.25</v>
      </c>
      <c r="W3" s="60">
        <v>35.82</v>
      </c>
      <c r="X3" s="56">
        <v>1.3012999999999999</v>
      </c>
      <c r="Y3" s="58">
        <v>46.61</v>
      </c>
      <c r="Z3" s="60">
        <v>39.799999999999997</v>
      </c>
      <c r="AA3" s="56">
        <v>1.3012999999999999</v>
      </c>
      <c r="AB3" s="58">
        <v>51.79</v>
      </c>
    </row>
    <row r="4" spans="1:28" x14ac:dyDescent="0.25">
      <c r="A4" s="46" t="s">
        <v>118</v>
      </c>
      <c r="B4" s="46" t="s">
        <v>119</v>
      </c>
      <c r="C4" s="46" t="s">
        <v>120</v>
      </c>
      <c r="D4" s="65" t="s">
        <v>121</v>
      </c>
      <c r="E4" s="63" t="s">
        <v>113</v>
      </c>
      <c r="F4" s="68">
        <v>17.420000000000002</v>
      </c>
      <c r="G4" s="60">
        <v>18.48</v>
      </c>
      <c r="H4" s="56">
        <v>1.629</v>
      </c>
      <c r="I4" s="57">
        <v>4.54</v>
      </c>
      <c r="J4" s="58">
        <v>34.65</v>
      </c>
      <c r="K4" s="56">
        <v>1.4866999999999999</v>
      </c>
      <c r="L4" s="58">
        <v>43.72</v>
      </c>
      <c r="M4" s="56">
        <v>1.4866999999999999</v>
      </c>
      <c r="N4" s="58">
        <v>44.27</v>
      </c>
      <c r="O4" s="56">
        <v>1.4866999999999999</v>
      </c>
      <c r="P4" s="58">
        <v>62.13</v>
      </c>
      <c r="Q4" s="56">
        <v>1.4866999999999999</v>
      </c>
      <c r="R4" s="58">
        <v>89.6</v>
      </c>
      <c r="S4" s="59"/>
      <c r="T4" s="60">
        <v>24.39</v>
      </c>
      <c r="U4" s="56">
        <v>1.3012999999999999</v>
      </c>
      <c r="V4" s="58">
        <v>31.74</v>
      </c>
      <c r="W4" s="60">
        <v>31.36</v>
      </c>
      <c r="X4" s="56">
        <v>1.3012999999999999</v>
      </c>
      <c r="Y4" s="58">
        <v>40.799999999999997</v>
      </c>
      <c r="Z4" s="60">
        <v>34.840000000000003</v>
      </c>
      <c r="AA4" s="56">
        <v>1.3012999999999999</v>
      </c>
      <c r="AB4" s="58">
        <v>45.34</v>
      </c>
    </row>
    <row r="5" spans="1:28" x14ac:dyDescent="0.25">
      <c r="A5" s="46" t="s">
        <v>122</v>
      </c>
      <c r="B5" s="46" t="s">
        <v>111</v>
      </c>
      <c r="C5" s="46" t="s">
        <v>123</v>
      </c>
      <c r="D5" s="65" t="s">
        <v>124</v>
      </c>
      <c r="E5" s="63" t="s">
        <v>113</v>
      </c>
      <c r="F5" s="68">
        <v>17.87</v>
      </c>
      <c r="G5" s="60">
        <v>18.96</v>
      </c>
      <c r="H5" s="56">
        <v>1.629</v>
      </c>
      <c r="I5" s="57">
        <v>4.54</v>
      </c>
      <c r="J5" s="58">
        <v>35.43</v>
      </c>
      <c r="K5" s="56">
        <v>1.4866999999999999</v>
      </c>
      <c r="L5" s="58">
        <v>44.73</v>
      </c>
      <c r="M5" s="56">
        <v>1.4866999999999999</v>
      </c>
      <c r="N5" s="58">
        <v>45.29</v>
      </c>
      <c r="O5" s="56">
        <v>1.4866999999999999</v>
      </c>
      <c r="P5" s="58">
        <v>63.61</v>
      </c>
      <c r="Q5" s="56">
        <v>1.4866999999999999</v>
      </c>
      <c r="R5" s="58">
        <v>91.8</v>
      </c>
      <c r="S5" s="59"/>
      <c r="T5" s="60">
        <v>25.02</v>
      </c>
      <c r="U5" s="56">
        <v>1.3012999999999999</v>
      </c>
      <c r="V5" s="58">
        <v>32.56</v>
      </c>
      <c r="W5" s="60">
        <v>32.17</v>
      </c>
      <c r="X5" s="56">
        <v>1.3012999999999999</v>
      </c>
      <c r="Y5" s="58">
        <v>41.86</v>
      </c>
      <c r="Z5" s="60">
        <v>35.74</v>
      </c>
      <c r="AA5" s="56">
        <v>1.3012999999999999</v>
      </c>
      <c r="AB5" s="58">
        <v>46.51</v>
      </c>
    </row>
    <row r="6" spans="1:28" x14ac:dyDescent="0.25">
      <c r="A6" s="46" t="s">
        <v>125</v>
      </c>
      <c r="B6" s="46" t="s">
        <v>126</v>
      </c>
      <c r="C6" s="46" t="s">
        <v>127</v>
      </c>
      <c r="D6" s="65" t="s">
        <v>128</v>
      </c>
      <c r="E6" s="63" t="s">
        <v>113</v>
      </c>
      <c r="F6" s="68">
        <v>16.97</v>
      </c>
      <c r="G6" s="60">
        <v>18.010000000000002</v>
      </c>
      <c r="H6" s="56">
        <v>1.629</v>
      </c>
      <c r="I6" s="57">
        <v>4.54</v>
      </c>
      <c r="J6" s="58">
        <v>33.869999999999997</v>
      </c>
      <c r="K6" s="56">
        <v>1.4866999999999999</v>
      </c>
      <c r="L6" s="58">
        <v>42.7</v>
      </c>
      <c r="M6" s="56">
        <v>1.4866999999999999</v>
      </c>
      <c r="N6" s="58">
        <v>43.24</v>
      </c>
      <c r="O6" s="56">
        <v>1.4866999999999999</v>
      </c>
      <c r="P6" s="58">
        <v>60.64</v>
      </c>
      <c r="Q6" s="56">
        <v>1.4866999999999999</v>
      </c>
      <c r="R6" s="58">
        <v>87.41</v>
      </c>
      <c r="S6" s="59"/>
      <c r="T6" s="60">
        <v>23.76</v>
      </c>
      <c r="U6" s="56">
        <v>1.3012999999999999</v>
      </c>
      <c r="V6" s="58">
        <v>30.92</v>
      </c>
      <c r="W6" s="60">
        <v>30.55</v>
      </c>
      <c r="X6" s="56">
        <v>1.3012999999999999</v>
      </c>
      <c r="Y6" s="58">
        <v>39.75</v>
      </c>
      <c r="Z6" s="60">
        <v>33.94</v>
      </c>
      <c r="AA6" s="56">
        <v>1.3012999999999999</v>
      </c>
      <c r="AB6" s="58">
        <v>44.17</v>
      </c>
    </row>
    <row r="7" spans="1:28" x14ac:dyDescent="0.25">
      <c r="A7" s="46" t="s">
        <v>129</v>
      </c>
      <c r="B7" s="46" t="s">
        <v>130</v>
      </c>
      <c r="C7" s="46" t="s">
        <v>131</v>
      </c>
      <c r="D7" s="65" t="s">
        <v>132</v>
      </c>
      <c r="E7" s="63" t="s">
        <v>113</v>
      </c>
      <c r="F7" s="68">
        <v>19.61</v>
      </c>
      <c r="G7" s="60">
        <v>20.81</v>
      </c>
      <c r="H7" s="56">
        <v>1.629</v>
      </c>
      <c r="I7" s="57">
        <v>4.54</v>
      </c>
      <c r="J7" s="58">
        <v>38.43</v>
      </c>
      <c r="K7" s="56">
        <v>1.4866999999999999</v>
      </c>
      <c r="L7" s="58">
        <v>48.64</v>
      </c>
      <c r="M7" s="56">
        <v>1.4866999999999999</v>
      </c>
      <c r="N7" s="58">
        <v>49.26</v>
      </c>
      <c r="O7" s="56">
        <v>1.4866999999999999</v>
      </c>
      <c r="P7" s="58">
        <v>69.37</v>
      </c>
      <c r="Q7" s="56">
        <v>1.4866999999999999</v>
      </c>
      <c r="R7" s="58">
        <v>100.3</v>
      </c>
      <c r="S7" s="59"/>
      <c r="T7" s="60">
        <v>27.45</v>
      </c>
      <c r="U7" s="56">
        <v>1.3012999999999999</v>
      </c>
      <c r="V7" s="58">
        <v>35.729999999999997</v>
      </c>
      <c r="W7" s="60">
        <v>35.299999999999997</v>
      </c>
      <c r="X7" s="56">
        <v>1.3012999999999999</v>
      </c>
      <c r="Y7" s="58">
        <v>45.93</v>
      </c>
      <c r="Z7" s="60">
        <v>39.22</v>
      </c>
      <c r="AA7" s="56">
        <v>1.3012999999999999</v>
      </c>
      <c r="AB7" s="58">
        <v>51.04</v>
      </c>
    </row>
    <row r="8" spans="1:28" x14ac:dyDescent="0.25">
      <c r="A8" s="46" t="s">
        <v>133</v>
      </c>
      <c r="B8" s="46" t="s">
        <v>111</v>
      </c>
      <c r="C8" s="46" t="s">
        <v>134</v>
      </c>
      <c r="D8" s="65" t="s">
        <v>124</v>
      </c>
      <c r="E8" s="63" t="s">
        <v>113</v>
      </c>
      <c r="F8" s="68">
        <v>17.87</v>
      </c>
      <c r="G8" s="60">
        <v>18.96</v>
      </c>
      <c r="H8" s="56">
        <v>1.629</v>
      </c>
      <c r="I8" s="57">
        <v>4.54</v>
      </c>
      <c r="J8" s="58">
        <v>35.43</v>
      </c>
      <c r="K8" s="56">
        <v>1.4866999999999999</v>
      </c>
      <c r="L8" s="58">
        <v>44.73</v>
      </c>
      <c r="M8" s="56">
        <v>1.4866999999999999</v>
      </c>
      <c r="N8" s="58">
        <v>45.29</v>
      </c>
      <c r="O8" s="56">
        <v>1.4866999999999999</v>
      </c>
      <c r="P8" s="58">
        <v>63.61</v>
      </c>
      <c r="Q8" s="56">
        <v>1.4866999999999999</v>
      </c>
      <c r="R8" s="58">
        <v>91.8</v>
      </c>
      <c r="S8" s="59"/>
      <c r="T8" s="60">
        <v>25.02</v>
      </c>
      <c r="U8" s="56">
        <v>1.3012999999999999</v>
      </c>
      <c r="V8" s="58">
        <v>32.56</v>
      </c>
      <c r="W8" s="60">
        <v>32.17</v>
      </c>
      <c r="X8" s="56">
        <v>1.3012999999999999</v>
      </c>
      <c r="Y8" s="58">
        <v>41.86</v>
      </c>
      <c r="Z8" s="60">
        <v>35.74</v>
      </c>
      <c r="AA8" s="56">
        <v>1.3012999999999999</v>
      </c>
      <c r="AB8" s="58">
        <v>46.51</v>
      </c>
    </row>
    <row r="9" spans="1:28" x14ac:dyDescent="0.25">
      <c r="A9" s="46" t="s">
        <v>135</v>
      </c>
      <c r="B9" s="46" t="s">
        <v>136</v>
      </c>
      <c r="C9" s="46" t="s">
        <v>137</v>
      </c>
      <c r="D9" s="66" t="s">
        <v>103</v>
      </c>
      <c r="E9" s="63" t="s">
        <v>113</v>
      </c>
      <c r="F9" s="68">
        <v>17.79</v>
      </c>
      <c r="G9" s="60">
        <v>18.600000000000001</v>
      </c>
      <c r="H9" s="56">
        <v>1.629</v>
      </c>
      <c r="I9" s="57">
        <v>4.54</v>
      </c>
      <c r="J9" s="58">
        <v>34.840000000000003</v>
      </c>
      <c r="K9" s="56">
        <v>1.4866999999999999</v>
      </c>
      <c r="L9" s="58">
        <v>43.96</v>
      </c>
      <c r="M9" s="56">
        <v>1.4866999999999999</v>
      </c>
      <c r="N9" s="58">
        <v>44.52</v>
      </c>
      <c r="O9" s="56">
        <v>1.4866999999999999</v>
      </c>
      <c r="P9" s="58">
        <v>62.49</v>
      </c>
      <c r="Q9" s="56">
        <v>1.4866999999999999</v>
      </c>
      <c r="R9" s="58">
        <v>90.14</v>
      </c>
      <c r="S9" s="59"/>
      <c r="T9" s="60">
        <v>24.91</v>
      </c>
      <c r="U9" s="56">
        <v>1.3012999999999999</v>
      </c>
      <c r="V9" s="58">
        <v>32.409999999999997</v>
      </c>
      <c r="W9" s="60">
        <v>32.020000000000003</v>
      </c>
      <c r="X9" s="56">
        <v>1.3012999999999999</v>
      </c>
      <c r="Y9" s="58">
        <v>41.67</v>
      </c>
      <c r="Z9" s="60">
        <v>35.58</v>
      </c>
      <c r="AA9" s="56">
        <v>1.3012999999999999</v>
      </c>
      <c r="AB9" s="58">
        <v>46.3</v>
      </c>
    </row>
    <row r="10" spans="1:28" x14ac:dyDescent="0.25">
      <c r="A10" s="46" t="s">
        <v>138</v>
      </c>
      <c r="B10" s="46" t="s">
        <v>139</v>
      </c>
      <c r="C10" s="46" t="s">
        <v>140</v>
      </c>
      <c r="D10" s="65" t="s">
        <v>141</v>
      </c>
      <c r="E10" s="63" t="s">
        <v>113</v>
      </c>
      <c r="F10" s="68">
        <v>18.43</v>
      </c>
      <c r="G10" s="60">
        <v>19.55</v>
      </c>
      <c r="H10" s="56">
        <v>1.629</v>
      </c>
      <c r="I10" s="57">
        <v>4.54</v>
      </c>
      <c r="J10" s="58">
        <v>36.39</v>
      </c>
      <c r="K10" s="56">
        <v>1.4866999999999999</v>
      </c>
      <c r="L10" s="58">
        <v>45.99</v>
      </c>
      <c r="M10" s="56">
        <v>1.4866999999999999</v>
      </c>
      <c r="N10" s="58">
        <v>46.57</v>
      </c>
      <c r="O10" s="56">
        <v>1.4866999999999999</v>
      </c>
      <c r="P10" s="58">
        <v>65.47</v>
      </c>
      <c r="Q10" s="56">
        <v>1.4866999999999999</v>
      </c>
      <c r="R10" s="58">
        <v>94.54</v>
      </c>
      <c r="S10" s="59"/>
      <c r="T10" s="60">
        <v>25.8</v>
      </c>
      <c r="U10" s="56">
        <v>1.3012999999999999</v>
      </c>
      <c r="V10" s="58">
        <v>33.58</v>
      </c>
      <c r="W10" s="60">
        <v>33.17</v>
      </c>
      <c r="X10" s="56">
        <v>1.3012999999999999</v>
      </c>
      <c r="Y10" s="58">
        <v>43.17</v>
      </c>
      <c r="Z10" s="60">
        <v>36.86</v>
      </c>
      <c r="AA10" s="56">
        <v>1.3012999999999999</v>
      </c>
      <c r="AB10" s="58">
        <v>47.97</v>
      </c>
    </row>
    <row r="11" spans="1:28" x14ac:dyDescent="0.25">
      <c r="A11" s="46" t="s">
        <v>142</v>
      </c>
      <c r="B11" s="46" t="s">
        <v>143</v>
      </c>
      <c r="C11" s="46" t="s">
        <v>144</v>
      </c>
      <c r="D11" s="65" t="s">
        <v>145</v>
      </c>
      <c r="E11" s="63" t="s">
        <v>113</v>
      </c>
      <c r="F11" s="68">
        <v>16.34</v>
      </c>
      <c r="G11" s="60">
        <v>17.34</v>
      </c>
      <c r="H11" s="56">
        <v>1.629</v>
      </c>
      <c r="I11" s="57">
        <v>4.54</v>
      </c>
      <c r="J11" s="58">
        <v>32.78</v>
      </c>
      <c r="K11" s="56">
        <v>1.4866999999999999</v>
      </c>
      <c r="L11" s="58">
        <v>41.29</v>
      </c>
      <c r="M11" s="56">
        <v>1.4866999999999999</v>
      </c>
      <c r="N11" s="58">
        <v>41.8</v>
      </c>
      <c r="O11" s="56">
        <v>1.4866999999999999</v>
      </c>
      <c r="P11" s="58">
        <v>58.56</v>
      </c>
      <c r="Q11" s="56">
        <v>1.4866999999999999</v>
      </c>
      <c r="R11" s="58">
        <v>84.33</v>
      </c>
      <c r="S11" s="59"/>
      <c r="T11" s="60">
        <v>22.88</v>
      </c>
      <c r="U11" s="56">
        <v>1.3012999999999999</v>
      </c>
      <c r="V11" s="58">
        <v>29.77</v>
      </c>
      <c r="W11" s="60">
        <v>29.41</v>
      </c>
      <c r="X11" s="56">
        <v>1.3012999999999999</v>
      </c>
      <c r="Y11" s="58">
        <v>38.270000000000003</v>
      </c>
      <c r="Z11" s="60">
        <v>32.68</v>
      </c>
      <c r="AA11" s="56">
        <v>1.3012999999999999</v>
      </c>
      <c r="AB11" s="58">
        <v>42.53</v>
      </c>
    </row>
    <row r="12" spans="1:28" x14ac:dyDescent="0.25">
      <c r="A12" s="46" t="s">
        <v>146</v>
      </c>
      <c r="B12" s="46" t="s">
        <v>147</v>
      </c>
      <c r="C12" s="46" t="s">
        <v>148</v>
      </c>
      <c r="D12" s="65" t="s">
        <v>149</v>
      </c>
      <c r="E12" s="63" t="s">
        <v>113</v>
      </c>
      <c r="F12" s="68">
        <v>17.71</v>
      </c>
      <c r="G12" s="60">
        <v>18.79</v>
      </c>
      <c r="H12" s="56">
        <v>1.629</v>
      </c>
      <c r="I12" s="57">
        <v>4.54</v>
      </c>
      <c r="J12" s="58">
        <v>35.15</v>
      </c>
      <c r="K12" s="56">
        <v>1.4866999999999999</v>
      </c>
      <c r="L12" s="58">
        <v>44.37</v>
      </c>
      <c r="M12" s="56">
        <v>1.4866999999999999</v>
      </c>
      <c r="N12" s="58">
        <v>44.93</v>
      </c>
      <c r="O12" s="56">
        <v>1.4866999999999999</v>
      </c>
      <c r="P12" s="58">
        <v>63.08</v>
      </c>
      <c r="Q12" s="56">
        <v>1.4866999999999999</v>
      </c>
      <c r="R12" s="58">
        <v>91.02</v>
      </c>
      <c r="S12" s="59"/>
      <c r="T12" s="60">
        <v>24.79</v>
      </c>
      <c r="U12" s="56">
        <v>1.3012999999999999</v>
      </c>
      <c r="V12" s="58">
        <v>32.26</v>
      </c>
      <c r="W12" s="60">
        <v>31.88</v>
      </c>
      <c r="X12" s="56">
        <v>1.3012999999999999</v>
      </c>
      <c r="Y12" s="58">
        <v>41.48</v>
      </c>
      <c r="Z12" s="60">
        <v>35.42</v>
      </c>
      <c r="AA12" s="56">
        <v>1.3012999999999999</v>
      </c>
      <c r="AB12" s="58">
        <v>46.09</v>
      </c>
    </row>
    <row r="13" spans="1:28" x14ac:dyDescent="0.25">
      <c r="A13" s="46" t="s">
        <v>150</v>
      </c>
      <c r="B13" s="46" t="s">
        <v>151</v>
      </c>
      <c r="C13" s="46" t="s">
        <v>152</v>
      </c>
      <c r="D13" s="65" t="s">
        <v>73</v>
      </c>
      <c r="E13" s="63" t="s">
        <v>113</v>
      </c>
      <c r="F13" s="68">
        <v>17.47</v>
      </c>
      <c r="G13" s="60">
        <v>18.54</v>
      </c>
      <c r="H13" s="56">
        <v>1.629</v>
      </c>
      <c r="I13" s="57">
        <v>4.54</v>
      </c>
      <c r="J13" s="58">
        <v>34.729999999999997</v>
      </c>
      <c r="K13" s="56">
        <v>1.4866999999999999</v>
      </c>
      <c r="L13" s="58">
        <v>43.83</v>
      </c>
      <c r="M13" s="56">
        <v>1.4866999999999999</v>
      </c>
      <c r="N13" s="58">
        <v>44.38</v>
      </c>
      <c r="O13" s="56">
        <v>1.4866999999999999</v>
      </c>
      <c r="P13" s="58">
        <v>62.29</v>
      </c>
      <c r="Q13" s="56">
        <v>1.4866999999999999</v>
      </c>
      <c r="R13" s="58">
        <v>89.85</v>
      </c>
      <c r="S13" s="59"/>
      <c r="T13" s="60">
        <v>24.46</v>
      </c>
      <c r="U13" s="56">
        <v>1.3012999999999999</v>
      </c>
      <c r="V13" s="58">
        <v>31.83</v>
      </c>
      <c r="W13" s="60">
        <v>31.45</v>
      </c>
      <c r="X13" s="56">
        <v>1.3012999999999999</v>
      </c>
      <c r="Y13" s="58">
        <v>40.92</v>
      </c>
      <c r="Z13" s="60">
        <v>34.94</v>
      </c>
      <c r="AA13" s="56">
        <v>1.3012999999999999</v>
      </c>
      <c r="AB13" s="58">
        <v>45.47</v>
      </c>
    </row>
    <row r="14" spans="1:28" x14ac:dyDescent="0.25">
      <c r="A14" s="46" t="s">
        <v>153</v>
      </c>
      <c r="B14" s="46" t="s">
        <v>154</v>
      </c>
      <c r="C14" s="46" t="s">
        <v>155</v>
      </c>
      <c r="D14" s="65" t="s">
        <v>156</v>
      </c>
      <c r="E14" s="63" t="s">
        <v>113</v>
      </c>
      <c r="F14" s="68">
        <v>19.04</v>
      </c>
      <c r="G14" s="60">
        <v>20.2</v>
      </c>
      <c r="H14" s="56">
        <v>1.629</v>
      </c>
      <c r="I14" s="57">
        <v>4.54</v>
      </c>
      <c r="J14" s="58">
        <v>37.450000000000003</v>
      </c>
      <c r="K14" s="56">
        <v>1.4866999999999999</v>
      </c>
      <c r="L14" s="58">
        <v>47.36</v>
      </c>
      <c r="M14" s="56">
        <v>1.4866999999999999</v>
      </c>
      <c r="N14" s="58">
        <v>47.96</v>
      </c>
      <c r="O14" s="56">
        <v>1.4866999999999999</v>
      </c>
      <c r="P14" s="58">
        <v>67.48</v>
      </c>
      <c r="Q14" s="56">
        <v>1.4866999999999999</v>
      </c>
      <c r="R14" s="58">
        <v>97.52</v>
      </c>
      <c r="S14" s="59"/>
      <c r="T14" s="60">
        <v>26.66</v>
      </c>
      <c r="U14" s="61">
        <v>1.3012999999999999</v>
      </c>
      <c r="V14" s="58">
        <v>34.69</v>
      </c>
      <c r="W14" s="60">
        <v>34.270000000000003</v>
      </c>
      <c r="X14" s="62">
        <v>1.3012999999999999</v>
      </c>
      <c r="Y14" s="58">
        <v>44.6</v>
      </c>
      <c r="Z14" s="60">
        <v>38.08</v>
      </c>
      <c r="AA14" s="56">
        <v>1.3012999999999999</v>
      </c>
      <c r="AB14" s="58">
        <v>49.55</v>
      </c>
    </row>
    <row r="15" spans="1:28" x14ac:dyDescent="0.25">
      <c r="A15" s="46" t="s">
        <v>157</v>
      </c>
      <c r="B15" s="46" t="s">
        <v>158</v>
      </c>
      <c r="C15" s="46" t="s">
        <v>159</v>
      </c>
      <c r="D15" s="65" t="s">
        <v>160</v>
      </c>
      <c r="E15" s="63" t="s">
        <v>113</v>
      </c>
      <c r="F15" s="68">
        <v>16.989999999999998</v>
      </c>
      <c r="G15" s="60">
        <v>18.03</v>
      </c>
      <c r="H15" s="56">
        <v>1.629</v>
      </c>
      <c r="I15" s="57">
        <v>4.54</v>
      </c>
      <c r="J15" s="58">
        <v>33.9</v>
      </c>
      <c r="K15" s="56">
        <v>1.4866999999999999</v>
      </c>
      <c r="L15" s="58">
        <v>42.75</v>
      </c>
      <c r="M15" s="56">
        <v>1.4866999999999999</v>
      </c>
      <c r="N15" s="58">
        <v>43.28</v>
      </c>
      <c r="O15" s="56">
        <v>1.4866999999999999</v>
      </c>
      <c r="P15" s="58">
        <v>60.7</v>
      </c>
      <c r="Q15" s="56">
        <v>1.4866999999999999</v>
      </c>
      <c r="R15" s="58">
        <v>87.5</v>
      </c>
      <c r="S15" s="59"/>
      <c r="T15" s="60">
        <v>23.79</v>
      </c>
      <c r="U15" s="56">
        <v>1.3012999999999999</v>
      </c>
      <c r="V15" s="58">
        <v>30.95</v>
      </c>
      <c r="W15" s="60">
        <v>30.58</v>
      </c>
      <c r="X15" s="56">
        <v>1.3012999999999999</v>
      </c>
      <c r="Y15" s="58">
        <v>39.799999999999997</v>
      </c>
      <c r="Z15" s="60">
        <v>33.979999999999997</v>
      </c>
      <c r="AA15" s="56">
        <v>1.3012999999999999</v>
      </c>
      <c r="AB15" s="58">
        <v>44.22</v>
      </c>
    </row>
    <row r="16" spans="1:28" x14ac:dyDescent="0.25">
      <c r="A16" s="46" t="s">
        <v>161</v>
      </c>
      <c r="B16" s="46" t="s">
        <v>162</v>
      </c>
      <c r="C16" s="46" t="s">
        <v>163</v>
      </c>
      <c r="D16" s="65" t="s">
        <v>164</v>
      </c>
      <c r="E16" s="63" t="s">
        <v>113</v>
      </c>
      <c r="F16" s="68">
        <v>16.73</v>
      </c>
      <c r="G16" s="60">
        <v>17.75</v>
      </c>
      <c r="H16" s="56">
        <v>1.629</v>
      </c>
      <c r="I16" s="57">
        <v>4.54</v>
      </c>
      <c r="J16" s="58">
        <v>33.46</v>
      </c>
      <c r="K16" s="56">
        <v>1.4866999999999999</v>
      </c>
      <c r="L16" s="58">
        <v>42.16</v>
      </c>
      <c r="M16" s="56">
        <v>1.4866999999999999</v>
      </c>
      <c r="N16" s="58">
        <v>42.69</v>
      </c>
      <c r="O16" s="56">
        <v>1.4866999999999999</v>
      </c>
      <c r="P16" s="58">
        <v>59.85</v>
      </c>
      <c r="Q16" s="56">
        <v>1.4866999999999999</v>
      </c>
      <c r="R16" s="58">
        <v>86.24</v>
      </c>
      <c r="S16" s="59"/>
      <c r="T16" s="60">
        <v>23.42</v>
      </c>
      <c r="U16" s="56">
        <v>1.3012999999999999</v>
      </c>
      <c r="V16" s="58">
        <v>30.48</v>
      </c>
      <c r="W16" s="60">
        <v>30.11</v>
      </c>
      <c r="X16" s="56">
        <v>1.3012999999999999</v>
      </c>
      <c r="Y16" s="58">
        <v>39.19</v>
      </c>
      <c r="Z16" s="60">
        <v>33.46</v>
      </c>
      <c r="AA16" s="56">
        <v>1.3012999999999999</v>
      </c>
      <c r="AB16" s="58">
        <v>43.54</v>
      </c>
    </row>
    <row r="17" spans="1:28" x14ac:dyDescent="0.25">
      <c r="A17" s="46" t="s">
        <v>165</v>
      </c>
      <c r="B17" s="46" t="s">
        <v>126</v>
      </c>
      <c r="C17" s="46" t="s">
        <v>166</v>
      </c>
      <c r="D17" s="65" t="s">
        <v>167</v>
      </c>
      <c r="E17" s="63" t="s">
        <v>113</v>
      </c>
      <c r="F17" s="68">
        <v>16.13</v>
      </c>
      <c r="G17" s="60">
        <v>17.11</v>
      </c>
      <c r="H17" s="56">
        <v>1.629</v>
      </c>
      <c r="I17" s="57">
        <v>4.54</v>
      </c>
      <c r="J17" s="58">
        <v>32.42</v>
      </c>
      <c r="K17" s="56">
        <v>1.4866999999999999</v>
      </c>
      <c r="L17" s="58">
        <v>40.81</v>
      </c>
      <c r="M17" s="56">
        <v>1.4866999999999999</v>
      </c>
      <c r="N17" s="58">
        <v>41.32</v>
      </c>
      <c r="O17" s="56">
        <v>1.4866999999999999</v>
      </c>
      <c r="P17" s="58">
        <v>57.86</v>
      </c>
      <c r="Q17" s="56">
        <v>1.4866999999999999</v>
      </c>
      <c r="R17" s="58">
        <v>83.31</v>
      </c>
      <c r="S17" s="59"/>
      <c r="T17" s="60">
        <v>22.58</v>
      </c>
      <c r="U17" s="56">
        <v>1.3012999999999999</v>
      </c>
      <c r="V17" s="58">
        <v>29.39</v>
      </c>
      <c r="W17" s="60">
        <v>29.03</v>
      </c>
      <c r="X17" s="56">
        <v>1.3012999999999999</v>
      </c>
      <c r="Y17" s="58">
        <v>37.78</v>
      </c>
      <c r="Z17" s="60">
        <v>32.26</v>
      </c>
      <c r="AA17" s="56">
        <v>1.3012999999999999</v>
      </c>
      <c r="AB17" s="58">
        <v>41.98</v>
      </c>
    </row>
    <row r="18" spans="1:28" x14ac:dyDescent="0.25">
      <c r="A18" s="46" t="s">
        <v>168</v>
      </c>
      <c r="B18" s="46" t="s">
        <v>169</v>
      </c>
      <c r="C18" s="46" t="s">
        <v>170</v>
      </c>
      <c r="D18" s="65" t="s">
        <v>171</v>
      </c>
      <c r="E18" s="63" t="s">
        <v>113</v>
      </c>
      <c r="F18" s="68">
        <v>16.55</v>
      </c>
      <c r="G18" s="60">
        <v>17.559999999999999</v>
      </c>
      <c r="H18" s="56">
        <v>1.629</v>
      </c>
      <c r="I18" s="57">
        <v>4.54</v>
      </c>
      <c r="J18" s="58">
        <v>33.14</v>
      </c>
      <c r="K18" s="56">
        <v>1.4866999999999999</v>
      </c>
      <c r="L18" s="58">
        <v>41.76</v>
      </c>
      <c r="M18" s="56">
        <v>1.4866999999999999</v>
      </c>
      <c r="N18" s="58">
        <v>42.28</v>
      </c>
      <c r="O18" s="56">
        <v>1.4866999999999999</v>
      </c>
      <c r="P18" s="58">
        <v>59.25</v>
      </c>
      <c r="Q18" s="56">
        <v>1.4866999999999999</v>
      </c>
      <c r="R18" s="58">
        <v>85.36</v>
      </c>
      <c r="S18" s="59"/>
      <c r="T18" s="60">
        <v>23.17</v>
      </c>
      <c r="U18" s="56">
        <v>1.3012999999999999</v>
      </c>
      <c r="V18" s="58">
        <v>30.15</v>
      </c>
      <c r="W18" s="60">
        <v>29.79</v>
      </c>
      <c r="X18" s="56">
        <v>1.3012999999999999</v>
      </c>
      <c r="Y18" s="58">
        <v>38.770000000000003</v>
      </c>
      <c r="Z18" s="60">
        <v>33.1</v>
      </c>
      <c r="AA18" s="56">
        <v>1.3012999999999999</v>
      </c>
      <c r="AB18" s="58">
        <v>43.07</v>
      </c>
    </row>
    <row r="19" spans="1:28" x14ac:dyDescent="0.25">
      <c r="A19" s="46" t="s">
        <v>172</v>
      </c>
      <c r="B19" s="46" t="s">
        <v>173</v>
      </c>
      <c r="C19" s="46" t="s">
        <v>174</v>
      </c>
      <c r="D19" s="65" t="s">
        <v>175</v>
      </c>
      <c r="E19" s="63" t="s">
        <v>113</v>
      </c>
      <c r="F19" s="68">
        <v>15.86</v>
      </c>
      <c r="G19" s="60">
        <v>16.829999999999998</v>
      </c>
      <c r="H19" s="56">
        <v>1.629</v>
      </c>
      <c r="I19" s="57">
        <v>4.54</v>
      </c>
      <c r="J19" s="58">
        <v>31.95</v>
      </c>
      <c r="K19" s="56">
        <v>1.4866999999999999</v>
      </c>
      <c r="L19" s="58">
        <v>40.21</v>
      </c>
      <c r="M19" s="56">
        <v>1.4866999999999999</v>
      </c>
      <c r="N19" s="58">
        <v>40.71</v>
      </c>
      <c r="O19" s="56">
        <v>1.4866999999999999</v>
      </c>
      <c r="P19" s="58">
        <v>56.97</v>
      </c>
      <c r="Q19" s="56">
        <v>1.4866999999999999</v>
      </c>
      <c r="R19" s="58">
        <v>81.99</v>
      </c>
      <c r="S19" s="59"/>
      <c r="T19" s="60">
        <v>22.2</v>
      </c>
      <c r="U19" s="56">
        <v>1.3012999999999999</v>
      </c>
      <c r="V19" s="58">
        <v>28.89</v>
      </c>
      <c r="W19" s="60">
        <v>28.55</v>
      </c>
      <c r="X19" s="56">
        <v>1.3012999999999999</v>
      </c>
      <c r="Y19" s="58">
        <v>37.15</v>
      </c>
      <c r="Z19" s="60">
        <v>31.72</v>
      </c>
      <c r="AA19" s="56">
        <v>1.3012999999999999</v>
      </c>
      <c r="AB19" s="58">
        <v>41.28</v>
      </c>
    </row>
    <row r="20" spans="1:28" x14ac:dyDescent="0.25">
      <c r="A20" s="46" t="s">
        <v>176</v>
      </c>
      <c r="B20" s="46" t="s">
        <v>177</v>
      </c>
      <c r="C20" s="46" t="s">
        <v>178</v>
      </c>
      <c r="D20" s="65" t="s">
        <v>175</v>
      </c>
      <c r="E20" s="63" t="s">
        <v>113</v>
      </c>
      <c r="F20" s="68">
        <v>15.86</v>
      </c>
      <c r="G20" s="60">
        <v>16.829999999999998</v>
      </c>
      <c r="H20" s="56">
        <v>1.629</v>
      </c>
      <c r="I20" s="57">
        <v>4.54</v>
      </c>
      <c r="J20" s="58">
        <v>31.95</v>
      </c>
      <c r="K20" s="56">
        <v>1.4866999999999999</v>
      </c>
      <c r="L20" s="58">
        <v>40.21</v>
      </c>
      <c r="M20" s="56">
        <v>1.4866999999999999</v>
      </c>
      <c r="N20" s="58">
        <v>40.71</v>
      </c>
      <c r="O20" s="56">
        <v>1.4866999999999999</v>
      </c>
      <c r="P20" s="58">
        <v>56.97</v>
      </c>
      <c r="Q20" s="56">
        <v>1.4866999999999999</v>
      </c>
      <c r="R20" s="58">
        <v>81.99</v>
      </c>
      <c r="S20" s="59"/>
      <c r="T20" s="60">
        <v>22.2</v>
      </c>
      <c r="U20" s="56">
        <v>1.3012999999999999</v>
      </c>
      <c r="V20" s="58">
        <v>28.89</v>
      </c>
      <c r="W20" s="60">
        <v>28.55</v>
      </c>
      <c r="X20" s="56">
        <v>1.3012999999999999</v>
      </c>
      <c r="Y20" s="58">
        <v>37.15</v>
      </c>
      <c r="Z20" s="60">
        <v>31.72</v>
      </c>
      <c r="AA20" s="56">
        <v>1.3012999999999999</v>
      </c>
      <c r="AB20" s="58">
        <v>41.28</v>
      </c>
    </row>
    <row r="21" spans="1:28" x14ac:dyDescent="0.25">
      <c r="A21" s="46" t="s">
        <v>179</v>
      </c>
      <c r="B21" s="46" t="s">
        <v>180</v>
      </c>
      <c r="C21" s="46" t="s">
        <v>181</v>
      </c>
      <c r="D21" s="65" t="s">
        <v>182</v>
      </c>
      <c r="E21" s="63" t="s">
        <v>113</v>
      </c>
      <c r="F21" s="68">
        <v>15.48</v>
      </c>
      <c r="G21" s="60">
        <v>16.420000000000002</v>
      </c>
      <c r="H21" s="56">
        <v>1.629</v>
      </c>
      <c r="I21" s="57">
        <v>4.54</v>
      </c>
      <c r="J21" s="58">
        <v>31.3</v>
      </c>
      <c r="K21" s="56">
        <v>1.4866999999999999</v>
      </c>
      <c r="L21" s="58">
        <v>39.35</v>
      </c>
      <c r="M21" s="56">
        <v>1.4866999999999999</v>
      </c>
      <c r="N21" s="58">
        <v>39.840000000000003</v>
      </c>
      <c r="O21" s="56">
        <v>1.4866999999999999</v>
      </c>
      <c r="P21" s="58">
        <v>55.71</v>
      </c>
      <c r="Q21" s="56">
        <v>1.4866999999999999</v>
      </c>
      <c r="R21" s="58">
        <v>80.13</v>
      </c>
      <c r="S21" s="59"/>
      <c r="T21" s="60">
        <v>21.67</v>
      </c>
      <c r="U21" s="56">
        <v>1.3012999999999999</v>
      </c>
      <c r="V21" s="58">
        <v>28.2</v>
      </c>
      <c r="W21" s="60">
        <v>27.86</v>
      </c>
      <c r="X21" s="56">
        <v>1.3012999999999999</v>
      </c>
      <c r="Y21" s="58">
        <v>36.26</v>
      </c>
      <c r="Z21" s="60">
        <v>30.96</v>
      </c>
      <c r="AA21" s="56">
        <v>1.3012999999999999</v>
      </c>
      <c r="AB21" s="58">
        <v>40.29</v>
      </c>
    </row>
    <row r="22" spans="1:28" x14ac:dyDescent="0.25">
      <c r="A22" s="46" t="s">
        <v>183</v>
      </c>
      <c r="B22" s="46" t="s">
        <v>111</v>
      </c>
      <c r="C22" s="46" t="s">
        <v>184</v>
      </c>
      <c r="D22" s="65" t="s">
        <v>145</v>
      </c>
      <c r="E22" s="63" t="s">
        <v>113</v>
      </c>
      <c r="F22" s="68">
        <v>16.34</v>
      </c>
      <c r="G22" s="60">
        <v>17.34</v>
      </c>
      <c r="H22" s="56">
        <v>1.629</v>
      </c>
      <c r="I22" s="57">
        <v>4.54</v>
      </c>
      <c r="J22" s="58">
        <v>32.78</v>
      </c>
      <c r="K22" s="56">
        <v>1.4866999999999999</v>
      </c>
      <c r="L22" s="58">
        <v>41.29</v>
      </c>
      <c r="M22" s="56">
        <v>1.4866999999999999</v>
      </c>
      <c r="N22" s="58">
        <v>41.8</v>
      </c>
      <c r="O22" s="56">
        <v>1.4866999999999999</v>
      </c>
      <c r="P22" s="58">
        <v>58.56</v>
      </c>
      <c r="Q22" s="56">
        <v>1.4866999999999999</v>
      </c>
      <c r="R22" s="58">
        <v>84.33</v>
      </c>
      <c r="S22" s="59"/>
      <c r="T22" s="60">
        <v>22.88</v>
      </c>
      <c r="U22" s="56">
        <v>1.3012999999999999</v>
      </c>
      <c r="V22" s="58">
        <v>29.77</v>
      </c>
      <c r="W22" s="60">
        <v>29.41</v>
      </c>
      <c r="X22" s="56">
        <v>1.3012999999999999</v>
      </c>
      <c r="Y22" s="58">
        <v>38.270000000000003</v>
      </c>
      <c r="Z22" s="60">
        <v>32.68</v>
      </c>
      <c r="AA22" s="56">
        <v>1.3012999999999999</v>
      </c>
      <c r="AB22" s="58">
        <v>42.53</v>
      </c>
    </row>
    <row r="23" spans="1:28" x14ac:dyDescent="0.25">
      <c r="A23" s="46" t="s">
        <v>185</v>
      </c>
      <c r="B23" s="46" t="s">
        <v>139</v>
      </c>
      <c r="C23" s="46" t="s">
        <v>186</v>
      </c>
      <c r="D23" s="65" t="s">
        <v>182</v>
      </c>
      <c r="E23" s="63" t="s">
        <v>113</v>
      </c>
      <c r="F23" s="68">
        <v>15.48</v>
      </c>
      <c r="G23" s="60">
        <v>16.420000000000002</v>
      </c>
      <c r="H23" s="56">
        <v>1.629</v>
      </c>
      <c r="I23" s="57">
        <v>4.54</v>
      </c>
      <c r="J23" s="58">
        <v>31.3</v>
      </c>
      <c r="K23" s="56">
        <v>1.4866999999999999</v>
      </c>
      <c r="L23" s="58">
        <v>39.35</v>
      </c>
      <c r="M23" s="56">
        <v>1.4866999999999999</v>
      </c>
      <c r="N23" s="58">
        <v>39.840000000000003</v>
      </c>
      <c r="O23" s="56">
        <v>1.4866999999999999</v>
      </c>
      <c r="P23" s="58">
        <v>55.71</v>
      </c>
      <c r="Q23" s="56">
        <v>1.4866999999999999</v>
      </c>
      <c r="R23" s="58">
        <v>80.13</v>
      </c>
      <c r="S23" s="59"/>
      <c r="T23" s="60">
        <v>21.67</v>
      </c>
      <c r="U23" s="56">
        <v>1.3012999999999999</v>
      </c>
      <c r="V23" s="58">
        <v>28.2</v>
      </c>
      <c r="W23" s="60">
        <v>27.86</v>
      </c>
      <c r="X23" s="56">
        <v>1.3012999999999999</v>
      </c>
      <c r="Y23" s="58">
        <v>36.26</v>
      </c>
      <c r="Z23" s="60">
        <v>30.96</v>
      </c>
      <c r="AA23" s="56">
        <v>1.3012999999999999</v>
      </c>
      <c r="AB23" s="58">
        <v>40.29</v>
      </c>
    </row>
    <row r="24" spans="1:28" x14ac:dyDescent="0.25">
      <c r="A24" s="46" t="s">
        <v>187</v>
      </c>
      <c r="B24" s="46" t="s">
        <v>188</v>
      </c>
      <c r="C24" s="46" t="s">
        <v>189</v>
      </c>
      <c r="D24" s="65" t="s">
        <v>190</v>
      </c>
      <c r="E24" s="63" t="s">
        <v>113</v>
      </c>
      <c r="F24" s="68">
        <v>16.059999999999999</v>
      </c>
      <c r="G24" s="60">
        <v>17.04</v>
      </c>
      <c r="H24" s="56">
        <v>1.629</v>
      </c>
      <c r="I24" s="57">
        <v>4.54</v>
      </c>
      <c r="J24" s="58">
        <v>32.299999999999997</v>
      </c>
      <c r="K24" s="56">
        <v>1.4866999999999999</v>
      </c>
      <c r="L24" s="58">
        <v>40.659999999999997</v>
      </c>
      <c r="M24" s="56">
        <v>1.4866999999999999</v>
      </c>
      <c r="N24" s="58">
        <v>41.16</v>
      </c>
      <c r="O24" s="56">
        <v>1.4866999999999999</v>
      </c>
      <c r="P24" s="58">
        <v>57.63</v>
      </c>
      <c r="Q24" s="56">
        <v>1.4866999999999999</v>
      </c>
      <c r="R24" s="58">
        <v>82.96</v>
      </c>
      <c r="S24" s="59"/>
      <c r="T24" s="60">
        <v>22.48</v>
      </c>
      <c r="U24" s="56">
        <v>1.3012999999999999</v>
      </c>
      <c r="V24" s="58">
        <v>29.26</v>
      </c>
      <c r="W24" s="60">
        <v>28.91</v>
      </c>
      <c r="X24" s="56">
        <v>1.3012999999999999</v>
      </c>
      <c r="Y24" s="58">
        <v>37.619999999999997</v>
      </c>
      <c r="Z24" s="60">
        <v>32.119999999999997</v>
      </c>
      <c r="AA24" s="56">
        <v>1.3012999999999999</v>
      </c>
      <c r="AB24" s="58">
        <v>41.8</v>
      </c>
    </row>
    <row r="25" spans="1:28" x14ac:dyDescent="0.25">
      <c r="A25" s="46" t="s">
        <v>191</v>
      </c>
      <c r="B25" s="46" t="s">
        <v>192</v>
      </c>
      <c r="C25" s="46" t="s">
        <v>193</v>
      </c>
      <c r="D25" s="65" t="s">
        <v>167</v>
      </c>
      <c r="E25" s="63" t="s">
        <v>113</v>
      </c>
      <c r="F25" s="68">
        <v>16.13</v>
      </c>
      <c r="G25" s="60">
        <v>17.11</v>
      </c>
      <c r="H25" s="56">
        <v>1.629</v>
      </c>
      <c r="I25" s="57">
        <v>4.54</v>
      </c>
      <c r="J25" s="58">
        <v>32.42</v>
      </c>
      <c r="K25" s="56">
        <v>1.4866999999999999</v>
      </c>
      <c r="L25" s="58">
        <v>40.81</v>
      </c>
      <c r="M25" s="56">
        <v>1.4866999999999999</v>
      </c>
      <c r="N25" s="58">
        <v>41.32</v>
      </c>
      <c r="O25" s="56">
        <v>1.4866999999999999</v>
      </c>
      <c r="P25" s="58">
        <v>57.86</v>
      </c>
      <c r="Q25" s="56">
        <v>1.4866999999999999</v>
      </c>
      <c r="R25" s="58">
        <v>83.31</v>
      </c>
      <c r="S25" s="59"/>
      <c r="T25" s="60">
        <v>22.58</v>
      </c>
      <c r="U25" s="56">
        <v>1.3012999999999999</v>
      </c>
      <c r="V25" s="58">
        <v>29.39</v>
      </c>
      <c r="W25" s="60">
        <v>29.03</v>
      </c>
      <c r="X25" s="56">
        <v>1.3012999999999999</v>
      </c>
      <c r="Y25" s="58">
        <v>37.78</v>
      </c>
      <c r="Z25" s="60">
        <v>32.26</v>
      </c>
      <c r="AA25" s="56">
        <v>1.3012999999999999</v>
      </c>
      <c r="AB25" s="58">
        <v>41.98</v>
      </c>
    </row>
    <row r="26" spans="1:28" x14ac:dyDescent="0.25">
      <c r="A26" s="46" t="s">
        <v>194</v>
      </c>
      <c r="B26" s="46" t="s">
        <v>195</v>
      </c>
      <c r="C26" s="46" t="s">
        <v>196</v>
      </c>
      <c r="D26" s="65" t="s">
        <v>156</v>
      </c>
      <c r="E26" s="63" t="s">
        <v>113</v>
      </c>
      <c r="F26" s="68">
        <v>19.04</v>
      </c>
      <c r="G26" s="60">
        <v>20.2</v>
      </c>
      <c r="H26" s="56">
        <v>1.629</v>
      </c>
      <c r="I26" s="57">
        <v>4.54</v>
      </c>
      <c r="J26" s="58">
        <v>37.450000000000003</v>
      </c>
      <c r="K26" s="56">
        <v>1.4866999999999999</v>
      </c>
      <c r="L26" s="58">
        <v>47.36</v>
      </c>
      <c r="M26" s="56">
        <v>1.4866999999999999</v>
      </c>
      <c r="N26" s="58">
        <v>47.96</v>
      </c>
      <c r="O26" s="56">
        <v>1.4866999999999999</v>
      </c>
      <c r="P26" s="58">
        <v>67.48</v>
      </c>
      <c r="Q26" s="56">
        <v>1.4866999999999999</v>
      </c>
      <c r="R26" s="58">
        <v>97.52</v>
      </c>
      <c r="S26" s="59"/>
      <c r="T26" s="60">
        <v>26.66</v>
      </c>
      <c r="U26" s="61">
        <v>1.3012999999999999</v>
      </c>
      <c r="V26" s="58">
        <v>34.69</v>
      </c>
      <c r="W26" s="60">
        <v>34.270000000000003</v>
      </c>
      <c r="X26" s="62">
        <v>1.3012999999999999</v>
      </c>
      <c r="Y26" s="58">
        <v>44.6</v>
      </c>
      <c r="Z26" s="60">
        <v>38.08</v>
      </c>
      <c r="AA26" s="56">
        <v>1.3012999999999999</v>
      </c>
      <c r="AB26" s="58">
        <v>49.55</v>
      </c>
    </row>
    <row r="27" spans="1:28" x14ac:dyDescent="0.25">
      <c r="A27" s="46" t="s">
        <v>197</v>
      </c>
      <c r="B27" s="46" t="s">
        <v>198</v>
      </c>
      <c r="C27" s="46" t="s">
        <v>199</v>
      </c>
      <c r="D27" s="65" t="s">
        <v>200</v>
      </c>
      <c r="E27" s="63" t="s">
        <v>113</v>
      </c>
      <c r="F27" s="68">
        <v>16.739999999999998</v>
      </c>
      <c r="G27" s="60">
        <v>17.760000000000002</v>
      </c>
      <c r="H27" s="56">
        <v>1.629</v>
      </c>
      <c r="I27" s="57">
        <v>4.54</v>
      </c>
      <c r="J27" s="58">
        <v>33.47</v>
      </c>
      <c r="K27" s="56">
        <v>1.4866999999999999</v>
      </c>
      <c r="L27" s="58">
        <v>42.19</v>
      </c>
      <c r="M27" s="56">
        <v>1.4866999999999999</v>
      </c>
      <c r="N27" s="58">
        <v>42.71</v>
      </c>
      <c r="O27" s="56">
        <v>1.4866999999999999</v>
      </c>
      <c r="P27" s="58">
        <v>59.88</v>
      </c>
      <c r="Q27" s="56">
        <v>1.4866999999999999</v>
      </c>
      <c r="R27" s="58">
        <v>86.28</v>
      </c>
      <c r="S27" s="59"/>
      <c r="T27" s="60">
        <v>23.44</v>
      </c>
      <c r="U27" s="56">
        <v>1.3012999999999999</v>
      </c>
      <c r="V27" s="58">
        <v>30.5</v>
      </c>
      <c r="W27" s="60">
        <v>30.13</v>
      </c>
      <c r="X27" s="56">
        <v>1.3012999999999999</v>
      </c>
      <c r="Y27" s="58">
        <v>39.21</v>
      </c>
      <c r="Z27" s="60">
        <v>33.479999999999997</v>
      </c>
      <c r="AA27" s="56">
        <v>1.3012999999999999</v>
      </c>
      <c r="AB27" s="58">
        <v>43.57</v>
      </c>
    </row>
    <row r="28" spans="1:28" x14ac:dyDescent="0.25">
      <c r="A28" s="46" t="s">
        <v>201</v>
      </c>
      <c r="B28" s="46" t="s">
        <v>202</v>
      </c>
      <c r="C28" s="46" t="s">
        <v>203</v>
      </c>
      <c r="D28" s="65" t="s">
        <v>204</v>
      </c>
      <c r="E28" s="63" t="s">
        <v>113</v>
      </c>
      <c r="F28" s="68">
        <v>16.510000000000002</v>
      </c>
      <c r="G28" s="60">
        <v>17.52</v>
      </c>
      <c r="H28" s="56">
        <v>1.629</v>
      </c>
      <c r="I28" s="57">
        <v>4.54</v>
      </c>
      <c r="J28" s="58">
        <v>33.08</v>
      </c>
      <c r="K28" s="56">
        <v>1.4866999999999999</v>
      </c>
      <c r="L28" s="58">
        <v>41.67</v>
      </c>
      <c r="M28" s="56">
        <v>1.4866999999999999</v>
      </c>
      <c r="N28" s="58">
        <v>42.19</v>
      </c>
      <c r="O28" s="56">
        <v>1.4866999999999999</v>
      </c>
      <c r="P28" s="58">
        <v>59.12</v>
      </c>
      <c r="Q28" s="56">
        <v>1.4866999999999999</v>
      </c>
      <c r="R28" s="58">
        <v>85.16</v>
      </c>
      <c r="S28" s="59"/>
      <c r="T28" s="60">
        <v>23.11</v>
      </c>
      <c r="U28" s="56">
        <v>1.3012999999999999</v>
      </c>
      <c r="V28" s="58">
        <v>30.08</v>
      </c>
      <c r="W28" s="60">
        <v>29.72</v>
      </c>
      <c r="X28" s="56">
        <v>1.3012999999999999</v>
      </c>
      <c r="Y28" s="58">
        <v>38.67</v>
      </c>
      <c r="Z28" s="60">
        <v>33.020000000000003</v>
      </c>
      <c r="AA28" s="56">
        <v>1.3012999999999999</v>
      </c>
      <c r="AB28" s="58">
        <v>42.97</v>
      </c>
    </row>
    <row r="29" spans="1:28" x14ac:dyDescent="0.25">
      <c r="A29" s="46" t="s">
        <v>205</v>
      </c>
      <c r="B29" s="46" t="s">
        <v>206</v>
      </c>
      <c r="C29" s="46" t="s">
        <v>207</v>
      </c>
      <c r="D29" s="65" t="s">
        <v>182</v>
      </c>
      <c r="E29" s="63" t="s">
        <v>113</v>
      </c>
      <c r="F29" s="68">
        <v>15.48</v>
      </c>
      <c r="G29" s="60">
        <v>16.420000000000002</v>
      </c>
      <c r="H29" s="56">
        <v>1.629</v>
      </c>
      <c r="I29" s="57">
        <v>4.54</v>
      </c>
      <c r="J29" s="58">
        <v>31.3</v>
      </c>
      <c r="K29" s="56">
        <v>1.4866999999999999</v>
      </c>
      <c r="L29" s="58">
        <v>39.35</v>
      </c>
      <c r="M29" s="56">
        <v>1.4866999999999999</v>
      </c>
      <c r="N29" s="58">
        <v>39.840000000000003</v>
      </c>
      <c r="O29" s="56">
        <v>1.4866999999999999</v>
      </c>
      <c r="P29" s="58">
        <v>55.71</v>
      </c>
      <c r="Q29" s="56">
        <v>1.4866999999999999</v>
      </c>
      <c r="R29" s="58">
        <v>80.13</v>
      </c>
      <c r="S29" s="59"/>
      <c r="T29" s="60">
        <v>21.67</v>
      </c>
      <c r="U29" s="56">
        <v>1.3012999999999999</v>
      </c>
      <c r="V29" s="58">
        <v>28.2</v>
      </c>
      <c r="W29" s="60">
        <v>27.86</v>
      </c>
      <c r="X29" s="56">
        <v>1.3012999999999999</v>
      </c>
      <c r="Y29" s="58">
        <v>36.26</v>
      </c>
      <c r="Z29" s="60">
        <v>30.96</v>
      </c>
      <c r="AA29" s="56">
        <v>1.3012999999999999</v>
      </c>
      <c r="AB29" s="58">
        <v>40.29</v>
      </c>
    </row>
    <row r="30" spans="1:28" x14ac:dyDescent="0.25">
      <c r="A30" s="46" t="s">
        <v>208</v>
      </c>
      <c r="B30" s="46" t="s">
        <v>209</v>
      </c>
      <c r="C30" s="46" t="s">
        <v>178</v>
      </c>
      <c r="D30" s="65" t="s">
        <v>182</v>
      </c>
      <c r="E30" s="63" t="s">
        <v>113</v>
      </c>
      <c r="F30" s="68">
        <v>15.48</v>
      </c>
      <c r="G30" s="60">
        <v>16.420000000000002</v>
      </c>
      <c r="H30" s="56">
        <v>1.629</v>
      </c>
      <c r="I30" s="57">
        <v>4.54</v>
      </c>
      <c r="J30" s="58">
        <v>31.3</v>
      </c>
      <c r="K30" s="56">
        <v>1.4866999999999999</v>
      </c>
      <c r="L30" s="58">
        <v>39.35</v>
      </c>
      <c r="M30" s="56">
        <v>1.4866999999999999</v>
      </c>
      <c r="N30" s="58">
        <v>39.840000000000003</v>
      </c>
      <c r="O30" s="56">
        <v>1.4866999999999999</v>
      </c>
      <c r="P30" s="58">
        <v>55.71</v>
      </c>
      <c r="Q30" s="56">
        <v>1.4866999999999999</v>
      </c>
      <c r="R30" s="58">
        <v>80.13</v>
      </c>
      <c r="S30" s="59"/>
      <c r="T30" s="60">
        <v>21.67</v>
      </c>
      <c r="U30" s="56">
        <v>1.3012999999999999</v>
      </c>
      <c r="V30" s="58">
        <v>28.2</v>
      </c>
      <c r="W30" s="60">
        <v>27.86</v>
      </c>
      <c r="X30" s="56">
        <v>1.3012999999999999</v>
      </c>
      <c r="Y30" s="58">
        <v>36.26</v>
      </c>
      <c r="Z30" s="60">
        <v>30.96</v>
      </c>
      <c r="AA30" s="56">
        <v>1.3012999999999999</v>
      </c>
      <c r="AB30" s="58">
        <v>40.29</v>
      </c>
    </row>
    <row r="31" spans="1:28" x14ac:dyDescent="0.25">
      <c r="A31" s="46" t="s">
        <v>210</v>
      </c>
      <c r="B31" s="46" t="s">
        <v>211</v>
      </c>
      <c r="C31" s="46" t="s">
        <v>212</v>
      </c>
      <c r="D31" s="65" t="s">
        <v>204</v>
      </c>
      <c r="E31" s="63" t="s">
        <v>113</v>
      </c>
      <c r="F31" s="68">
        <v>16.510000000000002</v>
      </c>
      <c r="G31" s="60">
        <v>17.52</v>
      </c>
      <c r="H31" s="56">
        <v>1.629</v>
      </c>
      <c r="I31" s="57">
        <v>4.54</v>
      </c>
      <c r="J31" s="58">
        <v>33.08</v>
      </c>
      <c r="K31" s="56">
        <v>1.4866999999999999</v>
      </c>
      <c r="L31" s="58">
        <v>41.67</v>
      </c>
      <c r="M31" s="56">
        <v>1.4866999999999999</v>
      </c>
      <c r="N31" s="58">
        <v>42.19</v>
      </c>
      <c r="O31" s="56">
        <v>1.4866999999999999</v>
      </c>
      <c r="P31" s="58">
        <v>59.12</v>
      </c>
      <c r="Q31" s="56">
        <v>1.4866999999999999</v>
      </c>
      <c r="R31" s="58">
        <v>85.16</v>
      </c>
      <c r="S31" s="59"/>
      <c r="T31" s="60">
        <v>23.11</v>
      </c>
      <c r="U31" s="56">
        <v>1.3012999999999999</v>
      </c>
      <c r="V31" s="58">
        <v>30.08</v>
      </c>
      <c r="W31" s="60">
        <v>29.72</v>
      </c>
      <c r="X31" s="56">
        <v>1.3012999999999999</v>
      </c>
      <c r="Y31" s="58">
        <v>38.67</v>
      </c>
      <c r="Z31" s="60">
        <v>33.020000000000003</v>
      </c>
      <c r="AA31" s="56">
        <v>1.3012999999999999</v>
      </c>
      <c r="AB31" s="58">
        <v>42.97</v>
      </c>
    </row>
    <row r="32" spans="1:28" x14ac:dyDescent="0.25">
      <c r="A32" s="46" t="s">
        <v>213</v>
      </c>
      <c r="B32" s="46" t="s">
        <v>214</v>
      </c>
      <c r="C32" s="46" t="s">
        <v>215</v>
      </c>
      <c r="D32" s="65" t="s">
        <v>216</v>
      </c>
      <c r="E32" s="46" t="s">
        <v>217</v>
      </c>
      <c r="F32" s="68">
        <v>16.28</v>
      </c>
      <c r="G32" s="60">
        <v>17.27</v>
      </c>
      <c r="H32" s="56">
        <v>1.7058</v>
      </c>
      <c r="I32" s="57">
        <v>4.54</v>
      </c>
      <c r="J32" s="58">
        <v>34</v>
      </c>
      <c r="K32" s="56">
        <v>1.5694999999999999</v>
      </c>
      <c r="L32" s="58">
        <v>42.95</v>
      </c>
      <c r="M32" s="56">
        <v>1.5694999999999999</v>
      </c>
      <c r="N32" s="58">
        <v>43.49</v>
      </c>
      <c r="O32" s="56">
        <v>1.5694999999999999</v>
      </c>
      <c r="P32" s="58">
        <v>61.11</v>
      </c>
      <c r="Q32" s="56">
        <v>1.5694999999999999</v>
      </c>
      <c r="R32" s="58">
        <v>88.22</v>
      </c>
      <c r="S32" s="59"/>
      <c r="T32" s="60">
        <v>22.79</v>
      </c>
      <c r="U32" s="56">
        <v>1.3842000000000001</v>
      </c>
      <c r="V32" s="58">
        <v>31.55</v>
      </c>
      <c r="W32" s="60">
        <v>29.3</v>
      </c>
      <c r="X32" s="56">
        <v>1.3842000000000001</v>
      </c>
      <c r="Y32" s="58">
        <v>40.56</v>
      </c>
      <c r="Z32" s="60">
        <v>32.56</v>
      </c>
      <c r="AA32" s="56">
        <v>1.3842000000000001</v>
      </c>
      <c r="AB32" s="58">
        <v>45.07</v>
      </c>
    </row>
    <row r="33" spans="1:28" x14ac:dyDescent="0.25">
      <c r="A33" s="46" t="s">
        <v>218</v>
      </c>
      <c r="B33" s="46" t="s">
        <v>219</v>
      </c>
      <c r="C33" s="46" t="s">
        <v>220</v>
      </c>
      <c r="D33" s="65" t="s">
        <v>221</v>
      </c>
      <c r="E33" s="46" t="s">
        <v>217</v>
      </c>
      <c r="F33" s="68">
        <v>15.28</v>
      </c>
      <c r="G33" s="60">
        <v>16.21</v>
      </c>
      <c r="H33" s="56">
        <v>1.7058</v>
      </c>
      <c r="I33" s="57">
        <v>4.54</v>
      </c>
      <c r="J33" s="58">
        <v>32.19</v>
      </c>
      <c r="K33" s="56">
        <v>1.5694999999999999</v>
      </c>
      <c r="L33" s="58">
        <v>40.590000000000003</v>
      </c>
      <c r="M33" s="56">
        <v>1.5694999999999999</v>
      </c>
      <c r="N33" s="58">
        <v>41.1</v>
      </c>
      <c r="O33" s="56">
        <v>1.5694999999999999</v>
      </c>
      <c r="P33" s="58">
        <v>57.64</v>
      </c>
      <c r="Q33" s="56">
        <v>1.5694999999999999</v>
      </c>
      <c r="R33" s="58">
        <v>83.08</v>
      </c>
      <c r="S33" s="59"/>
      <c r="T33" s="60">
        <v>21.39</v>
      </c>
      <c r="U33" s="56">
        <v>1.3842000000000001</v>
      </c>
      <c r="V33" s="58">
        <v>29.61</v>
      </c>
      <c r="W33" s="60">
        <v>27.5</v>
      </c>
      <c r="X33" s="56">
        <v>1.3842000000000001</v>
      </c>
      <c r="Y33" s="58">
        <v>38.07</v>
      </c>
      <c r="Z33" s="60">
        <v>30.56</v>
      </c>
      <c r="AA33" s="56">
        <v>1.3842000000000001</v>
      </c>
      <c r="AB33" s="58">
        <v>42.3</v>
      </c>
    </row>
    <row r="34" spans="1:28" x14ac:dyDescent="0.25">
      <c r="A34" s="46" t="s">
        <v>222</v>
      </c>
      <c r="B34" s="46" t="s">
        <v>223</v>
      </c>
      <c r="C34" s="46" t="s">
        <v>224</v>
      </c>
      <c r="D34" s="65" t="s">
        <v>225</v>
      </c>
      <c r="E34" s="46" t="s">
        <v>113</v>
      </c>
      <c r="F34" s="68">
        <v>15.09</v>
      </c>
      <c r="G34" s="60">
        <v>16.010000000000002</v>
      </c>
      <c r="H34" s="56">
        <v>1.7058</v>
      </c>
      <c r="I34" s="57">
        <v>4.54</v>
      </c>
      <c r="J34" s="58">
        <v>31.85</v>
      </c>
      <c r="K34" s="56">
        <v>1.5694999999999999</v>
      </c>
      <c r="L34" s="58">
        <v>40.14</v>
      </c>
      <c r="M34" s="56">
        <v>1.5694999999999999</v>
      </c>
      <c r="N34" s="58">
        <v>40.65</v>
      </c>
      <c r="O34" s="56">
        <v>1.5694999999999999</v>
      </c>
      <c r="P34" s="58">
        <v>56.98</v>
      </c>
      <c r="Q34" s="56">
        <v>1.5694999999999999</v>
      </c>
      <c r="R34" s="58">
        <v>82.11</v>
      </c>
      <c r="S34" s="59"/>
      <c r="T34" s="60">
        <v>21.13</v>
      </c>
      <c r="U34" s="56">
        <v>1.3842000000000001</v>
      </c>
      <c r="V34" s="58">
        <v>29.24</v>
      </c>
      <c r="W34" s="60">
        <v>27.16</v>
      </c>
      <c r="X34" s="56">
        <v>1.3842000000000001</v>
      </c>
      <c r="Y34" s="58">
        <v>37.6</v>
      </c>
      <c r="Z34" s="60">
        <v>30.18</v>
      </c>
      <c r="AA34" s="56">
        <v>1.3842000000000001</v>
      </c>
      <c r="AB34" s="58">
        <v>41.78</v>
      </c>
    </row>
    <row r="35" spans="1:28" x14ac:dyDescent="0.25">
      <c r="A35" s="46" t="s">
        <v>226</v>
      </c>
      <c r="B35" s="46" t="s">
        <v>227</v>
      </c>
      <c r="C35" s="46" t="s">
        <v>228</v>
      </c>
      <c r="D35" s="65" t="s">
        <v>221</v>
      </c>
      <c r="E35" s="46" t="s">
        <v>229</v>
      </c>
      <c r="F35" s="68">
        <v>15.28</v>
      </c>
      <c r="G35" s="60">
        <v>16.21</v>
      </c>
      <c r="H35" s="56">
        <v>1.7058</v>
      </c>
      <c r="I35" s="57">
        <v>4.54</v>
      </c>
      <c r="J35" s="58">
        <v>32.19</v>
      </c>
      <c r="K35" s="56">
        <v>1.5694999999999999</v>
      </c>
      <c r="L35" s="58">
        <v>40.590000000000003</v>
      </c>
      <c r="M35" s="56">
        <v>1.5694999999999999</v>
      </c>
      <c r="N35" s="58">
        <v>41.1</v>
      </c>
      <c r="O35" s="56">
        <v>1.5694999999999999</v>
      </c>
      <c r="P35" s="58">
        <v>57.64</v>
      </c>
      <c r="Q35" s="56">
        <v>1.5694999999999999</v>
      </c>
      <c r="R35" s="58">
        <v>83.08</v>
      </c>
      <c r="S35" s="59"/>
      <c r="T35" s="60">
        <v>21.39</v>
      </c>
      <c r="U35" s="56">
        <v>1.3842000000000001</v>
      </c>
      <c r="V35" s="58">
        <v>29.61</v>
      </c>
      <c r="W35" s="60">
        <v>27.5</v>
      </c>
      <c r="X35" s="56">
        <v>1.3842000000000001</v>
      </c>
      <c r="Y35" s="58">
        <v>38.07</v>
      </c>
      <c r="Z35" s="60">
        <v>30.56</v>
      </c>
      <c r="AA35" s="56">
        <v>1.3842000000000001</v>
      </c>
      <c r="AB35" s="58">
        <v>42.3</v>
      </c>
    </row>
    <row r="36" spans="1:28" x14ac:dyDescent="0.25">
      <c r="A36" s="46" t="s">
        <v>230</v>
      </c>
      <c r="B36" s="46" t="s">
        <v>231</v>
      </c>
      <c r="C36" s="46" t="s">
        <v>212</v>
      </c>
      <c r="D36" s="65" t="s">
        <v>46</v>
      </c>
      <c r="E36" s="46" t="s">
        <v>229</v>
      </c>
      <c r="F36" s="68">
        <v>16.059999999999999</v>
      </c>
      <c r="G36" s="60">
        <v>17.04</v>
      </c>
      <c r="H36" s="56">
        <v>1.7058</v>
      </c>
      <c r="I36" s="57">
        <v>4.54</v>
      </c>
      <c r="J36" s="58">
        <v>33.61</v>
      </c>
      <c r="K36" s="56">
        <v>1.5694999999999999</v>
      </c>
      <c r="L36" s="58">
        <v>42.43</v>
      </c>
      <c r="M36" s="56">
        <v>1.5694999999999999</v>
      </c>
      <c r="N36" s="58">
        <v>42.97</v>
      </c>
      <c r="O36" s="56">
        <v>1.5694999999999999</v>
      </c>
      <c r="P36" s="58">
        <v>60.35</v>
      </c>
      <c r="Q36" s="56">
        <v>1.4866999999999999</v>
      </c>
      <c r="R36" s="58">
        <v>84.27</v>
      </c>
      <c r="S36" s="59"/>
      <c r="T36" s="60">
        <v>22.48</v>
      </c>
      <c r="U36" s="56">
        <v>1.3842000000000001</v>
      </c>
      <c r="V36" s="58">
        <v>31.12</v>
      </c>
      <c r="W36" s="60">
        <v>28.91</v>
      </c>
      <c r="X36" s="56">
        <v>1.3842000000000001</v>
      </c>
      <c r="Y36" s="58">
        <v>40.01</v>
      </c>
      <c r="Z36" s="60">
        <v>32.119999999999997</v>
      </c>
      <c r="AA36" s="56">
        <v>1.3842000000000001</v>
      </c>
      <c r="AB36" s="58">
        <v>44.46</v>
      </c>
    </row>
    <row r="37" spans="1:28" x14ac:dyDescent="0.25">
      <c r="A37" s="46" t="s">
        <v>232</v>
      </c>
      <c r="B37" s="46" t="s">
        <v>233</v>
      </c>
      <c r="C37" s="46" t="s">
        <v>234</v>
      </c>
      <c r="D37" s="65" t="s">
        <v>235</v>
      </c>
      <c r="E37" s="46" t="s">
        <v>113</v>
      </c>
      <c r="F37" s="68">
        <v>15.09</v>
      </c>
      <c r="G37" s="60">
        <v>16.010000000000002</v>
      </c>
      <c r="H37" s="56">
        <v>1.629</v>
      </c>
      <c r="I37" s="57">
        <v>4.54</v>
      </c>
      <c r="J37" s="58">
        <v>30.62</v>
      </c>
      <c r="K37" s="56">
        <v>1.4866999999999999</v>
      </c>
      <c r="L37" s="58">
        <v>38.479999999999997</v>
      </c>
      <c r="M37" s="56">
        <v>1.4866999999999999</v>
      </c>
      <c r="N37" s="58">
        <v>38.950000000000003</v>
      </c>
      <c r="O37" s="56">
        <v>1.4866999999999999</v>
      </c>
      <c r="P37" s="58">
        <v>54.42</v>
      </c>
      <c r="Q37" s="56">
        <v>1.4866999999999999</v>
      </c>
      <c r="R37" s="58">
        <v>78.23</v>
      </c>
      <c r="S37" s="59"/>
      <c r="T37" s="60">
        <v>21.13</v>
      </c>
      <c r="U37" s="56">
        <v>1.3012999999999999</v>
      </c>
      <c r="V37" s="58">
        <v>27.49</v>
      </c>
      <c r="W37" s="60">
        <v>27.16</v>
      </c>
      <c r="X37" s="56">
        <v>1.3012999999999999</v>
      </c>
      <c r="Y37" s="58">
        <v>35.35</v>
      </c>
      <c r="Z37" s="60">
        <v>30.18</v>
      </c>
      <c r="AA37" s="56">
        <v>1.3012999999999999</v>
      </c>
      <c r="AB37" s="58">
        <v>39.270000000000003</v>
      </c>
    </row>
    <row r="38" spans="1:28" x14ac:dyDescent="0.25">
      <c r="A38" s="46" t="s">
        <v>236</v>
      </c>
      <c r="B38" s="46" t="s">
        <v>237</v>
      </c>
      <c r="C38" s="46" t="s">
        <v>238</v>
      </c>
      <c r="D38" s="65" t="s">
        <v>225</v>
      </c>
      <c r="E38" s="46" t="s">
        <v>113</v>
      </c>
      <c r="F38" s="68">
        <v>15.09</v>
      </c>
      <c r="G38" s="60">
        <v>16.010000000000002</v>
      </c>
      <c r="H38" s="56">
        <v>1.7058</v>
      </c>
      <c r="I38" s="57">
        <v>4.54</v>
      </c>
      <c r="J38" s="58">
        <v>31.85</v>
      </c>
      <c r="K38" s="56">
        <v>1.5694999999999999</v>
      </c>
      <c r="L38" s="58">
        <v>40.14</v>
      </c>
      <c r="M38" s="56">
        <v>1.5694999999999999</v>
      </c>
      <c r="N38" s="58">
        <v>40.65</v>
      </c>
      <c r="O38" s="56">
        <v>1.5694999999999999</v>
      </c>
      <c r="P38" s="58">
        <v>56.98</v>
      </c>
      <c r="Q38" s="56">
        <v>1.5694999999999999</v>
      </c>
      <c r="R38" s="58">
        <v>82.11</v>
      </c>
      <c r="S38" s="59"/>
      <c r="T38" s="60">
        <v>21.13</v>
      </c>
      <c r="U38" s="56">
        <v>1.3842000000000001</v>
      </c>
      <c r="V38" s="58">
        <v>29.24</v>
      </c>
      <c r="W38" s="60">
        <v>27.16</v>
      </c>
      <c r="X38" s="56">
        <v>1.3842000000000001</v>
      </c>
      <c r="Y38" s="58">
        <v>37.6</v>
      </c>
      <c r="Z38" s="60">
        <v>30.18</v>
      </c>
      <c r="AA38" s="56">
        <v>1.3842000000000001</v>
      </c>
      <c r="AB38" s="58">
        <v>41.78</v>
      </c>
    </row>
    <row r="39" spans="1:28" x14ac:dyDescent="0.25">
      <c r="A39" s="46" t="s">
        <v>239</v>
      </c>
      <c r="B39" s="46" t="s">
        <v>240</v>
      </c>
      <c r="C39" s="46" t="s">
        <v>241</v>
      </c>
      <c r="D39" s="65" t="s">
        <v>46</v>
      </c>
      <c r="E39" s="46" t="s">
        <v>113</v>
      </c>
      <c r="F39" s="68">
        <v>16.059999999999999</v>
      </c>
      <c r="G39" s="60">
        <v>17.04</v>
      </c>
      <c r="H39" s="56">
        <v>1.7058</v>
      </c>
      <c r="I39" s="57">
        <v>4.54</v>
      </c>
      <c r="J39" s="58">
        <v>33.61</v>
      </c>
      <c r="K39" s="56">
        <v>1.5694999999999999</v>
      </c>
      <c r="L39" s="58">
        <v>42.43</v>
      </c>
      <c r="M39" s="56">
        <v>1.5694999999999999</v>
      </c>
      <c r="N39" s="58">
        <v>42.97</v>
      </c>
      <c r="O39" s="56">
        <v>1.5694999999999999</v>
      </c>
      <c r="P39" s="58">
        <v>60.35</v>
      </c>
      <c r="Q39" s="56">
        <v>1.4866999999999999</v>
      </c>
      <c r="R39" s="58">
        <v>84.27</v>
      </c>
      <c r="S39" s="59"/>
      <c r="T39" s="60">
        <v>22.48</v>
      </c>
      <c r="U39" s="56">
        <v>1.3842000000000001</v>
      </c>
      <c r="V39" s="58">
        <v>31.12</v>
      </c>
      <c r="W39" s="60">
        <v>28.91</v>
      </c>
      <c r="X39" s="56">
        <v>1.3842000000000001</v>
      </c>
      <c r="Y39" s="58">
        <v>40.01</v>
      </c>
      <c r="Z39" s="60">
        <v>32.119999999999997</v>
      </c>
      <c r="AA39" s="56">
        <v>1.3842000000000001</v>
      </c>
      <c r="AB39" s="58">
        <v>44.46</v>
      </c>
    </row>
    <row r="40" spans="1:28" x14ac:dyDescent="0.25">
      <c r="A40" s="46" t="s">
        <v>242</v>
      </c>
      <c r="B40" s="46" t="s">
        <v>243</v>
      </c>
      <c r="C40" s="46" t="s">
        <v>244</v>
      </c>
      <c r="D40" s="65" t="s">
        <v>46</v>
      </c>
      <c r="E40" s="46" t="s">
        <v>229</v>
      </c>
      <c r="F40" s="68">
        <v>16.059999999999999</v>
      </c>
      <c r="G40" s="60">
        <v>17.04</v>
      </c>
      <c r="H40" s="56">
        <v>1.7058</v>
      </c>
      <c r="I40" s="57">
        <v>4.54</v>
      </c>
      <c r="J40" s="58">
        <v>33.61</v>
      </c>
      <c r="K40" s="56">
        <v>1.5694999999999999</v>
      </c>
      <c r="L40" s="58">
        <v>42.43</v>
      </c>
      <c r="M40" s="56">
        <v>1.5694999999999999</v>
      </c>
      <c r="N40" s="58">
        <v>42.97</v>
      </c>
      <c r="O40" s="56">
        <v>1.5694999999999999</v>
      </c>
      <c r="P40" s="58">
        <v>60.35</v>
      </c>
      <c r="Q40" s="56">
        <v>1.4866999999999999</v>
      </c>
      <c r="R40" s="58">
        <v>84.27</v>
      </c>
      <c r="S40" s="59"/>
      <c r="T40" s="60">
        <v>22.48</v>
      </c>
      <c r="U40" s="56">
        <v>1.3842000000000001</v>
      </c>
      <c r="V40" s="58">
        <v>31.12</v>
      </c>
      <c r="W40" s="60">
        <v>28.91</v>
      </c>
      <c r="X40" s="56">
        <v>1.3842000000000001</v>
      </c>
      <c r="Y40" s="58">
        <v>40.01</v>
      </c>
      <c r="Z40" s="60">
        <v>32.119999999999997</v>
      </c>
      <c r="AA40" s="56">
        <v>1.3842000000000001</v>
      </c>
      <c r="AB40" s="58">
        <v>44.46</v>
      </c>
    </row>
    <row r="41" spans="1:28" x14ac:dyDescent="0.25">
      <c r="A41" s="46" t="s">
        <v>245</v>
      </c>
      <c r="B41" s="46" t="s">
        <v>246</v>
      </c>
      <c r="C41" s="46" t="s">
        <v>247</v>
      </c>
      <c r="D41" s="65" t="s">
        <v>225</v>
      </c>
      <c r="E41" s="46" t="s">
        <v>113</v>
      </c>
      <c r="F41" s="68">
        <v>15.09</v>
      </c>
      <c r="G41" s="60">
        <v>16.010000000000002</v>
      </c>
      <c r="H41" s="56">
        <v>1.7058</v>
      </c>
      <c r="I41" s="57">
        <v>4.54</v>
      </c>
      <c r="J41" s="58">
        <v>31.85</v>
      </c>
      <c r="K41" s="56">
        <v>1.5694999999999999</v>
      </c>
      <c r="L41" s="58">
        <v>40.14</v>
      </c>
      <c r="M41" s="56">
        <v>1.5694999999999999</v>
      </c>
      <c r="N41" s="58">
        <v>40.65</v>
      </c>
      <c r="O41" s="56">
        <v>1.5694999999999999</v>
      </c>
      <c r="P41" s="58">
        <v>56.98</v>
      </c>
      <c r="Q41" s="56">
        <v>1.5694999999999999</v>
      </c>
      <c r="R41" s="58">
        <v>82.11</v>
      </c>
      <c r="S41" s="59"/>
      <c r="T41" s="60">
        <v>21.13</v>
      </c>
      <c r="U41" s="56">
        <v>1.3842000000000001</v>
      </c>
      <c r="V41" s="58">
        <v>29.24</v>
      </c>
      <c r="W41" s="60">
        <v>27.16</v>
      </c>
      <c r="X41" s="56">
        <v>1.3842000000000001</v>
      </c>
      <c r="Y41" s="58">
        <v>37.6</v>
      </c>
      <c r="Z41" s="60">
        <v>30.18</v>
      </c>
      <c r="AA41" s="56">
        <v>1.3842000000000001</v>
      </c>
      <c r="AB41" s="58">
        <v>41.78</v>
      </c>
    </row>
    <row r="42" spans="1:28" x14ac:dyDescent="0.25">
      <c r="A42" s="46" t="s">
        <v>248</v>
      </c>
      <c r="B42" s="46" t="s">
        <v>249</v>
      </c>
      <c r="C42" s="46" t="s">
        <v>250</v>
      </c>
      <c r="D42" s="65" t="s">
        <v>225</v>
      </c>
      <c r="E42" s="46" t="s">
        <v>229</v>
      </c>
      <c r="F42" s="68">
        <v>15.09</v>
      </c>
      <c r="G42" s="60">
        <v>16.010000000000002</v>
      </c>
      <c r="H42" s="56">
        <v>1.7058</v>
      </c>
      <c r="I42" s="57">
        <v>4.54</v>
      </c>
      <c r="J42" s="58">
        <v>31.85</v>
      </c>
      <c r="K42" s="56">
        <v>1.5694999999999999</v>
      </c>
      <c r="L42" s="58">
        <v>40.14</v>
      </c>
      <c r="M42" s="56">
        <v>1.5694999999999999</v>
      </c>
      <c r="N42" s="58">
        <v>40.65</v>
      </c>
      <c r="O42" s="56">
        <v>1.5694999999999999</v>
      </c>
      <c r="P42" s="58">
        <v>56.98</v>
      </c>
      <c r="Q42" s="56">
        <v>1.5694999999999999</v>
      </c>
      <c r="R42" s="58">
        <v>82.11</v>
      </c>
      <c r="S42" s="59"/>
      <c r="T42" s="60">
        <v>21.13</v>
      </c>
      <c r="U42" s="56">
        <v>1.3842000000000001</v>
      </c>
      <c r="V42" s="58">
        <v>29.24</v>
      </c>
      <c r="W42" s="60">
        <v>27.16</v>
      </c>
      <c r="X42" s="56">
        <v>1.3842000000000001</v>
      </c>
      <c r="Y42" s="58">
        <v>37.6</v>
      </c>
      <c r="Z42" s="60">
        <v>30.18</v>
      </c>
      <c r="AA42" s="56">
        <v>1.3842000000000001</v>
      </c>
      <c r="AB42" s="58">
        <v>41.78</v>
      </c>
    </row>
    <row r="43" spans="1:28" x14ac:dyDescent="0.25">
      <c r="A43" s="46" t="s">
        <v>251</v>
      </c>
      <c r="B43" s="46" t="s">
        <v>252</v>
      </c>
      <c r="C43" s="46" t="s">
        <v>253</v>
      </c>
      <c r="D43" s="65" t="s">
        <v>225</v>
      </c>
      <c r="E43" s="46" t="s">
        <v>229</v>
      </c>
      <c r="F43" s="68">
        <v>15.09</v>
      </c>
      <c r="G43" s="60">
        <v>16.010000000000002</v>
      </c>
      <c r="H43" s="56">
        <v>1.7058</v>
      </c>
      <c r="I43" s="57">
        <v>4.54</v>
      </c>
      <c r="J43" s="58">
        <v>31.85</v>
      </c>
      <c r="K43" s="56">
        <v>1.5694999999999999</v>
      </c>
      <c r="L43" s="58">
        <v>40.14</v>
      </c>
      <c r="M43" s="56">
        <v>1.5694999999999999</v>
      </c>
      <c r="N43" s="58">
        <v>40.65</v>
      </c>
      <c r="O43" s="56">
        <v>1.5694999999999999</v>
      </c>
      <c r="P43" s="58">
        <v>56.98</v>
      </c>
      <c r="Q43" s="56">
        <v>1.5694999999999999</v>
      </c>
      <c r="R43" s="58">
        <v>82.11</v>
      </c>
      <c r="S43" s="59"/>
      <c r="T43" s="60">
        <v>21.13</v>
      </c>
      <c r="U43" s="56">
        <v>1.3842000000000001</v>
      </c>
      <c r="V43" s="58">
        <v>29.24</v>
      </c>
      <c r="W43" s="60">
        <v>27.16</v>
      </c>
      <c r="X43" s="56">
        <v>1.3842000000000001</v>
      </c>
      <c r="Y43" s="58">
        <v>37.6</v>
      </c>
      <c r="Z43" s="60">
        <v>30.18</v>
      </c>
      <c r="AA43" s="56">
        <v>1.3842000000000001</v>
      </c>
      <c r="AB43" s="58">
        <v>41.78</v>
      </c>
    </row>
    <row r="44" spans="1:28" x14ac:dyDescent="0.25">
      <c r="A44" s="46" t="s">
        <v>254</v>
      </c>
      <c r="B44" s="46" t="s">
        <v>255</v>
      </c>
      <c r="C44" s="46" t="s">
        <v>256</v>
      </c>
      <c r="D44" s="65" t="s">
        <v>225</v>
      </c>
      <c r="E44" s="46" t="s">
        <v>229</v>
      </c>
      <c r="F44" s="68">
        <v>15.09</v>
      </c>
      <c r="G44" s="60">
        <v>16.010000000000002</v>
      </c>
      <c r="H44" s="56">
        <v>1.7058</v>
      </c>
      <c r="I44" s="57">
        <v>4.54</v>
      </c>
      <c r="J44" s="58">
        <v>31.85</v>
      </c>
      <c r="K44" s="56">
        <v>1.5694999999999999</v>
      </c>
      <c r="L44" s="58">
        <v>40.14</v>
      </c>
      <c r="M44" s="56">
        <v>1.5694999999999999</v>
      </c>
      <c r="N44" s="58">
        <v>40.65</v>
      </c>
      <c r="O44" s="56">
        <v>1.5694999999999999</v>
      </c>
      <c r="P44" s="58">
        <v>56.98</v>
      </c>
      <c r="Q44" s="56">
        <v>1.5694999999999999</v>
      </c>
      <c r="R44" s="58">
        <v>82.11</v>
      </c>
      <c r="S44" s="59"/>
      <c r="T44" s="60">
        <v>21.13</v>
      </c>
      <c r="U44" s="56">
        <v>1.3842000000000001</v>
      </c>
      <c r="V44" s="58">
        <v>29.24</v>
      </c>
      <c r="W44" s="60">
        <v>27.16</v>
      </c>
      <c r="X44" s="56">
        <v>1.3842000000000001</v>
      </c>
      <c r="Y44" s="58">
        <v>37.6</v>
      </c>
      <c r="Z44" s="60">
        <v>30.18</v>
      </c>
      <c r="AA44" s="56">
        <v>1.3842000000000001</v>
      </c>
      <c r="AB44" s="58">
        <v>41.78</v>
      </c>
    </row>
    <row r="45" spans="1:28" x14ac:dyDescent="0.25">
      <c r="A45" s="46" t="s">
        <v>257</v>
      </c>
      <c r="B45" s="46" t="s">
        <v>258</v>
      </c>
      <c r="C45" s="46" t="s">
        <v>259</v>
      </c>
      <c r="D45" s="65" t="s">
        <v>225</v>
      </c>
      <c r="E45" s="46" t="s">
        <v>113</v>
      </c>
      <c r="F45" s="68">
        <v>15.09</v>
      </c>
      <c r="G45" s="60">
        <v>16.010000000000002</v>
      </c>
      <c r="H45" s="56">
        <v>1.7058</v>
      </c>
      <c r="I45" s="57">
        <v>4.54</v>
      </c>
      <c r="J45" s="58">
        <v>31.85</v>
      </c>
      <c r="K45" s="56">
        <v>1.5694999999999999</v>
      </c>
      <c r="L45" s="58">
        <v>40.14</v>
      </c>
      <c r="M45" s="56">
        <v>1.5694999999999999</v>
      </c>
      <c r="N45" s="58">
        <v>40.65</v>
      </c>
      <c r="O45" s="56">
        <v>1.5694999999999999</v>
      </c>
      <c r="P45" s="58">
        <v>56.98</v>
      </c>
      <c r="Q45" s="56">
        <v>1.5694999999999999</v>
      </c>
      <c r="R45" s="58">
        <v>82.11</v>
      </c>
      <c r="S45" s="59"/>
      <c r="T45" s="60">
        <v>21.13</v>
      </c>
      <c r="U45" s="56">
        <v>1.3842000000000001</v>
      </c>
      <c r="V45" s="58">
        <v>29.24</v>
      </c>
      <c r="W45" s="60">
        <v>27.16</v>
      </c>
      <c r="X45" s="56">
        <v>1.3842000000000001</v>
      </c>
      <c r="Y45" s="58">
        <v>37.6</v>
      </c>
      <c r="Z45" s="60">
        <v>30.18</v>
      </c>
      <c r="AA45" s="56">
        <v>1.3842000000000001</v>
      </c>
      <c r="AB45" s="58">
        <v>41.78</v>
      </c>
    </row>
    <row r="46" spans="1:28" x14ac:dyDescent="0.25">
      <c r="A46" s="46" t="s">
        <v>260</v>
      </c>
      <c r="B46" s="46" t="s">
        <v>261</v>
      </c>
      <c r="C46" s="46" t="s">
        <v>262</v>
      </c>
      <c r="D46" s="65" t="s">
        <v>225</v>
      </c>
      <c r="E46" s="46" t="s">
        <v>113</v>
      </c>
      <c r="F46" s="68">
        <v>15.09</v>
      </c>
      <c r="G46" s="60">
        <v>16.010000000000002</v>
      </c>
      <c r="H46" s="56">
        <v>1.7058</v>
      </c>
      <c r="I46" s="57">
        <v>4.54</v>
      </c>
      <c r="J46" s="58">
        <v>31.85</v>
      </c>
      <c r="K46" s="56">
        <v>1.5694999999999999</v>
      </c>
      <c r="L46" s="58">
        <v>40.14</v>
      </c>
      <c r="M46" s="56">
        <v>1.5694999999999999</v>
      </c>
      <c r="N46" s="58">
        <v>40.65</v>
      </c>
      <c r="O46" s="56">
        <v>1.5694999999999999</v>
      </c>
      <c r="P46" s="58">
        <v>56.98</v>
      </c>
      <c r="Q46" s="56">
        <v>1.5694999999999999</v>
      </c>
      <c r="R46" s="58">
        <v>82.11</v>
      </c>
      <c r="S46" s="59"/>
      <c r="T46" s="60">
        <v>21.13</v>
      </c>
      <c r="U46" s="56">
        <v>1.3842000000000001</v>
      </c>
      <c r="V46" s="58">
        <v>29.24</v>
      </c>
      <c r="W46" s="60">
        <v>27.16</v>
      </c>
      <c r="X46" s="56">
        <v>1.3842000000000001</v>
      </c>
      <c r="Y46" s="58">
        <v>37.6</v>
      </c>
      <c r="Z46" s="60">
        <v>30.18</v>
      </c>
      <c r="AA46" s="56">
        <v>1.3842000000000001</v>
      </c>
      <c r="AB46" s="58">
        <v>41.78</v>
      </c>
    </row>
    <row r="47" spans="1:28" x14ac:dyDescent="0.25">
      <c r="A47" s="46" t="s">
        <v>263</v>
      </c>
      <c r="B47" s="46" t="s">
        <v>264</v>
      </c>
      <c r="C47" s="46" t="s">
        <v>265</v>
      </c>
      <c r="D47" s="65" t="s">
        <v>266</v>
      </c>
      <c r="E47" s="46" t="s">
        <v>229</v>
      </c>
      <c r="F47" s="68">
        <v>15.48</v>
      </c>
      <c r="G47" s="60">
        <v>16.420000000000002</v>
      </c>
      <c r="H47" s="56">
        <v>1.7058</v>
      </c>
      <c r="I47" s="57">
        <v>4.54</v>
      </c>
      <c r="J47" s="58">
        <v>32.56</v>
      </c>
      <c r="K47" s="56">
        <v>1.5694999999999999</v>
      </c>
      <c r="L47" s="58">
        <v>41.06</v>
      </c>
      <c r="M47" s="56">
        <v>1.5694999999999999</v>
      </c>
      <c r="N47" s="58">
        <v>41.58</v>
      </c>
      <c r="O47" s="56">
        <v>1.5694999999999999</v>
      </c>
      <c r="P47" s="58">
        <v>58.33</v>
      </c>
      <c r="Q47" s="56">
        <v>1.5694999999999999</v>
      </c>
      <c r="R47" s="58">
        <v>84.11</v>
      </c>
      <c r="S47" s="59"/>
      <c r="T47" s="60">
        <v>21.67</v>
      </c>
      <c r="U47" s="56">
        <v>1.3842000000000001</v>
      </c>
      <c r="V47" s="58">
        <v>30</v>
      </c>
      <c r="W47" s="60">
        <v>27.86</v>
      </c>
      <c r="X47" s="56">
        <v>1.3842000000000001</v>
      </c>
      <c r="Y47" s="58">
        <v>38.57</v>
      </c>
      <c r="Z47" s="60">
        <v>30.96</v>
      </c>
      <c r="AA47" s="56">
        <v>1.3842000000000001</v>
      </c>
      <c r="AB47" s="58">
        <v>42.85</v>
      </c>
    </row>
    <row r="48" spans="1:28" x14ac:dyDescent="0.25">
      <c r="A48" s="46" t="s">
        <v>267</v>
      </c>
      <c r="B48" s="46" t="s">
        <v>268</v>
      </c>
      <c r="C48" s="46" t="s">
        <v>269</v>
      </c>
      <c r="D48" s="65" t="s">
        <v>225</v>
      </c>
      <c r="E48" s="46" t="s">
        <v>229</v>
      </c>
      <c r="F48" s="68">
        <v>15.09</v>
      </c>
      <c r="G48" s="60">
        <v>16.010000000000002</v>
      </c>
      <c r="H48" s="56">
        <v>1.7058</v>
      </c>
      <c r="I48" s="57">
        <v>4.54</v>
      </c>
      <c r="J48" s="58">
        <v>31.85</v>
      </c>
      <c r="K48" s="56">
        <v>1.5694999999999999</v>
      </c>
      <c r="L48" s="58">
        <v>40.14</v>
      </c>
      <c r="M48" s="56">
        <v>1.5694999999999999</v>
      </c>
      <c r="N48" s="58">
        <v>40.65</v>
      </c>
      <c r="O48" s="56">
        <v>1.5694999999999999</v>
      </c>
      <c r="P48" s="58">
        <v>56.98</v>
      </c>
      <c r="Q48" s="56">
        <v>1.5694999999999999</v>
      </c>
      <c r="R48" s="58">
        <v>82.11</v>
      </c>
      <c r="S48" s="59"/>
      <c r="T48" s="60">
        <v>21.13</v>
      </c>
      <c r="U48" s="56">
        <v>1.3842000000000001</v>
      </c>
      <c r="V48" s="58">
        <v>29.24</v>
      </c>
      <c r="W48" s="60">
        <v>27.16</v>
      </c>
      <c r="X48" s="56">
        <v>1.3842000000000001</v>
      </c>
      <c r="Y48" s="58">
        <v>37.6</v>
      </c>
      <c r="Z48" s="60">
        <v>30.18</v>
      </c>
      <c r="AA48" s="56">
        <v>1.3842000000000001</v>
      </c>
      <c r="AB48" s="58">
        <v>41.78</v>
      </c>
    </row>
    <row r="49" spans="1:28" x14ac:dyDescent="0.25">
      <c r="A49" s="46" t="s">
        <v>270</v>
      </c>
      <c r="B49" s="46" t="s">
        <v>154</v>
      </c>
      <c r="C49" s="46" t="s">
        <v>271</v>
      </c>
      <c r="D49" s="65" t="s">
        <v>225</v>
      </c>
      <c r="E49" s="46" t="s">
        <v>229</v>
      </c>
      <c r="F49" s="68">
        <v>15.09</v>
      </c>
      <c r="G49" s="60">
        <v>16.010000000000002</v>
      </c>
      <c r="H49" s="56">
        <v>1.7058</v>
      </c>
      <c r="I49" s="57">
        <v>4.54</v>
      </c>
      <c r="J49" s="58">
        <v>31.85</v>
      </c>
      <c r="K49" s="56">
        <v>1.5694999999999999</v>
      </c>
      <c r="L49" s="58">
        <v>40.14</v>
      </c>
      <c r="M49" s="56">
        <v>1.5694999999999999</v>
      </c>
      <c r="N49" s="58">
        <v>40.65</v>
      </c>
      <c r="O49" s="56">
        <v>1.5694999999999999</v>
      </c>
      <c r="P49" s="58">
        <v>56.98</v>
      </c>
      <c r="Q49" s="56">
        <v>1.5694999999999999</v>
      </c>
      <c r="R49" s="58">
        <v>82.11</v>
      </c>
      <c r="S49" s="59"/>
      <c r="T49" s="60">
        <v>21.13</v>
      </c>
      <c r="U49" s="56">
        <v>1.3842000000000001</v>
      </c>
      <c r="V49" s="58">
        <v>29.24</v>
      </c>
      <c r="W49" s="60">
        <v>27.16</v>
      </c>
      <c r="X49" s="56">
        <v>1.3842000000000001</v>
      </c>
      <c r="Y49" s="58">
        <v>37.6</v>
      </c>
      <c r="Z49" s="60">
        <v>30.18</v>
      </c>
      <c r="AA49" s="56">
        <v>1.3842000000000001</v>
      </c>
      <c r="AB49" s="58">
        <v>41.78</v>
      </c>
    </row>
    <row r="50" spans="1:28" x14ac:dyDescent="0.25">
      <c r="A50" s="46" t="s">
        <v>272</v>
      </c>
      <c r="B50" s="46" t="s">
        <v>273</v>
      </c>
      <c r="C50" s="46" t="s">
        <v>274</v>
      </c>
      <c r="D50" s="65" t="s">
        <v>46</v>
      </c>
      <c r="E50" s="46" t="s">
        <v>229</v>
      </c>
      <c r="F50" s="68">
        <v>16.28</v>
      </c>
      <c r="G50" s="60">
        <v>17.27</v>
      </c>
      <c r="H50" s="56">
        <v>1.7058</v>
      </c>
      <c r="I50" s="57">
        <v>4.54</v>
      </c>
      <c r="J50" s="58">
        <v>34</v>
      </c>
      <c r="K50" s="56">
        <v>1.5694999999999999</v>
      </c>
      <c r="L50" s="58">
        <v>42.95</v>
      </c>
      <c r="M50" s="56">
        <v>1.5694999999999999</v>
      </c>
      <c r="N50" s="58">
        <v>43.49</v>
      </c>
      <c r="O50" s="56">
        <v>1.5694999999999999</v>
      </c>
      <c r="P50" s="58">
        <v>61.11</v>
      </c>
      <c r="Q50" s="56">
        <v>1.5694999999999999</v>
      </c>
      <c r="R50" s="58">
        <v>88.22</v>
      </c>
      <c r="S50" s="59"/>
      <c r="T50" s="60">
        <v>22.79</v>
      </c>
      <c r="U50" s="56">
        <v>1.3842000000000001</v>
      </c>
      <c r="V50" s="58">
        <v>31.55</v>
      </c>
      <c r="W50" s="60">
        <v>29.3</v>
      </c>
      <c r="X50" s="56">
        <v>1.3842000000000001</v>
      </c>
      <c r="Y50" s="58">
        <v>40.56</v>
      </c>
      <c r="Z50" s="60">
        <v>32.56</v>
      </c>
      <c r="AA50" s="56">
        <v>1.3842000000000001</v>
      </c>
      <c r="AB50" s="58">
        <v>45.07</v>
      </c>
    </row>
    <row r="51" spans="1:28" x14ac:dyDescent="0.25">
      <c r="A51" s="46" t="s">
        <v>275</v>
      </c>
      <c r="B51" s="46" t="s">
        <v>276</v>
      </c>
      <c r="C51" s="46" t="s">
        <v>277</v>
      </c>
      <c r="D51" s="65" t="s">
        <v>225</v>
      </c>
      <c r="E51" s="46" t="s">
        <v>229</v>
      </c>
      <c r="F51" s="68">
        <v>15.09</v>
      </c>
      <c r="G51" s="60">
        <v>16.010000000000002</v>
      </c>
      <c r="H51" s="56">
        <v>1.7058</v>
      </c>
      <c r="I51" s="57">
        <v>4.54</v>
      </c>
      <c r="J51" s="58">
        <v>31.85</v>
      </c>
      <c r="K51" s="56">
        <v>1.5694999999999999</v>
      </c>
      <c r="L51" s="58">
        <v>40.14</v>
      </c>
      <c r="M51" s="56">
        <v>1.5694999999999999</v>
      </c>
      <c r="N51" s="58">
        <v>40.65</v>
      </c>
      <c r="O51" s="56">
        <v>1.5694999999999999</v>
      </c>
      <c r="P51" s="58">
        <v>56.98</v>
      </c>
      <c r="Q51" s="56">
        <v>1.5694999999999999</v>
      </c>
      <c r="R51" s="58">
        <v>82.11</v>
      </c>
      <c r="S51" s="59"/>
      <c r="T51" s="60">
        <v>21.13</v>
      </c>
      <c r="U51" s="56">
        <v>1.3842000000000001</v>
      </c>
      <c r="V51" s="58">
        <v>29.24</v>
      </c>
      <c r="W51" s="60">
        <v>27.16</v>
      </c>
      <c r="X51" s="56">
        <v>1.3842000000000001</v>
      </c>
      <c r="Y51" s="58">
        <v>37.6</v>
      </c>
      <c r="Z51" s="60">
        <v>30.18</v>
      </c>
      <c r="AA51" s="56">
        <v>1.3842000000000001</v>
      </c>
      <c r="AB51" s="58">
        <v>41.78</v>
      </c>
    </row>
    <row r="52" spans="1:28" x14ac:dyDescent="0.25">
      <c r="A52" s="46" t="s">
        <v>278</v>
      </c>
      <c r="B52" s="46" t="s">
        <v>279</v>
      </c>
      <c r="C52" s="46" t="s">
        <v>280</v>
      </c>
      <c r="D52" s="65" t="s">
        <v>46</v>
      </c>
      <c r="E52" s="46" t="s">
        <v>229</v>
      </c>
      <c r="F52" s="68">
        <v>16.28</v>
      </c>
      <c r="G52" s="60">
        <v>17.27</v>
      </c>
      <c r="H52" s="56">
        <v>1.7058</v>
      </c>
      <c r="I52" s="57">
        <v>4.54</v>
      </c>
      <c r="J52" s="58">
        <v>34</v>
      </c>
      <c r="K52" s="56">
        <v>1.5694999999999999</v>
      </c>
      <c r="L52" s="58">
        <v>42.95</v>
      </c>
      <c r="M52" s="56">
        <v>1.5694999999999999</v>
      </c>
      <c r="N52" s="58">
        <v>43.49</v>
      </c>
      <c r="O52" s="56">
        <v>1.5694999999999999</v>
      </c>
      <c r="P52" s="58">
        <v>61.11</v>
      </c>
      <c r="Q52" s="56">
        <v>1.5694999999999999</v>
      </c>
      <c r="R52" s="58">
        <v>88.22</v>
      </c>
      <c r="S52" s="59"/>
      <c r="T52" s="60">
        <v>22.79</v>
      </c>
      <c r="U52" s="56">
        <v>1.3842000000000001</v>
      </c>
      <c r="V52" s="58">
        <v>31.55</v>
      </c>
      <c r="W52" s="60">
        <v>29.3</v>
      </c>
      <c r="X52" s="56">
        <v>1.3842000000000001</v>
      </c>
      <c r="Y52" s="58">
        <v>40.56</v>
      </c>
      <c r="Z52" s="60">
        <v>32.56</v>
      </c>
      <c r="AA52" s="56">
        <v>1.3842000000000001</v>
      </c>
      <c r="AB52" s="58">
        <v>45.07</v>
      </c>
    </row>
    <row r="53" spans="1:28" x14ac:dyDescent="0.25">
      <c r="A53" s="69" t="s">
        <v>281</v>
      </c>
      <c r="B53" s="69" t="s">
        <v>282</v>
      </c>
      <c r="C53" s="69" t="s">
        <v>283</v>
      </c>
      <c r="D53" s="70" t="s">
        <v>216</v>
      </c>
      <c r="E53" s="69" t="s">
        <v>229</v>
      </c>
      <c r="F53" s="71">
        <v>16.28</v>
      </c>
      <c r="G53" s="72">
        <v>17.27</v>
      </c>
      <c r="H53" s="73">
        <v>1.7058</v>
      </c>
      <c r="I53" s="74">
        <v>4.54</v>
      </c>
      <c r="J53" s="75">
        <v>34</v>
      </c>
      <c r="K53" s="73">
        <v>1.5694999999999999</v>
      </c>
      <c r="L53" s="75">
        <v>42.95</v>
      </c>
      <c r="M53" s="73">
        <v>1.5694999999999999</v>
      </c>
      <c r="N53" s="75">
        <v>43.49</v>
      </c>
      <c r="O53" s="73">
        <v>1.5694999999999999</v>
      </c>
      <c r="P53" s="75">
        <v>61.11</v>
      </c>
      <c r="Q53" s="73">
        <v>1.5694999999999999</v>
      </c>
      <c r="R53" s="75">
        <v>88.22</v>
      </c>
      <c r="S53" s="76"/>
      <c r="T53" s="72">
        <v>22.79</v>
      </c>
      <c r="U53" s="73">
        <v>1.3842000000000001</v>
      </c>
      <c r="V53" s="75">
        <v>31.55</v>
      </c>
      <c r="W53" s="72">
        <v>29.3</v>
      </c>
      <c r="X53" s="73">
        <v>1.3842000000000001</v>
      </c>
      <c r="Y53" s="75">
        <v>40.56</v>
      </c>
      <c r="Z53" s="72">
        <v>32.56</v>
      </c>
      <c r="AA53" s="73">
        <v>1.3842000000000001</v>
      </c>
      <c r="AB53" s="75">
        <v>45.07</v>
      </c>
    </row>
    <row r="54" spans="1:28" x14ac:dyDescent="0.25">
      <c r="A54" s="77"/>
      <c r="B54" s="77" t="s">
        <v>284</v>
      </c>
      <c r="C54" s="78" t="s">
        <v>285</v>
      </c>
      <c r="D54" s="79" t="s">
        <v>225</v>
      </c>
      <c r="E54" s="46" t="s">
        <v>229</v>
      </c>
      <c r="F54" s="68">
        <v>15.09</v>
      </c>
      <c r="G54" s="60">
        <v>16.010000000000002</v>
      </c>
      <c r="H54" s="56">
        <v>1.7058</v>
      </c>
      <c r="I54" s="57">
        <v>4.54</v>
      </c>
      <c r="J54" s="58">
        <v>31.85</v>
      </c>
      <c r="K54" s="56">
        <v>1.5694999999999999</v>
      </c>
      <c r="L54" s="58">
        <v>40.14</v>
      </c>
      <c r="M54" s="56">
        <v>1.5694999999999999</v>
      </c>
      <c r="N54" s="58">
        <v>40.65</v>
      </c>
      <c r="O54" s="56">
        <v>1.5694999999999999</v>
      </c>
      <c r="P54" s="58">
        <v>56.98</v>
      </c>
      <c r="Q54" s="56">
        <v>1.5694999999999999</v>
      </c>
      <c r="R54" s="58">
        <v>82.11</v>
      </c>
      <c r="S54" s="59"/>
      <c r="T54" s="60">
        <v>21.13</v>
      </c>
      <c r="U54" s="56">
        <v>1.3842000000000001</v>
      </c>
      <c r="V54" s="58">
        <v>29.24</v>
      </c>
      <c r="W54" s="60">
        <v>27.16</v>
      </c>
      <c r="X54" s="56">
        <v>1.3842000000000001</v>
      </c>
      <c r="Y54" s="58">
        <v>37.6</v>
      </c>
      <c r="Z54" s="60">
        <v>30.18</v>
      </c>
      <c r="AA54" s="56">
        <v>1.3842000000000001</v>
      </c>
      <c r="AB54" s="58">
        <v>41.78</v>
      </c>
    </row>
    <row r="55" spans="1:28" x14ac:dyDescent="0.25">
      <c r="A55" s="77"/>
      <c r="B55" s="77" t="s">
        <v>286</v>
      </c>
      <c r="C55" s="78" t="s">
        <v>287</v>
      </c>
      <c r="D55" s="79" t="s">
        <v>225</v>
      </c>
      <c r="E55" s="46" t="s">
        <v>229</v>
      </c>
      <c r="F55" s="68">
        <v>15.09</v>
      </c>
      <c r="G55" s="60">
        <v>16.010000000000002</v>
      </c>
      <c r="H55" s="56">
        <v>1.7058</v>
      </c>
      <c r="I55" s="57">
        <v>4.54</v>
      </c>
      <c r="J55" s="58">
        <v>31.85</v>
      </c>
      <c r="K55" s="56">
        <v>1.5694999999999999</v>
      </c>
      <c r="L55" s="58">
        <v>40.14</v>
      </c>
      <c r="M55" s="56">
        <v>1.5694999999999999</v>
      </c>
      <c r="N55" s="58">
        <v>40.65</v>
      </c>
      <c r="O55" s="56">
        <v>1.5694999999999999</v>
      </c>
      <c r="P55" s="58">
        <v>56.98</v>
      </c>
      <c r="Q55" s="56">
        <v>1.5694999999999999</v>
      </c>
      <c r="R55" s="58">
        <v>82.11</v>
      </c>
      <c r="S55" s="59"/>
      <c r="T55" s="60">
        <v>21.13</v>
      </c>
      <c r="U55" s="56">
        <v>1.3842000000000001</v>
      </c>
      <c r="V55" s="58">
        <v>29.24</v>
      </c>
      <c r="W55" s="60">
        <v>27.16</v>
      </c>
      <c r="X55" s="56">
        <v>1.3842000000000001</v>
      </c>
      <c r="Y55" s="58">
        <v>37.6</v>
      </c>
      <c r="Z55" s="60">
        <v>30.18</v>
      </c>
      <c r="AA55" s="56">
        <v>1.3842000000000001</v>
      </c>
      <c r="AB55" s="58">
        <v>41.78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6DDB54D3BF0E4381D035FE81726D55" ma:contentTypeVersion="16" ma:contentTypeDescription="Een nieuw document maken." ma:contentTypeScope="" ma:versionID="c5c039fed6bb1ffaa850f0b1d32dc762">
  <xsd:schema xmlns:xsd="http://www.w3.org/2001/XMLSchema" xmlns:xs="http://www.w3.org/2001/XMLSchema" xmlns:p="http://schemas.microsoft.com/office/2006/metadata/properties" xmlns:ns2="f3e24b04-d356-44d5-9eb5-201cfa4fc256" xmlns:ns3="bf41cf06-3f38-47d2-b3db-ee42d871b2cc" targetNamespace="http://schemas.microsoft.com/office/2006/metadata/properties" ma:root="true" ma:fieldsID="a132e0c0aec4c1501cf1afa6634ef633" ns2:_="" ns3:_="">
    <xsd:import namespace="f3e24b04-d356-44d5-9eb5-201cfa4fc256"/>
    <xsd:import namespace="bf41cf06-3f38-47d2-b3db-ee42d871b2cc"/>
    <xsd:element name="properties">
      <xsd:complexType>
        <xsd:sequence>
          <xsd:element name="documentManagement">
            <xsd:complexType>
              <xsd:all>
                <xsd:element ref="ns2:Title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24b04-d356-44d5-9eb5-201cfa4fc256" elementFormDefault="qualified">
    <xsd:import namespace="http://schemas.microsoft.com/office/2006/documentManagement/types"/>
    <xsd:import namespace="http://schemas.microsoft.com/office/infopath/2007/PartnerControls"/>
    <xsd:element name="Title0" ma:index="8" nillable="true" ma:displayName="Title" ma:description="" ma:internalName="Title0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01b3478-e3da-4a3d-a8ff-e24b3c4cfd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1cf06-3f38-47d2-b3db-ee42d871b2c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f788282-6641-4fcb-ab77-7819daa1ef6f}" ma:internalName="TaxCatchAll" ma:showField="CatchAllData" ma:web="bf41cf06-3f38-47d2-b3db-ee42d871b2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e24b04-d356-44d5-9eb5-201cfa4fc256">
      <Terms xmlns="http://schemas.microsoft.com/office/infopath/2007/PartnerControls"/>
    </lcf76f155ced4ddcb4097134ff3c332f>
    <TaxCatchAll xmlns="bf41cf06-3f38-47d2-b3db-ee42d871b2cc" xsi:nil="true"/>
    <Title0 xmlns="f3e24b04-d356-44d5-9eb5-201cfa4fc25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C32FCC-F24A-41A3-A4AC-1F2C81EE4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e24b04-d356-44d5-9eb5-201cfa4fc256"/>
    <ds:schemaRef ds:uri="bf41cf06-3f38-47d2-b3db-ee42d871b2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118AD0-8B1B-41E1-BB60-C9C89B0D286E}">
  <ds:schemaRefs>
    <ds:schemaRef ds:uri="http://schemas.microsoft.com/office/2006/metadata/properties"/>
    <ds:schemaRef ds:uri="http://schemas.microsoft.com/office/infopath/2007/PartnerControls"/>
    <ds:schemaRef ds:uri="f3e24b04-d356-44d5-9eb5-201cfa4fc256"/>
    <ds:schemaRef ds:uri="bf41cf06-3f38-47d2-b3db-ee42d871b2cc"/>
  </ds:schemaRefs>
</ds:datastoreItem>
</file>

<file path=customXml/itemProps3.xml><?xml version="1.0" encoding="utf-8"?>
<ds:datastoreItem xmlns:ds="http://schemas.openxmlformats.org/officeDocument/2006/customXml" ds:itemID="{280F16B4-C7ED-409D-AA42-97862FA87C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1 januari 2026</vt:lpstr>
      <vt:lpstr>Blad1</vt:lpstr>
    </vt:vector>
  </TitlesOfParts>
  <Manager/>
  <Company>Flexspecialisten B.V.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Joyce Swinkels</dc:creator>
  <cp:keywords/>
  <dc:description/>
  <cp:lastModifiedBy>Esmee Hermsen</cp:lastModifiedBy>
  <cp:revision/>
  <dcterms:created xsi:type="dcterms:W3CDTF">2024-01-15T10:37:04Z</dcterms:created>
  <dcterms:modified xsi:type="dcterms:W3CDTF">2026-03-13T07:14:49Z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0x010100266DDB54D3BF0E4381D035FE81726D55</vt:lpwstr>
  </property>
  <property fmtid="{D5CDD505-2E9C-101B-9397-08002B2CF9AE}" pid="3" name="MediaServiceImageTags">
    <vt:lpwstr/>
  </property>
</Properties>
</file>