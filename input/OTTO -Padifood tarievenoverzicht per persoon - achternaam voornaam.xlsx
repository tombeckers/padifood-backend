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D4119D76-CA02-4F6E-9AEB-81DB0C92858E}" xr6:coauthVersionLast="47" xr6:coauthVersionMax="47" xr10:uidLastSave="{00000000-0000-0000-0000-000000000000}"/>
  <bookViews>
    <workbookView xWindow="-98" yWindow="-98" windowWidth="19396" windowHeight="11475" xr2:uid="{421FF32A-F3B1-48FA-95E6-FA4E40628E7C}"/>
  </bookViews>
  <sheets>
    <sheet name="Blad1" sheetId="1" r:id="rId1"/>
    <sheet name="unique_names" sheetId="2" r:id="rId2"/>
  </sheets>
  <definedNames>
    <definedName name="_xlnm._FilterDatabase" localSheetId="0" hidden="1">Blad1!$A$1:$O$139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" i="2"/>
  <c r="B2" i="2" s="1" a="1"/>
  <c r="B2" i="2" s="1"/>
  <c r="Q6" i="1"/>
  <c r="Q5" i="1"/>
  <c r="Q2" i="1"/>
  <c r="Q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<sst xmlns="http://schemas.openxmlformats.org/spreadsheetml/2006/main" count="426" uniqueCount="268">
  <si>
    <t>Uurloon incl. ATV</t>
  </si>
  <si>
    <t>Uurloon excl. ATV</t>
  </si>
  <si>
    <t>Personeelsnummer</t>
  </si>
  <si>
    <t>Wekenteller</t>
  </si>
  <si>
    <t>Schaal</t>
  </si>
  <si>
    <t>C2</t>
  </si>
  <si>
    <t>A0</t>
  </si>
  <si>
    <t>A1</t>
  </si>
  <si>
    <t>A3</t>
  </si>
  <si>
    <t>B2</t>
  </si>
  <si>
    <t>A2</t>
  </si>
  <si>
    <t>C3</t>
  </si>
  <si>
    <t>C0</t>
  </si>
  <si>
    <t>B3</t>
  </si>
  <si>
    <t>A4</t>
  </si>
  <si>
    <t>B6</t>
  </si>
  <si>
    <t>C1</t>
  </si>
  <si>
    <t>B1</t>
  </si>
  <si>
    <t>D1</t>
  </si>
  <si>
    <t xml:space="preserve">B0 </t>
  </si>
  <si>
    <t>B4</t>
  </si>
  <si>
    <t>Agnieszka</t>
  </si>
  <si>
    <t>Cwioro</t>
  </si>
  <si>
    <t>Kosior</t>
  </si>
  <si>
    <t>Ziolkowska</t>
  </si>
  <si>
    <t>Major</t>
  </si>
  <si>
    <t>Alvaro</t>
  </si>
  <si>
    <t>Andrzej</t>
  </si>
  <si>
    <t>Jankowski</t>
  </si>
  <si>
    <t>Anna</t>
  </si>
  <si>
    <t>Cyran</t>
  </si>
  <si>
    <t>Gajewska</t>
  </si>
  <si>
    <t>Kulak</t>
  </si>
  <si>
    <t>Mikulska</t>
  </si>
  <si>
    <t>Armandas</t>
  </si>
  <si>
    <t>Bisliukas</t>
  </si>
  <si>
    <t>Barbara</t>
  </si>
  <si>
    <t>Holubowska</t>
  </si>
  <si>
    <t>Beata</t>
  </si>
  <si>
    <t>Marczak</t>
  </si>
  <si>
    <t>Bogumil</t>
  </si>
  <si>
    <t>Mlynarczyk</t>
  </si>
  <si>
    <t>Branislav</t>
  </si>
  <si>
    <t>Hanus</t>
  </si>
  <si>
    <t>Daniel</t>
  </si>
  <si>
    <t>Pikta</t>
  </si>
  <si>
    <t>Daria</t>
  </si>
  <si>
    <t>Adamska</t>
  </si>
  <si>
    <t>Dariusz</t>
  </si>
  <si>
    <t>Glabien</t>
  </si>
  <si>
    <t>David</t>
  </si>
  <si>
    <t>Babics</t>
  </si>
  <si>
    <t>Ciz</t>
  </si>
  <si>
    <t>Dawid</t>
  </si>
  <si>
    <t>Kutermak</t>
  </si>
  <si>
    <t>Szpakowski</t>
  </si>
  <si>
    <t>Dominik</t>
  </si>
  <si>
    <t>Kijak</t>
  </si>
  <si>
    <t>Dorota</t>
  </si>
  <si>
    <t>Szulewska</t>
  </si>
  <si>
    <t>Eden</t>
  </si>
  <si>
    <t>Colaco</t>
  </si>
  <si>
    <t>Elzbieta</t>
  </si>
  <si>
    <t>Przybyszewska</t>
  </si>
  <si>
    <t>Ewa</t>
  </si>
  <si>
    <t>Koszny</t>
  </si>
  <si>
    <t>Grzegorz</t>
  </si>
  <si>
    <t>Dlugolecki</t>
  </si>
  <si>
    <t>Potapski</t>
  </si>
  <si>
    <t>Hanna</t>
  </si>
  <si>
    <t>Honorata</t>
  </si>
  <si>
    <t>Koltonowska</t>
  </si>
  <si>
    <t>Iva</t>
  </si>
  <si>
    <t>Kupcikova</t>
  </si>
  <si>
    <t>Izabela</t>
  </si>
  <si>
    <t>Chwalinska</t>
  </si>
  <si>
    <t>Jakub</t>
  </si>
  <si>
    <t>Podstavek</t>
  </si>
  <si>
    <t>Jaroslaw</t>
  </si>
  <si>
    <t>Czajkowski</t>
  </si>
  <si>
    <t>Jerzy</t>
  </si>
  <si>
    <t>Muc</t>
  </si>
  <si>
    <t>Justyna</t>
  </si>
  <si>
    <t>Perczyk</t>
  </si>
  <si>
    <t>Kamil</t>
  </si>
  <si>
    <t>Mierzejewski</t>
  </si>
  <si>
    <t>Karolina</t>
  </si>
  <si>
    <t>Jaroszewska</t>
  </si>
  <si>
    <t>Kondrowska</t>
  </si>
  <si>
    <t>Mlodzinska</t>
  </si>
  <si>
    <t>Katarzyna</t>
  </si>
  <si>
    <t>Kaziura</t>
  </si>
  <si>
    <t>Kutkiewicz</t>
  </si>
  <si>
    <t>Kewin</t>
  </si>
  <si>
    <t>Skrzypczak</t>
  </si>
  <si>
    <t>Kinga</t>
  </si>
  <si>
    <t>Bender</t>
  </si>
  <si>
    <t>Klaudiusz</t>
  </si>
  <si>
    <t>Konrad</t>
  </si>
  <si>
    <t>Mogilnicki</t>
  </si>
  <si>
    <t>Sulewski</t>
  </si>
  <si>
    <t>Krystyna</t>
  </si>
  <si>
    <t>Pasiali</t>
  </si>
  <si>
    <t>Krzysztof</t>
  </si>
  <si>
    <t>Polanski</t>
  </si>
  <si>
    <t>Lubos</t>
  </si>
  <si>
    <t>Maksin</t>
  </si>
  <si>
    <t>Lucia</t>
  </si>
  <si>
    <t>Maciej</t>
  </si>
  <si>
    <t>Wolanin</t>
  </si>
  <si>
    <t>Magdalena</t>
  </si>
  <si>
    <t>Marek</t>
  </si>
  <si>
    <t>Malgorzata</t>
  </si>
  <si>
    <t>Pasieka</t>
  </si>
  <si>
    <t>Urbanowicz</t>
  </si>
  <si>
    <t>Marta</t>
  </si>
  <si>
    <t>Madej</t>
  </si>
  <si>
    <t>Martin</t>
  </si>
  <si>
    <t>Drozdziel</t>
  </si>
  <si>
    <t>Podlasin</t>
  </si>
  <si>
    <t>Marzena</t>
  </si>
  <si>
    <t>Chlipala</t>
  </si>
  <si>
    <t>Mateusz</t>
  </si>
  <si>
    <t>Wielgus</t>
  </si>
  <si>
    <t>Mathew</t>
  </si>
  <si>
    <t>Peixoto</t>
  </si>
  <si>
    <t>Michal</t>
  </si>
  <si>
    <t>Sott</t>
  </si>
  <si>
    <t>Miroslaw</t>
  </si>
  <si>
    <t>Oleksak</t>
  </si>
  <si>
    <t>Monika</t>
  </si>
  <si>
    <t>Mikolajczyk</t>
  </si>
  <si>
    <t>Nikola</t>
  </si>
  <si>
    <t>Solomonova</t>
  </si>
  <si>
    <t>Oliwia</t>
  </si>
  <si>
    <t>Milon</t>
  </si>
  <si>
    <t>Patrycja</t>
  </si>
  <si>
    <t>Kwiecinska</t>
  </si>
  <si>
    <t>Ogiela</t>
  </si>
  <si>
    <t>Patryk</t>
  </si>
  <si>
    <t>Jaworski</t>
  </si>
  <si>
    <t>Paulina</t>
  </si>
  <si>
    <t>Jankowska</t>
  </si>
  <si>
    <t>Mankowska</t>
  </si>
  <si>
    <t>Pawel</t>
  </si>
  <si>
    <t>Kaniowski</t>
  </si>
  <si>
    <t>Pedro</t>
  </si>
  <si>
    <t>Costa</t>
  </si>
  <si>
    <t>Peter</t>
  </si>
  <si>
    <t>Kozel</t>
  </si>
  <si>
    <t>Piotr</t>
  </si>
  <si>
    <t>Wach</t>
  </si>
  <si>
    <t>Przemyslaw</t>
  </si>
  <si>
    <t>Andryjanczyk</t>
  </si>
  <si>
    <t>Renata</t>
  </si>
  <si>
    <t>Drabik</t>
  </si>
  <si>
    <t>Durak</t>
  </si>
  <si>
    <t>Przydatek</t>
  </si>
  <si>
    <t>Richard</t>
  </si>
  <si>
    <t>Lenart</t>
  </si>
  <si>
    <t>Robert</t>
  </si>
  <si>
    <t>Pacholik</t>
  </si>
  <si>
    <t>Sandra</t>
  </si>
  <si>
    <t>Piksa</t>
  </si>
  <si>
    <t>Tomas</t>
  </si>
  <si>
    <t>Slosiar</t>
  </si>
  <si>
    <t>Tomasz</t>
  </si>
  <si>
    <t>Kozlowski</t>
  </si>
  <si>
    <t>Veliston</t>
  </si>
  <si>
    <t>Pereira</t>
  </si>
  <si>
    <t>Venelin</t>
  </si>
  <si>
    <t>Yordanov</t>
  </si>
  <si>
    <t>Waldemar</t>
  </si>
  <si>
    <t>Nasiadko</t>
  </si>
  <si>
    <t>Wilson</t>
  </si>
  <si>
    <t>Marques</t>
  </si>
  <si>
    <t>Zoran</t>
  </si>
  <si>
    <t>Karlica</t>
  </si>
  <si>
    <t>Calzado Marin</t>
  </si>
  <si>
    <t>Ferradas Echevarria</t>
  </si>
  <si>
    <t>Baselga Alvarez de Lorenzana</t>
  </si>
  <si>
    <t>Achternaam</t>
  </si>
  <si>
    <t>Voornaam</t>
  </si>
  <si>
    <t>Cimoszko</t>
  </si>
  <si>
    <t>Adam</t>
  </si>
  <si>
    <t>Kloc</t>
  </si>
  <si>
    <t>Mariusz</t>
  </si>
  <si>
    <t>Kocel</t>
  </si>
  <si>
    <t>Hajduk</t>
  </si>
  <si>
    <t>Lukasz</t>
  </si>
  <si>
    <t>Wilczak</t>
  </si>
  <si>
    <t>Wojdylo</t>
  </si>
  <si>
    <t>Baraniuk</t>
  </si>
  <si>
    <t>Kovacova</t>
  </si>
  <si>
    <t>Martina</t>
  </si>
  <si>
    <t>Motyka</t>
  </si>
  <si>
    <t>Damian</t>
  </si>
  <si>
    <t>Oleksy</t>
  </si>
  <si>
    <t>Poplonski</t>
  </si>
  <si>
    <t>Rogalska</t>
  </si>
  <si>
    <t>Rusnik</t>
  </si>
  <si>
    <t>Edward</t>
  </si>
  <si>
    <t>Valachovic</t>
  </si>
  <si>
    <t>Zieba</t>
  </si>
  <si>
    <t>D0</t>
  </si>
  <si>
    <t>Bierczak</t>
  </si>
  <si>
    <t>Filipek</t>
  </si>
  <si>
    <t>Kauklys</t>
  </si>
  <si>
    <t>Rolandas</t>
  </si>
  <si>
    <t>Kasileviciute</t>
  </si>
  <si>
    <t>Gerda</t>
  </si>
  <si>
    <t>E4</t>
  </si>
  <si>
    <t>Tamosiunas</t>
  </si>
  <si>
    <t>Kipras</t>
  </si>
  <si>
    <t>Tranevicius</t>
  </si>
  <si>
    <t>Martynas</t>
  </si>
  <si>
    <t>Ciszewska</t>
  </si>
  <si>
    <t>Aleksandra</t>
  </si>
  <si>
    <t>Koralewski</t>
  </si>
  <si>
    <t>Arkadiusz</t>
  </si>
  <si>
    <t>Smug</t>
  </si>
  <si>
    <t>Grucelski</t>
  </si>
  <si>
    <t>Marcin</t>
  </si>
  <si>
    <t>Madry</t>
  </si>
  <si>
    <t>Slawomir</t>
  </si>
  <si>
    <t>Manuca</t>
  </si>
  <si>
    <t>Antonio</t>
  </si>
  <si>
    <t>Moldovanov</t>
  </si>
  <si>
    <t>Hristian</t>
  </si>
  <si>
    <t>Nemeti</t>
  </si>
  <si>
    <t>Elisei</t>
  </si>
  <si>
    <t>Spataru</t>
  </si>
  <si>
    <t>Alexandru</t>
  </si>
  <si>
    <t>Fernandes Lopes</t>
  </si>
  <si>
    <t>Leticia</t>
  </si>
  <si>
    <t>Karklevalks</t>
  </si>
  <si>
    <t>Tom</t>
  </si>
  <si>
    <t>Klein</t>
  </si>
  <si>
    <t>377547</t>
  </si>
  <si>
    <t>Pandaru</t>
  </si>
  <si>
    <t>Marius</t>
  </si>
  <si>
    <t>438558</t>
  </si>
  <si>
    <t>Patap</t>
  </si>
  <si>
    <t>Vlad</t>
  </si>
  <si>
    <t>438278</t>
  </si>
  <si>
    <t>Recka</t>
  </si>
  <si>
    <t>421717</t>
  </si>
  <si>
    <t>Toana</t>
  </si>
  <si>
    <t>Ionel</t>
  </si>
  <si>
    <t>Damaso Gonzalez</t>
  </si>
  <si>
    <t>Angel</t>
  </si>
  <si>
    <t>Garcia Ocampo</t>
  </si>
  <si>
    <t>Alejandro</t>
  </si>
  <si>
    <t>Ionas</t>
  </si>
  <si>
    <t>Alin</t>
  </si>
  <si>
    <t>Lopez Ventura</t>
  </si>
  <si>
    <t>Raduceanu</t>
  </si>
  <si>
    <t>Razvan</t>
  </si>
  <si>
    <t>Vaivod</t>
  </si>
  <si>
    <t>Gabriel</t>
  </si>
  <si>
    <t>Arhipova</t>
  </si>
  <si>
    <t>Inna</t>
  </si>
  <si>
    <t>438924</t>
  </si>
  <si>
    <t>Jarullina</t>
  </si>
  <si>
    <t>Viktorija</t>
  </si>
  <si>
    <t>Cimponer</t>
  </si>
  <si>
    <t>Georgiana</t>
  </si>
  <si>
    <t>MARGE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</si>
</sst>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€&quot;\ #,##0.00;[Red]&quot;€&quot;\ \-#,##0.00"/>
    <numFmt numFmtId="165" formatCode="_(&quot;€&quot;* #,##0.00_);_(&quot;€&quot;* \(#,##0.00\);_(&quot;€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2"/>
      <color rgb="FF242424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2" fillId="0" borderId="1" xfId="0" applyFont="1" applyBorder="1"/>
    <xf numFmtId="9" fontId="3" fillId="0" borderId="2" xfId="1" applyFont="1" applyFill="1" applyBorder="1" applyAlignment="1">
      <alignment horizontal="left"/>
    </xf>
    <xf numFmtId="9" fontId="3" fillId="0" borderId="3" xfId="1" applyFont="1" applyFill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4" fillId="0" borderId="0" xfId="0" applyFont="1" applyAlignment="1">
      <alignment vertical="center" wrapText="1"/>
    </xf>
    <xf numFmtId="43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AE54-3900-433C-A20A-C5CB7F2CEC70}">
  <dimension ref="A1:R148"/>
  <sheetViews>
    <sheetView tabSelected="1" zoomScale="120" zoomScaleNormal="120" workbookViewId="0">
      <pane ySplit="1" topLeftCell="A110" activePane="bottomLeft" state="frozen"/>
      <selection pane="bottomLeft" activeCell="A111" sqref="A111"/>
    </sheetView>
  </sheetViews>
  <sheetFormatPr defaultRowHeight="14.25" x14ac:dyDescent="0.45"/>
  <cols>
    <col min="1" max="1" width="21.265625" bestFit="1" customWidth="1"/>
    <col min="2" max="2" width="27.3984375" bestFit="1" customWidth="1"/>
    <col min="3" max="3" width="14.59765625" bestFit="1" customWidth="1"/>
    <col min="4" max="4" width="14.3984375" bestFit="1" customWidth="1"/>
    <col min="5" max="5" width="9.1328125" bestFit="1" customWidth="1"/>
    <col min="6" max="6" width="18.59765625" bestFit="1" customWidth="1"/>
    <col min="7" max="7" width="19" bestFit="1" customWidth="1"/>
    <col min="8" max="15" width="8.3984375" bestFit="1" customWidth="1"/>
  </cols>
  <sheetData>
    <row r="1" spans="1:18" x14ac:dyDescent="0.45">
      <c r="A1" s="3" t="s">
        <v>2</v>
      </c>
      <c r="B1" s="3" t="s">
        <v>181</v>
      </c>
      <c r="C1" s="3" t="s">
        <v>182</v>
      </c>
      <c r="D1" s="3" t="s">
        <v>3</v>
      </c>
      <c r="E1" s="3" t="s">
        <v>4</v>
      </c>
      <c r="F1" s="3" t="s">
        <v>0</v>
      </c>
      <c r="G1" s="3" t="s">
        <v>1</v>
      </c>
      <c r="H1" s="4">
        <v>1</v>
      </c>
      <c r="I1" s="5">
        <v>1.33</v>
      </c>
      <c r="J1" s="5">
        <v>1.35</v>
      </c>
      <c r="K1" s="5">
        <v>1.8</v>
      </c>
      <c r="L1" s="5">
        <v>2</v>
      </c>
      <c r="M1" s="5">
        <v>1.4</v>
      </c>
      <c r="N1" s="5">
        <v>1.8</v>
      </c>
      <c r="O1" s="5">
        <v>2</v>
      </c>
    </row>
    <row r="2" spans="1:18" x14ac:dyDescent="0.45">
      <c r="A2" s="6"/>
      <c r="B2" t="s">
        <v>183</v>
      </c>
      <c r="C2" t="s">
        <v>184</v>
      </c>
      <c r="E2" t="s">
        <v>204</v>
      </c>
      <c r="F2" s="2">
        <v>16.79</v>
      </c>
      <c r="G2" s="2">
        <v>15.82</v>
      </c>
      <c r="H2" s="2">
        <v>31.57</v>
      </c>
      <c r="I2" s="2">
        <v>40.24</v>
      </c>
      <c r="J2" s="2">
        <v>40.770000000000003</v>
      </c>
      <c r="K2" s="2">
        <v>52.59</v>
      </c>
      <c r="L2" s="2">
        <v>56.32</v>
      </c>
      <c r="M2" s="2">
        <v>30.02</v>
      </c>
      <c r="N2" s="2">
        <v>38.590000000000003</v>
      </c>
      <c r="O2" s="2">
        <v>42.88</v>
      </c>
      <c r="Q2" s="9">
        <f>G2*1.7058</f>
        <v>26.985755999999999</v>
      </c>
    </row>
    <row r="3" spans="1:18" x14ac:dyDescent="0.45">
      <c r="A3" s="1">
        <v>374420</v>
      </c>
      <c r="B3" t="s">
        <v>22</v>
      </c>
      <c r="C3" t="s">
        <v>21</v>
      </c>
      <c r="D3">
        <v>222</v>
      </c>
      <c r="E3" t="s">
        <v>14</v>
      </c>
      <c r="F3" s="2">
        <v>16.14</v>
      </c>
      <c r="G3" s="2">
        <v>15.20919713531851</v>
      </c>
      <c r="H3" s="2">
        <v>29.616157999999999</v>
      </c>
      <c r="I3" s="2">
        <v>37.617175639999999</v>
      </c>
      <c r="J3" s="2">
        <v>38.102085799999998</v>
      </c>
      <c r="K3" s="2">
        <v>49.012564400000002</v>
      </c>
      <c r="L3" s="2">
        <v>52.463413936675465</v>
      </c>
      <c r="M3" s="2">
        <v>27.463551451187342</v>
      </c>
      <c r="N3" s="2">
        <v>35.310280437240863</v>
      </c>
      <c r="O3" s="2">
        <v>39.23364493026763</v>
      </c>
      <c r="Q3" s="9">
        <f>H2-Q2</f>
        <v>4.5842440000000018</v>
      </c>
      <c r="R3" t="s">
        <v>267</v>
      </c>
    </row>
    <row r="4" spans="1:18" x14ac:dyDescent="0.45">
      <c r="A4" s="1">
        <v>349489</v>
      </c>
      <c r="B4" t="s">
        <v>23</v>
      </c>
      <c r="C4" t="s">
        <v>21</v>
      </c>
      <c r="D4">
        <v>3</v>
      </c>
      <c r="E4" t="s">
        <v>6</v>
      </c>
      <c r="F4" s="2">
        <v>15.35</v>
      </c>
      <c r="G4" s="2">
        <v>14.47</v>
      </c>
      <c r="H4" s="2">
        <v>29.123374999999996</v>
      </c>
      <c r="I4" s="2">
        <v>37.046830099999994</v>
      </c>
      <c r="J4" s="2">
        <v>37.527039500000001</v>
      </c>
      <c r="K4" s="2">
        <v>48.331750999999997</v>
      </c>
      <c r="L4" s="2">
        <v>53.133844999999994</v>
      </c>
      <c r="M4" s="2">
        <v>27.453641599999997</v>
      </c>
      <c r="N4" s="2">
        <v>35.297539200000003</v>
      </c>
      <c r="O4" s="2">
        <v>39.219487999999998</v>
      </c>
    </row>
    <row r="5" spans="1:18" x14ac:dyDescent="0.45">
      <c r="A5" s="1"/>
      <c r="B5" t="s">
        <v>199</v>
      </c>
      <c r="C5" t="s">
        <v>21</v>
      </c>
      <c r="E5" t="s">
        <v>6</v>
      </c>
      <c r="F5" s="2">
        <v>15.35</v>
      </c>
      <c r="G5" s="2">
        <v>14.47</v>
      </c>
      <c r="H5" s="2">
        <v>29.123374999999996</v>
      </c>
      <c r="I5" s="2">
        <v>37.046830099999994</v>
      </c>
      <c r="J5" s="2">
        <v>37.527039500000001</v>
      </c>
      <c r="K5" s="2">
        <v>48.331750999999997</v>
      </c>
      <c r="L5" s="2">
        <v>53.133844999999994</v>
      </c>
      <c r="M5" s="2">
        <v>27.453641599999997</v>
      </c>
      <c r="N5" s="2">
        <v>35.297539200000003</v>
      </c>
      <c r="O5" s="2">
        <v>39.219487999999998</v>
      </c>
      <c r="Q5">
        <f>0.33 * 1.5695 * 14.47</f>
        <v>7.4945194500000012</v>
      </c>
    </row>
    <row r="6" spans="1:18" x14ac:dyDescent="0.45">
      <c r="A6" s="1">
        <v>379930</v>
      </c>
      <c r="B6" t="s">
        <v>24</v>
      </c>
      <c r="C6" t="s">
        <v>21</v>
      </c>
      <c r="D6">
        <v>103</v>
      </c>
      <c r="E6" t="s">
        <v>10</v>
      </c>
      <c r="F6" s="2">
        <v>15.75</v>
      </c>
      <c r="G6" s="2">
        <v>14.841688654353563</v>
      </c>
      <c r="H6" s="2">
        <v>29.872100000000003</v>
      </c>
      <c r="I6" s="2">
        <v>37.942778000000004</v>
      </c>
      <c r="J6" s="2">
        <v>38.431910000000002</v>
      </c>
      <c r="K6" s="2">
        <v>49.437380000000005</v>
      </c>
      <c r="L6" s="2">
        <v>52.918274142480215</v>
      </c>
      <c r="M6" s="2">
        <v>27.826385224274407</v>
      </c>
      <c r="N6" s="2">
        <v>35.776781002638522</v>
      </c>
      <c r="O6" s="2">
        <v>39.751978891820585</v>
      </c>
      <c r="Q6" s="9">
        <f>I2-H2</f>
        <v>8.6700000000000017</v>
      </c>
    </row>
    <row r="7" spans="1:18" x14ac:dyDescent="0.45">
      <c r="A7" s="6">
        <v>438333</v>
      </c>
      <c r="B7" t="s">
        <v>251</v>
      </c>
      <c r="C7" t="s">
        <v>252</v>
      </c>
      <c r="E7" t="s">
        <v>6</v>
      </c>
      <c r="F7" s="2">
        <v>15.35</v>
      </c>
      <c r="G7" s="2">
        <v>14.47</v>
      </c>
      <c r="H7" s="2">
        <v>29.123374999999996</v>
      </c>
      <c r="I7" s="2">
        <v>37.046830099999994</v>
      </c>
      <c r="J7" s="2">
        <v>37.527039500000001</v>
      </c>
      <c r="K7" s="2">
        <v>48.331750999999997</v>
      </c>
      <c r="L7" s="2">
        <v>53.133844999999994</v>
      </c>
      <c r="M7" s="2">
        <v>27.453641599999997</v>
      </c>
      <c r="N7" s="2">
        <v>35.297539200000003</v>
      </c>
      <c r="O7" s="2">
        <v>39.219487999999998</v>
      </c>
    </row>
    <row r="8" spans="1:18" x14ac:dyDescent="0.45">
      <c r="A8" s="6">
        <v>438061</v>
      </c>
      <c r="B8" t="s">
        <v>216</v>
      </c>
      <c r="C8" t="s">
        <v>217</v>
      </c>
      <c r="E8" t="s">
        <v>6</v>
      </c>
      <c r="F8" s="2">
        <v>15.35</v>
      </c>
      <c r="G8" s="2">
        <v>14.47</v>
      </c>
      <c r="H8" s="2">
        <v>29.123374999999996</v>
      </c>
      <c r="I8" s="2">
        <v>37.046830099999994</v>
      </c>
      <c r="J8" s="2">
        <v>37.527039500000001</v>
      </c>
      <c r="K8" s="2">
        <v>48.331750999999997</v>
      </c>
      <c r="L8" s="2">
        <v>53.133844999999994</v>
      </c>
      <c r="M8" s="2">
        <v>27.453641599999997</v>
      </c>
      <c r="N8" s="2">
        <v>35.297539200000003</v>
      </c>
      <c r="O8" s="2">
        <v>39.219487999999998</v>
      </c>
    </row>
    <row r="9" spans="1:18" x14ac:dyDescent="0.45">
      <c r="A9" s="6">
        <v>438252</v>
      </c>
      <c r="B9" t="s">
        <v>231</v>
      </c>
      <c r="C9" t="s">
        <v>232</v>
      </c>
      <c r="E9" t="s">
        <v>6</v>
      </c>
      <c r="F9" s="2">
        <v>15.35</v>
      </c>
      <c r="G9" s="2">
        <v>14.47</v>
      </c>
      <c r="H9" s="2">
        <v>29.123374999999996</v>
      </c>
      <c r="I9" s="2">
        <v>37.046830099999994</v>
      </c>
      <c r="J9" s="2">
        <v>37.527039500000001</v>
      </c>
      <c r="K9" s="2">
        <v>48.331750999999997</v>
      </c>
      <c r="L9" s="2">
        <v>53.133844999999994</v>
      </c>
      <c r="M9" s="2">
        <v>27.453641599999997</v>
      </c>
      <c r="N9" s="2">
        <v>35.297539200000003</v>
      </c>
      <c r="O9" s="2">
        <v>39.219487999999998</v>
      </c>
    </row>
    <row r="10" spans="1:18" x14ac:dyDescent="0.45">
      <c r="A10" s="6">
        <v>438639</v>
      </c>
      <c r="B10" t="s">
        <v>253</v>
      </c>
      <c r="C10" t="s">
        <v>254</v>
      </c>
      <c r="E10" t="s">
        <v>6</v>
      </c>
      <c r="F10" s="2">
        <v>15.35</v>
      </c>
      <c r="G10" s="2">
        <v>14.47</v>
      </c>
      <c r="H10" s="2">
        <v>29.123374999999996</v>
      </c>
      <c r="I10" s="2">
        <v>37.046830099999994</v>
      </c>
      <c r="J10" s="2">
        <v>37.527039500000001</v>
      </c>
      <c r="K10" s="2">
        <v>48.331750999999997</v>
      </c>
      <c r="L10" s="2">
        <v>53.133844999999994</v>
      </c>
      <c r="M10" s="2">
        <v>27.453641599999997</v>
      </c>
      <c r="N10" s="2">
        <v>35.297539200000003</v>
      </c>
      <c r="O10" s="2">
        <v>39.219487999999998</v>
      </c>
    </row>
    <row r="11" spans="1:18" x14ac:dyDescent="0.45">
      <c r="A11" s="1">
        <v>409766</v>
      </c>
      <c r="B11" t="s">
        <v>178</v>
      </c>
      <c r="C11" t="s">
        <v>26</v>
      </c>
      <c r="D11">
        <v>50</v>
      </c>
      <c r="E11" t="s">
        <v>16</v>
      </c>
      <c r="F11" s="2">
        <v>16.579999999999998</v>
      </c>
      <c r="G11" s="2">
        <v>15.623822088202035</v>
      </c>
      <c r="H11" s="2">
        <v>31.217449999999992</v>
      </c>
      <c r="I11" s="2">
        <v>39.775813879999994</v>
      </c>
      <c r="J11" s="2">
        <v>40.294502599999994</v>
      </c>
      <c r="K11" s="2">
        <v>51.964998799999989</v>
      </c>
      <c r="L11" s="2">
        <v>55.656232510365612</v>
      </c>
      <c r="M11" s="2">
        <v>29.642765171503953</v>
      </c>
      <c r="N11" s="2">
        <v>38.112126649076515</v>
      </c>
      <c r="O11" s="2">
        <v>42.346807387862796</v>
      </c>
    </row>
    <row r="12" spans="1:18" x14ac:dyDescent="0.45">
      <c r="A12" s="1">
        <v>375350</v>
      </c>
      <c r="B12" t="s">
        <v>28</v>
      </c>
      <c r="C12" t="s">
        <v>27</v>
      </c>
      <c r="D12">
        <v>13</v>
      </c>
      <c r="E12" t="s">
        <v>15</v>
      </c>
      <c r="F12" s="2">
        <v>17.27</v>
      </c>
      <c r="G12" s="2">
        <v>16.274029400678479</v>
      </c>
      <c r="H12" s="2">
        <v>32.392174999999995</v>
      </c>
      <c r="I12" s="2">
        <v>41.306707219999993</v>
      </c>
      <c r="J12" s="2">
        <v>41.846981899999996</v>
      </c>
      <c r="K12" s="2">
        <v>54.003162199999991</v>
      </c>
      <c r="L12" s="2">
        <v>57.848011788541271</v>
      </c>
      <c r="M12" s="2">
        <v>30.876390501319264</v>
      </c>
      <c r="N12" s="2">
        <v>39.698216358839055</v>
      </c>
      <c r="O12" s="2">
        <v>44.109129287598947</v>
      </c>
    </row>
    <row r="13" spans="1:18" x14ac:dyDescent="0.45">
      <c r="A13" s="6">
        <v>438313</v>
      </c>
      <c r="B13" t="s">
        <v>249</v>
      </c>
      <c r="C13" t="s">
        <v>250</v>
      </c>
      <c r="E13" t="s">
        <v>6</v>
      </c>
      <c r="F13" s="2">
        <v>15.35</v>
      </c>
      <c r="G13" s="2">
        <v>14.47</v>
      </c>
      <c r="H13" s="2">
        <v>29.123374999999996</v>
      </c>
      <c r="I13" s="2">
        <v>37.046830099999994</v>
      </c>
      <c r="J13" s="2">
        <v>37.527039500000001</v>
      </c>
      <c r="K13" s="2">
        <v>48.331750999999997</v>
      </c>
      <c r="L13" s="2">
        <v>53.133844999999994</v>
      </c>
      <c r="M13" s="2">
        <v>27.453641599999997</v>
      </c>
      <c r="N13" s="2">
        <v>35.297539200000003</v>
      </c>
      <c r="O13" s="2">
        <v>39.219487999999998</v>
      </c>
    </row>
    <row r="14" spans="1:18" x14ac:dyDescent="0.45">
      <c r="A14" s="1">
        <v>374795</v>
      </c>
      <c r="B14" t="s">
        <v>30</v>
      </c>
      <c r="C14" t="s">
        <v>29</v>
      </c>
      <c r="D14">
        <v>71</v>
      </c>
      <c r="E14" t="s">
        <v>7</v>
      </c>
      <c r="F14" s="2">
        <v>15.55</v>
      </c>
      <c r="G14" s="2">
        <v>14.653222766679233</v>
      </c>
      <c r="H14" s="2">
        <v>29.530740000000002</v>
      </c>
      <c r="I14" s="2">
        <v>37.498933200000003</v>
      </c>
      <c r="J14" s="2">
        <v>37.981854000000006</v>
      </c>
      <c r="K14" s="2">
        <v>48.847572</v>
      </c>
      <c r="L14" s="2">
        <v>52.284264312099516</v>
      </c>
      <c r="M14" s="2">
        <v>27.473034300791561</v>
      </c>
      <c r="N14" s="2">
        <v>35.322472672446295</v>
      </c>
      <c r="O14" s="2">
        <v>39.247191858273659</v>
      </c>
    </row>
    <row r="15" spans="1:18" x14ac:dyDescent="0.45">
      <c r="A15" s="1">
        <v>374953</v>
      </c>
      <c r="B15" t="s">
        <v>31</v>
      </c>
      <c r="C15" t="s">
        <v>29</v>
      </c>
      <c r="D15">
        <v>307</v>
      </c>
      <c r="E15" t="s">
        <v>13</v>
      </c>
      <c r="F15" s="2">
        <v>16.63</v>
      </c>
      <c r="G15" s="2">
        <v>15.670938560120618</v>
      </c>
      <c r="H15" s="2">
        <v>30.424510999999995</v>
      </c>
      <c r="I15" s="2">
        <v>38.668434379999994</v>
      </c>
      <c r="J15" s="2">
        <v>39.168066099999997</v>
      </c>
      <c r="K15" s="2">
        <v>50.409779799999995</v>
      </c>
      <c r="L15" s="2">
        <v>53.965394905013184</v>
      </c>
      <c r="M15" s="2">
        <v>28.297327176781</v>
      </c>
      <c r="N15" s="2">
        <v>36.382277798718434</v>
      </c>
      <c r="O15" s="2">
        <v>40.424753109687146</v>
      </c>
    </row>
    <row r="16" spans="1:18" x14ac:dyDescent="0.45">
      <c r="A16" s="1">
        <v>367459</v>
      </c>
      <c r="B16" t="s">
        <v>32</v>
      </c>
      <c r="C16" t="s">
        <v>29</v>
      </c>
      <c r="D16">
        <v>88</v>
      </c>
      <c r="E16" t="s">
        <v>10</v>
      </c>
      <c r="F16" s="2">
        <v>15.75</v>
      </c>
      <c r="G16" s="2">
        <v>14.841688654353563</v>
      </c>
      <c r="H16" s="2">
        <v>29.872100000000003</v>
      </c>
      <c r="I16" s="2">
        <v>37.942778000000004</v>
      </c>
      <c r="J16" s="2">
        <v>38.431910000000002</v>
      </c>
      <c r="K16" s="2">
        <v>49.437380000000005</v>
      </c>
      <c r="L16" s="2">
        <v>52.918274142480215</v>
      </c>
      <c r="M16" s="2">
        <v>27.826385224274407</v>
      </c>
      <c r="N16" s="2">
        <v>35.776781002638522</v>
      </c>
      <c r="O16" s="2">
        <v>39.751978891820585</v>
      </c>
    </row>
    <row r="17" spans="1:15" x14ac:dyDescent="0.45">
      <c r="A17" s="1">
        <v>385246</v>
      </c>
      <c r="B17" t="s">
        <v>33</v>
      </c>
      <c r="C17" t="s">
        <v>29</v>
      </c>
      <c r="D17">
        <v>23</v>
      </c>
      <c r="E17" t="s">
        <v>6</v>
      </c>
      <c r="F17" s="2">
        <v>15.35</v>
      </c>
      <c r="G17" s="2">
        <v>14.47</v>
      </c>
      <c r="H17" s="2">
        <v>29.123374999999996</v>
      </c>
      <c r="I17" s="2">
        <v>37.046830099999994</v>
      </c>
      <c r="J17" s="2">
        <v>37.527039500000001</v>
      </c>
      <c r="K17" s="2">
        <v>48.331750999999997</v>
      </c>
      <c r="L17" s="2">
        <v>53.133844999999994</v>
      </c>
      <c r="M17" s="2">
        <v>27.453641599999997</v>
      </c>
      <c r="N17" s="2">
        <v>35.297539200000003</v>
      </c>
      <c r="O17" s="2">
        <v>39.219487999999998</v>
      </c>
    </row>
    <row r="18" spans="1:15" x14ac:dyDescent="0.45">
      <c r="A18" s="1" t="s">
        <v>246</v>
      </c>
      <c r="B18" t="s">
        <v>245</v>
      </c>
      <c r="C18" t="s">
        <v>29</v>
      </c>
      <c r="E18" t="s">
        <v>6</v>
      </c>
      <c r="F18" s="2">
        <v>15.35</v>
      </c>
      <c r="G18" s="2">
        <v>14.47</v>
      </c>
      <c r="H18" s="2">
        <v>29.123374999999996</v>
      </c>
      <c r="I18" s="2">
        <v>37.046830099999994</v>
      </c>
      <c r="J18" s="2">
        <v>37.527039500000001</v>
      </c>
      <c r="K18" s="2">
        <v>48.331750999999997</v>
      </c>
      <c r="L18" s="2">
        <v>53.133844999999994</v>
      </c>
      <c r="M18" s="2">
        <v>27.453641599999997</v>
      </c>
      <c r="N18" s="2">
        <v>35.297539200000003</v>
      </c>
      <c r="O18" s="2">
        <v>39.219487999999998</v>
      </c>
    </row>
    <row r="19" spans="1:15" x14ac:dyDescent="0.45">
      <c r="A19" s="6">
        <v>438239</v>
      </c>
      <c r="B19" t="s">
        <v>225</v>
      </c>
      <c r="C19" t="s">
        <v>226</v>
      </c>
      <c r="E19" t="s">
        <v>6</v>
      </c>
      <c r="F19" s="2">
        <v>15.35</v>
      </c>
      <c r="G19" s="2">
        <v>14.47</v>
      </c>
      <c r="H19" s="2">
        <v>29.123374999999996</v>
      </c>
      <c r="I19" s="2">
        <v>37.046830099999994</v>
      </c>
      <c r="J19" s="2">
        <v>37.527039500000001</v>
      </c>
      <c r="K19" s="2">
        <v>48.331750999999997</v>
      </c>
      <c r="L19" s="2">
        <v>53.133844999999994</v>
      </c>
      <c r="M19" s="2">
        <v>27.453641599999997</v>
      </c>
      <c r="N19" s="2">
        <v>35.297539200000003</v>
      </c>
      <c r="O19" s="2">
        <v>39.219487999999998</v>
      </c>
    </row>
    <row r="20" spans="1:15" x14ac:dyDescent="0.45">
      <c r="A20" s="6">
        <v>438076</v>
      </c>
      <c r="B20" t="s">
        <v>218</v>
      </c>
      <c r="C20" t="s">
        <v>219</v>
      </c>
      <c r="E20" t="s">
        <v>6</v>
      </c>
      <c r="F20" s="2">
        <v>15.35</v>
      </c>
      <c r="G20" s="2">
        <v>14.47</v>
      </c>
      <c r="H20" s="2">
        <v>29.123374999999996</v>
      </c>
      <c r="I20" s="2">
        <v>37.046830099999994</v>
      </c>
      <c r="J20" s="2">
        <v>37.527039500000001</v>
      </c>
      <c r="K20" s="2">
        <v>48.331750999999997</v>
      </c>
      <c r="L20" s="2">
        <v>53.133844999999994</v>
      </c>
      <c r="M20" s="2">
        <v>27.453641599999997</v>
      </c>
      <c r="N20" s="2">
        <v>35.297539200000003</v>
      </c>
      <c r="O20" s="2">
        <v>39.219487999999998</v>
      </c>
    </row>
    <row r="21" spans="1:15" x14ac:dyDescent="0.45">
      <c r="A21" s="1">
        <v>410631</v>
      </c>
      <c r="B21" t="s">
        <v>35</v>
      </c>
      <c r="C21" t="s">
        <v>34</v>
      </c>
      <c r="D21">
        <v>47</v>
      </c>
      <c r="E21" t="s">
        <v>16</v>
      </c>
      <c r="F21" s="2">
        <v>16.579999999999998</v>
      </c>
      <c r="G21" s="2">
        <v>15.623822088201999</v>
      </c>
      <c r="H21" s="2">
        <v>31.217449999999992</v>
      </c>
      <c r="I21" s="2">
        <v>39.775813879999994</v>
      </c>
      <c r="J21" s="2">
        <v>40.294502599999994</v>
      </c>
      <c r="K21" s="2">
        <v>51.964998799999989</v>
      </c>
      <c r="L21" s="2">
        <v>55.656232510365612</v>
      </c>
      <c r="M21" s="2">
        <v>29.642765171503953</v>
      </c>
      <c r="N21" s="2">
        <v>38.112126649076515</v>
      </c>
      <c r="O21" s="2">
        <v>42.346807387862796</v>
      </c>
    </row>
    <row r="22" spans="1:15" x14ac:dyDescent="0.45">
      <c r="A22" s="1">
        <v>401068</v>
      </c>
      <c r="B22" t="s">
        <v>37</v>
      </c>
      <c r="C22" t="s">
        <v>36</v>
      </c>
      <c r="D22">
        <v>55</v>
      </c>
      <c r="E22" t="s">
        <v>7</v>
      </c>
      <c r="F22" s="2">
        <v>15.55</v>
      </c>
      <c r="G22" s="2">
        <v>14.653222766679233</v>
      </c>
      <c r="H22" s="2">
        <v>29.530740000000002</v>
      </c>
      <c r="I22" s="2">
        <v>37.498933200000003</v>
      </c>
      <c r="J22" s="2">
        <v>37.981854000000006</v>
      </c>
      <c r="K22" s="2">
        <v>48.847572</v>
      </c>
      <c r="L22" s="2">
        <v>52.284264312099516</v>
      </c>
      <c r="M22" s="2">
        <v>27.473034300791561</v>
      </c>
      <c r="N22" s="2">
        <v>35.322472672446295</v>
      </c>
      <c r="O22" s="2">
        <v>39.247191858273659</v>
      </c>
    </row>
    <row r="23" spans="1:15" x14ac:dyDescent="0.45">
      <c r="A23" s="6">
        <v>399664</v>
      </c>
      <c r="B23" t="s">
        <v>192</v>
      </c>
      <c r="C23" t="s">
        <v>38</v>
      </c>
      <c r="E23" t="s">
        <v>6</v>
      </c>
      <c r="F23" s="2">
        <v>15.35</v>
      </c>
      <c r="G23" s="2">
        <v>14.47</v>
      </c>
      <c r="H23" s="2">
        <v>29.123374999999996</v>
      </c>
      <c r="I23" s="2">
        <v>37.046830099999994</v>
      </c>
      <c r="J23" s="2">
        <v>37.527039500000001</v>
      </c>
      <c r="K23" s="2">
        <v>48.331750999999997</v>
      </c>
      <c r="L23" s="2">
        <v>53.133844999999994</v>
      </c>
      <c r="M23" s="2">
        <v>27.453641599999997</v>
      </c>
      <c r="N23" s="2">
        <v>35.297539200000003</v>
      </c>
      <c r="O23" s="2">
        <v>39.219487999999998</v>
      </c>
    </row>
    <row r="24" spans="1:15" x14ac:dyDescent="0.45">
      <c r="A24" s="1">
        <v>374549</v>
      </c>
      <c r="B24" t="s">
        <v>39</v>
      </c>
      <c r="C24" t="s">
        <v>38</v>
      </c>
      <c r="D24">
        <v>159</v>
      </c>
      <c r="E24" t="s">
        <v>8</v>
      </c>
      <c r="F24" s="2">
        <v>15.95</v>
      </c>
      <c r="G24" s="2">
        <v>15.030154542027894</v>
      </c>
      <c r="H24" s="2">
        <v>30.213459999999998</v>
      </c>
      <c r="I24" s="2">
        <v>38.386622799999998</v>
      </c>
      <c r="J24" s="2">
        <v>38.881965999999998</v>
      </c>
      <c r="K24" s="2">
        <v>50.027187999999995</v>
      </c>
      <c r="L24" s="2">
        <v>54.980619999999995</v>
      </c>
      <c r="M24" s="2">
        <v>28.179736147757254</v>
      </c>
      <c r="N24" s="2">
        <v>36.231089332830763</v>
      </c>
      <c r="O24" s="2">
        <v>40.25676592536751</v>
      </c>
    </row>
    <row r="25" spans="1:15" x14ac:dyDescent="0.45">
      <c r="A25" s="1">
        <v>374526</v>
      </c>
      <c r="B25" t="s">
        <v>41</v>
      </c>
      <c r="C25" t="s">
        <v>40</v>
      </c>
      <c r="D25">
        <v>216</v>
      </c>
      <c r="E25" t="s">
        <v>13</v>
      </c>
      <c r="F25" s="2">
        <v>16.63</v>
      </c>
      <c r="G25" s="2">
        <v>15.670938560120618</v>
      </c>
      <c r="H25" s="2">
        <v>30.424510999999995</v>
      </c>
      <c r="I25" s="2">
        <v>38.668434379999994</v>
      </c>
      <c r="J25" s="2">
        <v>39.168066099999997</v>
      </c>
      <c r="K25" s="2">
        <v>50.409779799999995</v>
      </c>
      <c r="L25" s="2">
        <v>53.965394905013184</v>
      </c>
      <c r="M25" s="2">
        <v>28.297327176781</v>
      </c>
      <c r="N25" s="2">
        <v>36.382277798718434</v>
      </c>
      <c r="O25" s="2">
        <v>40.424753109687146</v>
      </c>
    </row>
    <row r="26" spans="1:15" x14ac:dyDescent="0.45">
      <c r="A26" s="1">
        <v>408119</v>
      </c>
      <c r="B26" t="s">
        <v>43</v>
      </c>
      <c r="C26" t="s">
        <v>42</v>
      </c>
      <c r="D26">
        <v>26</v>
      </c>
      <c r="E26" t="s">
        <v>12</v>
      </c>
      <c r="F26" s="2">
        <v>16.34</v>
      </c>
      <c r="G26" s="2">
        <v>15.397663022992839</v>
      </c>
      <c r="H26" s="2">
        <v>30.80885</v>
      </c>
      <c r="I26" s="2">
        <v>39.243329240000001</v>
      </c>
      <c r="J26" s="2">
        <v>39.754509800000001</v>
      </c>
      <c r="K26" s="2">
        <v>51.256072400000001</v>
      </c>
      <c r="L26" s="2">
        <v>54.893874500565403</v>
      </c>
      <c r="M26" s="2">
        <v>29.213678100263852</v>
      </c>
      <c r="N26" s="2">
        <v>37.560443271767809</v>
      </c>
      <c r="O26" s="2">
        <v>41.73382585751979</v>
      </c>
    </row>
    <row r="27" spans="1:15" x14ac:dyDescent="0.45">
      <c r="A27" s="6">
        <v>429524</v>
      </c>
      <c r="B27" t="s">
        <v>206</v>
      </c>
      <c r="C27" t="s">
        <v>196</v>
      </c>
      <c r="E27" t="s">
        <v>6</v>
      </c>
      <c r="F27" s="2">
        <v>15.35</v>
      </c>
      <c r="G27" s="2">
        <v>14.47</v>
      </c>
      <c r="H27" s="2">
        <v>29.123374999999996</v>
      </c>
      <c r="I27" s="2">
        <v>37.046830099999994</v>
      </c>
      <c r="J27" s="2">
        <v>37.527039500000001</v>
      </c>
      <c r="K27" s="2">
        <v>48.331750999999997</v>
      </c>
      <c r="L27" s="2">
        <v>53.133844999999994</v>
      </c>
      <c r="M27" s="2">
        <v>27.453641599999997</v>
      </c>
      <c r="N27" s="2">
        <v>35.297539200000003</v>
      </c>
      <c r="O27" s="2">
        <v>39.219487999999998</v>
      </c>
    </row>
    <row r="28" spans="1:15" x14ac:dyDescent="0.45">
      <c r="A28" s="6">
        <v>333051</v>
      </c>
      <c r="B28" t="s">
        <v>195</v>
      </c>
      <c r="C28" t="s">
        <v>196</v>
      </c>
      <c r="E28" t="s">
        <v>6</v>
      </c>
      <c r="F28" s="2">
        <v>15.35</v>
      </c>
      <c r="G28" s="2">
        <v>14.47</v>
      </c>
      <c r="H28" s="2">
        <v>29.123374999999996</v>
      </c>
      <c r="I28" s="2">
        <v>37.046830099999994</v>
      </c>
      <c r="J28" s="2">
        <v>37.527039500000001</v>
      </c>
      <c r="K28" s="2">
        <v>48.331750999999997</v>
      </c>
      <c r="L28" s="2">
        <v>53.133844999999994</v>
      </c>
      <c r="M28" s="2">
        <v>27.453641599999997</v>
      </c>
      <c r="N28" s="2">
        <v>35.297539200000003</v>
      </c>
      <c r="O28" s="2">
        <v>39.219487999999998</v>
      </c>
    </row>
    <row r="29" spans="1:15" x14ac:dyDescent="0.45">
      <c r="A29" s="1">
        <v>429618</v>
      </c>
      <c r="B29" t="s">
        <v>179</v>
      </c>
      <c r="C29" t="s">
        <v>44</v>
      </c>
      <c r="D29">
        <v>14</v>
      </c>
      <c r="E29" t="s">
        <v>19</v>
      </c>
      <c r="F29" s="2">
        <v>15.98</v>
      </c>
      <c r="G29" s="2">
        <v>15.058424425179044</v>
      </c>
      <c r="H29" s="2">
        <v>30.195949999999996</v>
      </c>
      <c r="I29" s="2">
        <v>38.444602279999998</v>
      </c>
      <c r="J29" s="2">
        <v>38.944520599999997</v>
      </c>
      <c r="K29" s="2">
        <v>50.1926828</v>
      </c>
      <c r="L29" s="2">
        <v>53.75033748586506</v>
      </c>
      <c r="M29" s="2">
        <v>28.570047493403695</v>
      </c>
      <c r="N29" s="2">
        <v>36.732918205804751</v>
      </c>
      <c r="O29" s="2">
        <v>40.81435356200528</v>
      </c>
    </row>
    <row r="30" spans="1:15" x14ac:dyDescent="0.45">
      <c r="A30" s="6">
        <v>438671</v>
      </c>
      <c r="B30" t="s">
        <v>255</v>
      </c>
      <c r="C30" t="s">
        <v>44</v>
      </c>
      <c r="E30" t="s">
        <v>6</v>
      </c>
      <c r="F30" s="2">
        <v>15.35</v>
      </c>
      <c r="G30" s="2">
        <v>14.47</v>
      </c>
      <c r="H30" s="2">
        <v>29.123374999999996</v>
      </c>
      <c r="I30" s="2">
        <v>37.046830099999994</v>
      </c>
      <c r="J30" s="2">
        <v>37.527039500000001</v>
      </c>
      <c r="K30" s="2">
        <v>48.331750999999997</v>
      </c>
      <c r="L30" s="2">
        <v>53.133844999999994</v>
      </c>
      <c r="M30" s="2">
        <v>27.453641599999997</v>
      </c>
      <c r="N30" s="2">
        <v>35.297539200000003</v>
      </c>
      <c r="O30" s="2">
        <v>39.219487999999998</v>
      </c>
    </row>
    <row r="31" spans="1:15" x14ac:dyDescent="0.45">
      <c r="A31" s="1">
        <v>420508</v>
      </c>
      <c r="B31" t="s">
        <v>45</v>
      </c>
      <c r="C31" t="s">
        <v>44</v>
      </c>
      <c r="D31">
        <v>13</v>
      </c>
      <c r="E31" t="s">
        <v>12</v>
      </c>
      <c r="F31" s="2">
        <v>16.34</v>
      </c>
      <c r="G31" s="2">
        <v>15.397663022992839</v>
      </c>
      <c r="H31" s="2">
        <v>30.80885</v>
      </c>
      <c r="I31" s="2">
        <v>39.243329240000001</v>
      </c>
      <c r="J31" s="2">
        <v>39.754509800000001</v>
      </c>
      <c r="K31" s="2">
        <v>51.256072400000001</v>
      </c>
      <c r="L31" s="2">
        <v>54.893874500565403</v>
      </c>
      <c r="M31" s="2">
        <v>29.213678100263852</v>
      </c>
      <c r="N31" s="2">
        <v>37.560443271767809</v>
      </c>
      <c r="O31" s="2">
        <v>41.73382585751979</v>
      </c>
    </row>
    <row r="32" spans="1:15" x14ac:dyDescent="0.45">
      <c r="A32" s="6">
        <v>408973</v>
      </c>
      <c r="B32" t="s">
        <v>190</v>
      </c>
      <c r="C32" t="s">
        <v>44</v>
      </c>
      <c r="E32" t="s">
        <v>6</v>
      </c>
      <c r="F32" s="2">
        <v>15.35</v>
      </c>
      <c r="G32" s="2">
        <v>14.47</v>
      </c>
      <c r="H32" s="2">
        <v>29.123374999999996</v>
      </c>
      <c r="I32" s="2">
        <v>37.046830099999994</v>
      </c>
      <c r="J32" s="2">
        <v>37.527039500000001</v>
      </c>
      <c r="K32" s="2">
        <v>48.331750999999997</v>
      </c>
      <c r="L32" s="2">
        <v>53.133844999999994</v>
      </c>
      <c r="M32" s="2">
        <v>27.453641599999997</v>
      </c>
      <c r="N32" s="2">
        <v>35.297539200000003</v>
      </c>
      <c r="O32" s="2">
        <v>39.219487999999998</v>
      </c>
    </row>
    <row r="33" spans="1:15" x14ac:dyDescent="0.45">
      <c r="A33" s="1">
        <v>421890</v>
      </c>
      <c r="B33" t="s">
        <v>47</v>
      </c>
      <c r="C33" t="s">
        <v>46</v>
      </c>
      <c r="D33">
        <v>25</v>
      </c>
      <c r="E33" t="s">
        <v>6</v>
      </c>
      <c r="F33" s="2">
        <v>15.35</v>
      </c>
      <c r="G33" s="2">
        <v>14.47</v>
      </c>
      <c r="H33" s="2">
        <v>29.123374999999996</v>
      </c>
      <c r="I33" s="2">
        <v>37.046830099999994</v>
      </c>
      <c r="J33" s="2">
        <v>37.527039500000001</v>
      </c>
      <c r="K33" s="2">
        <v>48.331750999999997</v>
      </c>
      <c r="L33" s="2">
        <v>53.133844999999994</v>
      </c>
      <c r="M33" s="2">
        <v>27.453641599999997</v>
      </c>
      <c r="N33" s="2">
        <v>35.297539200000003</v>
      </c>
      <c r="O33" s="2">
        <v>39.219487999999998</v>
      </c>
    </row>
    <row r="34" spans="1:15" x14ac:dyDescent="0.45">
      <c r="A34" s="1">
        <v>429728</v>
      </c>
      <c r="B34" t="s">
        <v>25</v>
      </c>
      <c r="C34" t="s">
        <v>46</v>
      </c>
      <c r="D34">
        <v>3</v>
      </c>
      <c r="E34" t="s">
        <v>6</v>
      </c>
      <c r="F34" s="2">
        <v>15.35</v>
      </c>
      <c r="G34" s="2">
        <v>14.47</v>
      </c>
      <c r="H34" s="2">
        <v>29.123374999999996</v>
      </c>
      <c r="I34" s="2">
        <v>37.046830099999994</v>
      </c>
      <c r="J34" s="2">
        <v>37.527039500000001</v>
      </c>
      <c r="K34" s="2">
        <v>48.331750999999997</v>
      </c>
      <c r="L34" s="2">
        <v>53.133844999999994</v>
      </c>
      <c r="M34" s="2">
        <v>27.453641599999997</v>
      </c>
      <c r="N34" s="2">
        <v>35.297539200000003</v>
      </c>
      <c r="O34" s="2">
        <v>39.219487999999998</v>
      </c>
    </row>
    <row r="35" spans="1:15" x14ac:dyDescent="0.45">
      <c r="A35" s="1">
        <v>374814</v>
      </c>
      <c r="B35" t="s">
        <v>49</v>
      </c>
      <c r="C35" t="s">
        <v>48</v>
      </c>
      <c r="D35">
        <v>267</v>
      </c>
      <c r="E35" t="s">
        <v>15</v>
      </c>
      <c r="F35" s="2">
        <v>17.27</v>
      </c>
      <c r="G35" s="2">
        <v>16.274029400678501</v>
      </c>
      <c r="H35" s="2">
        <v>31.480319000000001</v>
      </c>
      <c r="I35" s="2">
        <v>40.041507020000005</v>
      </c>
      <c r="J35" s="2">
        <v>40.560366900000005</v>
      </c>
      <c r="K35" s="2">
        <v>52.234714199999999</v>
      </c>
      <c r="L35" s="2">
        <v>55.927165965699217</v>
      </c>
      <c r="M35" s="2">
        <v>29.386340369393142</v>
      </c>
      <c r="N35" s="2">
        <v>37.782437617791189</v>
      </c>
      <c r="O35" s="2">
        <v>41.980486241990207</v>
      </c>
    </row>
    <row r="36" spans="1:15" x14ac:dyDescent="0.45">
      <c r="A36" s="1">
        <v>422226</v>
      </c>
      <c r="B36" t="s">
        <v>51</v>
      </c>
      <c r="C36" t="s">
        <v>50</v>
      </c>
      <c r="D36">
        <v>26</v>
      </c>
      <c r="E36" t="s">
        <v>6</v>
      </c>
      <c r="F36" s="2">
        <v>15.35</v>
      </c>
      <c r="G36" s="2">
        <v>14.47</v>
      </c>
      <c r="H36" s="2">
        <v>29.123374999999996</v>
      </c>
      <c r="I36" s="2">
        <v>37.046830099999994</v>
      </c>
      <c r="J36" s="2">
        <v>37.527039500000001</v>
      </c>
      <c r="K36" s="2">
        <v>48.331750999999997</v>
      </c>
      <c r="L36" s="2">
        <v>53.133844999999994</v>
      </c>
      <c r="M36" s="2">
        <v>27.453641599999997</v>
      </c>
      <c r="N36" s="2">
        <v>35.297539200000003</v>
      </c>
      <c r="O36" s="2">
        <v>39.219487999999998</v>
      </c>
    </row>
    <row r="37" spans="1:15" x14ac:dyDescent="0.45">
      <c r="A37" s="1">
        <v>434089</v>
      </c>
      <c r="B37" t="s">
        <v>52</v>
      </c>
      <c r="C37" t="s">
        <v>50</v>
      </c>
      <c r="D37">
        <v>4</v>
      </c>
      <c r="E37" t="s">
        <v>6</v>
      </c>
      <c r="F37" s="2">
        <v>15.35</v>
      </c>
      <c r="G37" s="2">
        <v>14.47</v>
      </c>
      <c r="H37" s="2">
        <v>29.123374999999996</v>
      </c>
      <c r="I37" s="2">
        <v>37.046830099999994</v>
      </c>
      <c r="J37" s="2">
        <v>37.527039500000001</v>
      </c>
      <c r="K37" s="2">
        <v>48.331750999999997</v>
      </c>
      <c r="L37" s="2">
        <v>53.133844999999994</v>
      </c>
      <c r="M37" s="2">
        <v>27.453641599999997</v>
      </c>
      <c r="N37" s="2">
        <v>35.297539200000003</v>
      </c>
      <c r="O37" s="2">
        <v>39.219487999999998</v>
      </c>
    </row>
    <row r="38" spans="1:15" x14ac:dyDescent="0.45">
      <c r="A38" s="1">
        <v>374801</v>
      </c>
      <c r="B38" t="s">
        <v>54</v>
      </c>
      <c r="C38" t="s">
        <v>53</v>
      </c>
      <c r="D38">
        <v>187</v>
      </c>
      <c r="E38" t="s">
        <v>11</v>
      </c>
      <c r="F38" s="2">
        <v>17.03</v>
      </c>
      <c r="G38" s="2">
        <v>16.047870335469284</v>
      </c>
      <c r="H38" s="2">
        <v>32.056804000000007</v>
      </c>
      <c r="I38" s="2">
        <v>40.783384720000008</v>
      </c>
      <c r="J38" s="2">
        <v>41.312268400000008</v>
      </c>
      <c r="K38" s="2">
        <v>53.212151200000008</v>
      </c>
      <c r="L38" s="2">
        <v>56.975937056916706</v>
      </c>
      <c r="M38" s="2">
        <v>30.087831134564649</v>
      </c>
      <c r="N38" s="2">
        <v>38.684354315868838</v>
      </c>
      <c r="O38" s="2">
        <v>42.982615906520927</v>
      </c>
    </row>
    <row r="39" spans="1:15" x14ac:dyDescent="0.45">
      <c r="A39" s="1">
        <v>351945</v>
      </c>
      <c r="B39" t="s">
        <v>55</v>
      </c>
      <c r="C39" t="s">
        <v>53</v>
      </c>
      <c r="D39">
        <v>95</v>
      </c>
      <c r="E39" t="s">
        <v>9</v>
      </c>
      <c r="F39" s="2">
        <v>16.41</v>
      </c>
      <c r="G39" s="2">
        <v>15.463626083678855</v>
      </c>
      <c r="H39" s="2">
        <v>30.998588000000005</v>
      </c>
      <c r="I39" s="2">
        <v>39.407465840000008</v>
      </c>
      <c r="J39" s="2">
        <v>39.917094800000008</v>
      </c>
      <c r="K39" s="2">
        <v>51.383746400000007</v>
      </c>
      <c r="L39" s="2">
        <v>55.010506582736532</v>
      </c>
      <c r="M39" s="2">
        <v>28.992443271767812</v>
      </c>
      <c r="N39" s="2">
        <v>37.275998492272898</v>
      </c>
      <c r="O39" s="2">
        <v>41.417776102525444</v>
      </c>
    </row>
    <row r="40" spans="1:15" x14ac:dyDescent="0.45">
      <c r="A40" s="1">
        <v>429551</v>
      </c>
      <c r="B40" t="s">
        <v>57</v>
      </c>
      <c r="C40" t="s">
        <v>56</v>
      </c>
      <c r="D40">
        <v>5</v>
      </c>
      <c r="E40" t="s">
        <v>6</v>
      </c>
      <c r="F40" s="2">
        <v>15.35</v>
      </c>
      <c r="G40" s="2">
        <v>14.47</v>
      </c>
      <c r="H40" s="2">
        <v>29.123374999999996</v>
      </c>
      <c r="I40" s="2">
        <v>37.046830099999994</v>
      </c>
      <c r="J40" s="2">
        <v>37.527039500000001</v>
      </c>
      <c r="K40" s="2">
        <v>48.331750999999997</v>
      </c>
      <c r="L40" s="2">
        <v>53.133844999999994</v>
      </c>
      <c r="M40" s="2">
        <v>27.453641599999997</v>
      </c>
      <c r="N40" s="2">
        <v>35.297539200000003</v>
      </c>
      <c r="O40" s="2">
        <v>39.219487999999998</v>
      </c>
    </row>
    <row r="41" spans="1:15" x14ac:dyDescent="0.45">
      <c r="A41" s="1">
        <v>415203</v>
      </c>
      <c r="B41" t="s">
        <v>59</v>
      </c>
      <c r="C41" t="s">
        <v>58</v>
      </c>
      <c r="D41">
        <v>31</v>
      </c>
      <c r="E41" t="s">
        <v>19</v>
      </c>
      <c r="F41" s="2">
        <v>15.98</v>
      </c>
      <c r="G41" s="2">
        <v>15.058424425179044</v>
      </c>
      <c r="H41" s="2">
        <v>30.195949999999996</v>
      </c>
      <c r="I41" s="2">
        <v>38.444602279999998</v>
      </c>
      <c r="J41" s="2">
        <v>38.944520599999997</v>
      </c>
      <c r="K41" s="2">
        <v>50.1926828</v>
      </c>
      <c r="L41" s="2">
        <v>53.75033748586506</v>
      </c>
      <c r="M41" s="2">
        <v>28.570047493403695</v>
      </c>
      <c r="N41" s="2">
        <v>36.732918205804751</v>
      </c>
      <c r="O41" s="2">
        <v>40.81435356200528</v>
      </c>
    </row>
    <row r="42" spans="1:15" x14ac:dyDescent="0.45">
      <c r="A42" s="1">
        <v>415979</v>
      </c>
      <c r="B42" t="s">
        <v>61</v>
      </c>
      <c r="C42" t="s">
        <v>60</v>
      </c>
      <c r="D42">
        <v>29</v>
      </c>
      <c r="E42" t="s">
        <v>16</v>
      </c>
      <c r="F42" s="2">
        <v>16.579999999999998</v>
      </c>
      <c r="G42" s="2">
        <v>15.623822088202035</v>
      </c>
      <c r="H42" s="2">
        <v>31.217449999999992</v>
      </c>
      <c r="I42" s="2">
        <v>39.775813879999994</v>
      </c>
      <c r="J42" s="2">
        <v>40.294502599999994</v>
      </c>
      <c r="K42" s="2">
        <v>51.964998799999989</v>
      </c>
      <c r="L42" s="2">
        <v>55.656232510365612</v>
      </c>
      <c r="M42" s="2">
        <v>29.642765171503953</v>
      </c>
      <c r="N42" s="2">
        <v>38.112126649076515</v>
      </c>
      <c r="O42" s="2">
        <v>42.346807387862796</v>
      </c>
    </row>
    <row r="43" spans="1:15" x14ac:dyDescent="0.45">
      <c r="A43" s="1"/>
      <c r="B43" t="s">
        <v>200</v>
      </c>
      <c r="C43" t="s">
        <v>201</v>
      </c>
      <c r="E43" t="s">
        <v>6</v>
      </c>
      <c r="F43" s="2">
        <v>15.35</v>
      </c>
      <c r="G43" s="2">
        <v>14.47</v>
      </c>
      <c r="H43" s="2">
        <v>29.123374999999996</v>
      </c>
      <c r="I43" s="2">
        <v>37.046830099999994</v>
      </c>
      <c r="J43" s="2">
        <v>37.527039500000001</v>
      </c>
      <c r="K43" s="2">
        <v>48.331750999999997</v>
      </c>
      <c r="L43" s="2">
        <v>53.133844999999994</v>
      </c>
      <c r="M43" s="2">
        <v>27.453641599999997</v>
      </c>
      <c r="N43" s="2">
        <v>35.297539200000003</v>
      </c>
      <c r="O43" s="2">
        <v>39.219487999999998</v>
      </c>
    </row>
    <row r="44" spans="1:15" x14ac:dyDescent="0.45">
      <c r="A44" s="6">
        <v>425174</v>
      </c>
      <c r="B44" t="s">
        <v>229</v>
      </c>
      <c r="C44" t="s">
        <v>230</v>
      </c>
      <c r="E44" t="s">
        <v>6</v>
      </c>
      <c r="F44" s="2">
        <v>15.35</v>
      </c>
      <c r="G44" s="2">
        <v>14.47</v>
      </c>
      <c r="H44" s="2">
        <v>29.123374999999996</v>
      </c>
      <c r="I44" s="2">
        <v>37.046830099999994</v>
      </c>
      <c r="J44" s="2">
        <v>37.527039500000001</v>
      </c>
      <c r="K44" s="2">
        <v>48.331750999999997</v>
      </c>
      <c r="L44" s="2">
        <v>53.133844999999994</v>
      </c>
      <c r="M44" s="2">
        <v>27.453641599999997</v>
      </c>
      <c r="N44" s="2">
        <v>35.297539200000003</v>
      </c>
      <c r="O44" s="2">
        <v>39.219487999999998</v>
      </c>
    </row>
    <row r="45" spans="1:15" x14ac:dyDescent="0.45">
      <c r="A45" s="1">
        <v>349359</v>
      </c>
      <c r="B45" t="s">
        <v>63</v>
      </c>
      <c r="C45" t="s">
        <v>62</v>
      </c>
      <c r="D45">
        <v>98</v>
      </c>
      <c r="E45" t="s">
        <v>10</v>
      </c>
      <c r="F45" s="2">
        <v>15.75</v>
      </c>
      <c r="G45" s="2">
        <v>14.841688654353563</v>
      </c>
      <c r="H45" s="2">
        <v>29.872100000000003</v>
      </c>
      <c r="I45" s="2">
        <v>37.942778000000004</v>
      </c>
      <c r="J45" s="2">
        <v>38.431910000000002</v>
      </c>
      <c r="K45" s="2">
        <v>49.437380000000005</v>
      </c>
      <c r="L45" s="2">
        <v>52.918274142480215</v>
      </c>
      <c r="M45" s="2">
        <v>27.826385224274407</v>
      </c>
      <c r="N45" s="2">
        <v>35.776781002638522</v>
      </c>
      <c r="O45" s="2">
        <v>39.751978891820585</v>
      </c>
    </row>
    <row r="46" spans="1:15" x14ac:dyDescent="0.45">
      <c r="A46" s="1">
        <v>401907</v>
      </c>
      <c r="B46" t="s">
        <v>65</v>
      </c>
      <c r="C46" t="s">
        <v>64</v>
      </c>
      <c r="D46">
        <v>53</v>
      </c>
      <c r="E46" t="s">
        <v>7</v>
      </c>
      <c r="F46" s="2">
        <v>15.55</v>
      </c>
      <c r="G46" s="2">
        <v>14.653222766679233</v>
      </c>
      <c r="H46" s="2">
        <v>29.530740000000002</v>
      </c>
      <c r="I46" s="2">
        <v>37.498933200000003</v>
      </c>
      <c r="J46" s="2">
        <v>37.981854000000006</v>
      </c>
      <c r="K46" s="2">
        <v>48.847572</v>
      </c>
      <c r="L46" s="2">
        <v>52.284264312099516</v>
      </c>
      <c r="M46" s="2">
        <v>27.473034300791561</v>
      </c>
      <c r="N46" s="2">
        <v>35.322472672446295</v>
      </c>
      <c r="O46" s="2">
        <v>39.247191858273659</v>
      </c>
    </row>
    <row r="47" spans="1:15" x14ac:dyDescent="0.45">
      <c r="A47" s="6">
        <v>438775</v>
      </c>
      <c r="B47" t="s">
        <v>258</v>
      </c>
      <c r="C47" t="s">
        <v>259</v>
      </c>
      <c r="E47" t="s">
        <v>6</v>
      </c>
      <c r="F47" s="2">
        <v>15.35</v>
      </c>
      <c r="G47" s="2">
        <v>14.47</v>
      </c>
      <c r="H47" s="2">
        <v>29.123374999999996</v>
      </c>
      <c r="I47" s="2">
        <v>37.046830099999994</v>
      </c>
      <c r="J47" s="2">
        <v>37.527039500000001</v>
      </c>
      <c r="K47" s="2">
        <v>48.331750999999997</v>
      </c>
      <c r="L47" s="2">
        <v>53.133844999999994</v>
      </c>
      <c r="M47" s="2">
        <v>27.453641599999997</v>
      </c>
      <c r="N47" s="2">
        <v>35.297539200000003</v>
      </c>
      <c r="O47" s="2">
        <v>39.219487999999998</v>
      </c>
    </row>
    <row r="48" spans="1:15" x14ac:dyDescent="0.45">
      <c r="A48" s="6">
        <v>439469</v>
      </c>
      <c r="B48" t="s">
        <v>265</v>
      </c>
      <c r="C48" t="s">
        <v>266</v>
      </c>
      <c r="E48" t="s">
        <v>6</v>
      </c>
      <c r="F48" s="2">
        <v>15.35</v>
      </c>
      <c r="G48" s="2">
        <v>14.47</v>
      </c>
      <c r="H48" s="2">
        <v>29.123374999999996</v>
      </c>
      <c r="I48" s="2">
        <v>37.046830099999994</v>
      </c>
      <c r="J48" s="2">
        <v>37.527039500000001</v>
      </c>
      <c r="K48" s="2">
        <v>48.331750999999997</v>
      </c>
      <c r="L48" s="2">
        <v>53.133844999999994</v>
      </c>
      <c r="M48" s="2">
        <v>27.453641599999997</v>
      </c>
      <c r="N48" s="2">
        <v>35.297539200000003</v>
      </c>
      <c r="O48" s="2">
        <v>39.219487999999998</v>
      </c>
    </row>
    <row r="49" spans="1:15" x14ac:dyDescent="0.45">
      <c r="A49" s="6">
        <v>437659</v>
      </c>
      <c r="B49" t="s">
        <v>209</v>
      </c>
      <c r="C49" t="s">
        <v>210</v>
      </c>
      <c r="E49" t="s">
        <v>211</v>
      </c>
      <c r="F49" s="2">
        <v>18.489999999999998</v>
      </c>
      <c r="G49" s="2">
        <v>17.420000000000002</v>
      </c>
      <c r="H49" s="2">
        <v>33.49</v>
      </c>
      <c r="I49" s="2">
        <v>42.66</v>
      </c>
      <c r="J49" s="2">
        <v>43.21</v>
      </c>
      <c r="K49" s="2">
        <v>55.71</v>
      </c>
      <c r="L49" s="2">
        <v>61.27</v>
      </c>
      <c r="M49" s="2">
        <v>31.46</v>
      </c>
      <c r="N49" s="2">
        <v>40.44</v>
      </c>
      <c r="O49" s="2">
        <v>44.94</v>
      </c>
    </row>
    <row r="50" spans="1:15" x14ac:dyDescent="0.45">
      <c r="A50" s="1">
        <v>414948</v>
      </c>
      <c r="B50" t="s">
        <v>67</v>
      </c>
      <c r="C50" t="s">
        <v>66</v>
      </c>
      <c r="D50">
        <v>1</v>
      </c>
      <c r="E50" t="s">
        <v>12</v>
      </c>
      <c r="F50" s="2">
        <v>16.34</v>
      </c>
      <c r="G50" s="2">
        <v>15.397663022992839</v>
      </c>
      <c r="H50" s="2">
        <v>30.80885</v>
      </c>
      <c r="I50" s="2">
        <v>39.243329240000001</v>
      </c>
      <c r="J50" s="2">
        <v>39.754509800000001</v>
      </c>
      <c r="K50" s="2">
        <v>51.256072400000001</v>
      </c>
      <c r="L50" s="2">
        <v>54.893874500565403</v>
      </c>
      <c r="M50" s="2">
        <v>29.213678100263852</v>
      </c>
      <c r="N50" s="2">
        <v>37.560443271767809</v>
      </c>
      <c r="O50" s="2">
        <v>41.73382585751979</v>
      </c>
    </row>
    <row r="51" spans="1:15" x14ac:dyDescent="0.45">
      <c r="A51" s="1">
        <v>320454</v>
      </c>
      <c r="B51" t="s">
        <v>68</v>
      </c>
      <c r="C51" t="s">
        <v>66</v>
      </c>
      <c r="D51">
        <v>93</v>
      </c>
      <c r="E51" t="s">
        <v>9</v>
      </c>
      <c r="F51" s="2">
        <v>16.41</v>
      </c>
      <c r="G51" s="2">
        <v>15.463626083678855</v>
      </c>
      <c r="H51" s="2">
        <v>30.998588000000005</v>
      </c>
      <c r="I51" s="2">
        <v>39.407465840000008</v>
      </c>
      <c r="J51" s="2">
        <v>39.917094800000008</v>
      </c>
      <c r="K51" s="2">
        <v>51.383746400000007</v>
      </c>
      <c r="L51" s="2">
        <v>55.010506582736532</v>
      </c>
      <c r="M51" s="2">
        <v>28.992443271767812</v>
      </c>
      <c r="N51" s="2">
        <v>37.275998492272898</v>
      </c>
      <c r="O51" s="2">
        <v>41.417776102525444</v>
      </c>
    </row>
    <row r="52" spans="1:15" x14ac:dyDescent="0.45">
      <c r="A52" s="6">
        <v>435285</v>
      </c>
      <c r="B52" t="s">
        <v>191</v>
      </c>
      <c r="C52" t="s">
        <v>66</v>
      </c>
      <c r="E52" t="s">
        <v>6</v>
      </c>
      <c r="F52" s="2">
        <v>15.35</v>
      </c>
      <c r="G52" s="2">
        <v>14.47</v>
      </c>
      <c r="H52" s="2">
        <v>29.123374999999996</v>
      </c>
      <c r="I52" s="2">
        <v>37.046830099999994</v>
      </c>
      <c r="J52" s="2">
        <v>37.527039500000001</v>
      </c>
      <c r="K52" s="2">
        <v>48.331750999999997</v>
      </c>
      <c r="L52" s="2">
        <v>53.133844999999994</v>
      </c>
      <c r="M52" s="2">
        <v>27.453641599999997</v>
      </c>
      <c r="N52" s="2">
        <v>35.297539200000003</v>
      </c>
      <c r="O52" s="2">
        <v>39.219487999999998</v>
      </c>
    </row>
    <row r="53" spans="1:15" x14ac:dyDescent="0.45">
      <c r="A53" s="1">
        <v>429552</v>
      </c>
      <c r="B53" t="s">
        <v>57</v>
      </c>
      <c r="C53" t="s">
        <v>69</v>
      </c>
      <c r="D53">
        <v>5</v>
      </c>
      <c r="E53" t="s">
        <v>6</v>
      </c>
      <c r="F53" s="2">
        <v>15.35</v>
      </c>
      <c r="G53" s="2">
        <v>14.47</v>
      </c>
      <c r="H53" s="2">
        <v>29.123374999999996</v>
      </c>
      <c r="I53" s="2">
        <v>37.046830099999994</v>
      </c>
      <c r="J53" s="2">
        <v>37.527039500000001</v>
      </c>
      <c r="K53" s="2">
        <v>48.331750999999997</v>
      </c>
      <c r="L53" s="2">
        <v>53.133844999999994</v>
      </c>
      <c r="M53" s="2">
        <v>27.453641599999997</v>
      </c>
      <c r="N53" s="2">
        <v>35.297539200000003</v>
      </c>
      <c r="O53" s="2">
        <v>39.219487999999998</v>
      </c>
    </row>
    <row r="54" spans="1:15" x14ac:dyDescent="0.45">
      <c r="A54" s="1">
        <v>366075</v>
      </c>
      <c r="B54" t="s">
        <v>71</v>
      </c>
      <c r="C54" t="s">
        <v>70</v>
      </c>
      <c r="D54">
        <v>97</v>
      </c>
      <c r="E54" t="s">
        <v>10</v>
      </c>
      <c r="F54" s="2">
        <v>15.75</v>
      </c>
      <c r="G54" s="2">
        <v>14.841688654353563</v>
      </c>
      <c r="H54" s="2">
        <v>29.872100000000003</v>
      </c>
      <c r="I54" s="2">
        <v>37.942778000000004</v>
      </c>
      <c r="J54" s="2">
        <v>38.431910000000002</v>
      </c>
      <c r="K54" s="2">
        <v>49.437380000000005</v>
      </c>
      <c r="L54" s="2">
        <v>54.328699999999998</v>
      </c>
      <c r="M54" s="2">
        <v>27.826385224274407</v>
      </c>
      <c r="N54" s="2">
        <v>35.776781002638522</v>
      </c>
      <c r="O54" s="2">
        <v>39.751978891820585</v>
      </c>
    </row>
    <row r="55" spans="1:15" x14ac:dyDescent="0.45">
      <c r="A55" s="6">
        <v>327884</v>
      </c>
      <c r="B55" t="s">
        <v>227</v>
      </c>
      <c r="C55" t="s">
        <v>228</v>
      </c>
      <c r="E55" t="s">
        <v>6</v>
      </c>
      <c r="F55" s="2">
        <v>15.35</v>
      </c>
      <c r="G55" s="2">
        <v>14.47</v>
      </c>
      <c r="H55" s="2">
        <v>29.123374999999996</v>
      </c>
      <c r="I55" s="2">
        <v>37.046830099999994</v>
      </c>
      <c r="J55" s="2">
        <v>37.527039500000001</v>
      </c>
      <c r="K55" s="2">
        <v>48.331750999999997</v>
      </c>
      <c r="L55" s="2">
        <v>53.133844999999994</v>
      </c>
      <c r="M55" s="2">
        <v>27.453641599999997</v>
      </c>
      <c r="N55" s="2">
        <v>35.297539200000003</v>
      </c>
      <c r="O55" s="2">
        <v>39.219487999999998</v>
      </c>
    </row>
    <row r="56" spans="1:15" x14ac:dyDescent="0.45">
      <c r="A56" s="1" t="s">
        <v>262</v>
      </c>
      <c r="B56" t="s">
        <v>260</v>
      </c>
      <c r="C56" t="s">
        <v>261</v>
      </c>
      <c r="E56" t="s">
        <v>6</v>
      </c>
      <c r="F56" s="2">
        <v>15.35</v>
      </c>
      <c r="G56" s="2">
        <v>14.47</v>
      </c>
      <c r="H56" s="2">
        <v>29.123374999999996</v>
      </c>
      <c r="I56" s="2">
        <v>37.046830099999994</v>
      </c>
      <c r="J56" s="2">
        <v>37.527039500000001</v>
      </c>
      <c r="K56" s="2">
        <v>48.331750999999997</v>
      </c>
      <c r="L56" s="2">
        <v>53.133844999999994</v>
      </c>
      <c r="M56" s="2">
        <v>27.453641599999997</v>
      </c>
      <c r="N56" s="2">
        <v>35.297539200000003</v>
      </c>
      <c r="O56" s="2">
        <v>39.219487999999998</v>
      </c>
    </row>
    <row r="57" spans="1:15" x14ac:dyDescent="0.45">
      <c r="A57" s="6">
        <v>438472</v>
      </c>
      <c r="B57" t="s">
        <v>247</v>
      </c>
      <c r="C57" t="s">
        <v>248</v>
      </c>
      <c r="E57" t="s">
        <v>6</v>
      </c>
      <c r="F57" s="2">
        <v>15.35</v>
      </c>
      <c r="G57" s="2">
        <v>14.47</v>
      </c>
      <c r="H57" s="2">
        <v>29.123374999999996</v>
      </c>
      <c r="I57" s="2">
        <v>37.046830099999994</v>
      </c>
      <c r="J57" s="2">
        <v>37.527039500000001</v>
      </c>
      <c r="K57" s="2">
        <v>48.331750999999997</v>
      </c>
      <c r="L57" s="2">
        <v>53.133844999999994</v>
      </c>
      <c r="M57" s="2">
        <v>27.453641599999997</v>
      </c>
      <c r="N57" s="2">
        <v>35.297539200000003</v>
      </c>
      <c r="O57" s="2">
        <v>39.219487999999998</v>
      </c>
    </row>
    <row r="58" spans="1:15" x14ac:dyDescent="0.45">
      <c r="A58" s="1">
        <v>374877</v>
      </c>
      <c r="B58" t="s">
        <v>73</v>
      </c>
      <c r="C58" t="s">
        <v>72</v>
      </c>
      <c r="D58">
        <v>155</v>
      </c>
      <c r="E58" t="s">
        <v>8</v>
      </c>
      <c r="F58" s="2">
        <v>15.95</v>
      </c>
      <c r="G58" s="2">
        <v>15.030154542027894</v>
      </c>
      <c r="H58" s="2">
        <v>30.213459999999998</v>
      </c>
      <c r="I58" s="2">
        <v>38.386622799999998</v>
      </c>
      <c r="J58" s="2">
        <v>38.881965999999998</v>
      </c>
      <c r="K58" s="2">
        <v>50.027187999999995</v>
      </c>
      <c r="L58" s="2">
        <v>53.552283972860913</v>
      </c>
      <c r="M58" s="2">
        <v>28.179736147757254</v>
      </c>
      <c r="N58" s="2">
        <v>36.231089332830763</v>
      </c>
      <c r="O58" s="2">
        <v>40.25676592536751</v>
      </c>
    </row>
    <row r="59" spans="1:15" x14ac:dyDescent="0.45">
      <c r="A59" s="1">
        <v>402155</v>
      </c>
      <c r="B59" t="s">
        <v>75</v>
      </c>
      <c r="C59" t="s">
        <v>74</v>
      </c>
      <c r="D59">
        <v>60</v>
      </c>
      <c r="E59" t="s">
        <v>7</v>
      </c>
      <c r="F59" s="2">
        <v>15.55</v>
      </c>
      <c r="G59" s="2">
        <v>14.653222766679233</v>
      </c>
      <c r="H59" s="2">
        <v>29.530740000000002</v>
      </c>
      <c r="I59" s="2">
        <v>37.498933200000003</v>
      </c>
      <c r="J59" s="2">
        <v>37.981854000000006</v>
      </c>
      <c r="K59" s="2">
        <v>48.847572</v>
      </c>
      <c r="L59" s="2">
        <v>52.284264312099516</v>
      </c>
      <c r="M59" s="2">
        <v>27.473034300791561</v>
      </c>
      <c r="N59" s="2">
        <v>35.322472672446295</v>
      </c>
      <c r="O59" s="2">
        <v>39.247191858273659</v>
      </c>
    </row>
    <row r="60" spans="1:15" x14ac:dyDescent="0.45">
      <c r="A60" s="1" t="s">
        <v>238</v>
      </c>
      <c r="B60" t="s">
        <v>197</v>
      </c>
      <c r="C60" t="s">
        <v>74</v>
      </c>
      <c r="E60" t="s">
        <v>10</v>
      </c>
      <c r="F60" s="2">
        <v>15.75</v>
      </c>
      <c r="G60" s="2">
        <v>14.841688654353563</v>
      </c>
      <c r="H60" s="2">
        <v>29.872100000000003</v>
      </c>
      <c r="I60" s="2">
        <v>37.942778000000004</v>
      </c>
      <c r="J60" s="2">
        <v>38.431910000000002</v>
      </c>
      <c r="K60" s="2">
        <v>49.437380000000005</v>
      </c>
      <c r="L60" s="2">
        <v>52.918274142480215</v>
      </c>
      <c r="M60" s="2">
        <v>27.826385224274407</v>
      </c>
      <c r="N60" s="2">
        <v>35.776781002638522</v>
      </c>
      <c r="O60" s="2">
        <v>39.751978891820585</v>
      </c>
    </row>
    <row r="61" spans="1:15" x14ac:dyDescent="0.45">
      <c r="A61" s="1">
        <v>434037</v>
      </c>
      <c r="B61" t="s">
        <v>77</v>
      </c>
      <c r="C61" t="s">
        <v>76</v>
      </c>
      <c r="D61">
        <v>4</v>
      </c>
      <c r="E61" t="s">
        <v>6</v>
      </c>
      <c r="F61" s="2">
        <v>15.35</v>
      </c>
      <c r="G61" s="2">
        <v>14.47</v>
      </c>
      <c r="H61" s="2">
        <v>29.123374999999996</v>
      </c>
      <c r="I61" s="2">
        <v>37.046830099999994</v>
      </c>
      <c r="J61" s="2">
        <v>37.527039500000001</v>
      </c>
      <c r="K61" s="2">
        <v>48.331750999999997</v>
      </c>
      <c r="L61" s="2">
        <v>53.133844999999994</v>
      </c>
      <c r="M61" s="2">
        <v>27.453641599999997</v>
      </c>
      <c r="N61" s="2">
        <v>35.297539200000003</v>
      </c>
      <c r="O61" s="2">
        <v>39.219487999999998</v>
      </c>
    </row>
    <row r="62" spans="1:15" x14ac:dyDescent="0.45">
      <c r="A62" s="1">
        <v>371131</v>
      </c>
      <c r="B62" t="s">
        <v>79</v>
      </c>
      <c r="C62" t="s">
        <v>78</v>
      </c>
      <c r="D62">
        <v>98</v>
      </c>
      <c r="E62" t="s">
        <v>5</v>
      </c>
      <c r="F62" s="2">
        <v>16.8</v>
      </c>
      <c r="G62" s="2">
        <v>15.831134564643801</v>
      </c>
      <c r="H62" s="2">
        <v>31.664239999999999</v>
      </c>
      <c r="I62" s="2">
        <v>40.2729632</v>
      </c>
      <c r="J62" s="2">
        <v>40.794704000000003</v>
      </c>
      <c r="K62" s="2">
        <v>52.533872000000002</v>
      </c>
      <c r="L62" s="2">
        <v>56.246825751978889</v>
      </c>
      <c r="M62" s="2">
        <v>29.681477572559366</v>
      </c>
      <c r="N62" s="2">
        <v>38.16189973614776</v>
      </c>
      <c r="O62" s="2">
        <v>42.402110817941953</v>
      </c>
    </row>
    <row r="63" spans="1:15" x14ac:dyDescent="0.45">
      <c r="A63" s="1">
        <v>380663</v>
      </c>
      <c r="B63" t="s">
        <v>81</v>
      </c>
      <c r="C63" t="s">
        <v>80</v>
      </c>
      <c r="D63">
        <v>88</v>
      </c>
      <c r="E63" t="s">
        <v>10</v>
      </c>
      <c r="F63" s="2">
        <v>15.75</v>
      </c>
      <c r="G63" s="2">
        <v>14.841688654353563</v>
      </c>
      <c r="H63" s="2">
        <v>29.872100000000003</v>
      </c>
      <c r="I63" s="2">
        <v>37.942778000000004</v>
      </c>
      <c r="J63" s="2">
        <v>38.431910000000002</v>
      </c>
      <c r="K63" s="2">
        <v>49.437380000000005</v>
      </c>
      <c r="L63" s="2">
        <v>52.918274142480215</v>
      </c>
      <c r="M63" s="2">
        <v>27.826385224274407</v>
      </c>
      <c r="N63" s="2">
        <v>35.776781002638522</v>
      </c>
      <c r="O63" s="2">
        <v>39.751978891820585</v>
      </c>
    </row>
    <row r="64" spans="1:15" x14ac:dyDescent="0.45">
      <c r="A64" s="1">
        <v>416114</v>
      </c>
      <c r="B64" t="s">
        <v>83</v>
      </c>
      <c r="C64" t="s">
        <v>82</v>
      </c>
      <c r="D64">
        <v>3</v>
      </c>
      <c r="E64" t="s">
        <v>6</v>
      </c>
      <c r="F64" s="2">
        <v>15.35</v>
      </c>
      <c r="G64" s="2">
        <v>14.47</v>
      </c>
      <c r="H64" s="2">
        <v>29.123374999999996</v>
      </c>
      <c r="I64" s="2">
        <v>37.046830099999994</v>
      </c>
      <c r="J64" s="2">
        <v>37.527039500000001</v>
      </c>
      <c r="K64" s="2">
        <v>48.331750999999997</v>
      </c>
      <c r="L64" s="2">
        <v>53.133844999999994</v>
      </c>
      <c r="M64" s="2">
        <v>27.453641599999997</v>
      </c>
      <c r="N64" s="2">
        <v>35.297539200000003</v>
      </c>
      <c r="O64" s="2">
        <v>39.219487999999998</v>
      </c>
    </row>
    <row r="65" spans="1:15" x14ac:dyDescent="0.45">
      <c r="A65" s="1">
        <v>423179</v>
      </c>
      <c r="B65" t="s">
        <v>85</v>
      </c>
      <c r="C65" t="s">
        <v>84</v>
      </c>
      <c r="D65">
        <v>23</v>
      </c>
      <c r="E65" t="s">
        <v>6</v>
      </c>
      <c r="F65" s="2">
        <v>15.35</v>
      </c>
      <c r="G65" s="2">
        <v>14.47</v>
      </c>
      <c r="H65" s="2">
        <v>29.123374999999996</v>
      </c>
      <c r="I65" s="2">
        <v>37.046830099999994</v>
      </c>
      <c r="J65" s="2">
        <v>37.527039500000001</v>
      </c>
      <c r="K65" s="2">
        <v>48.331750999999997</v>
      </c>
      <c r="L65" s="2">
        <v>53.133844999999994</v>
      </c>
      <c r="M65" s="2">
        <v>27.453641599999997</v>
      </c>
      <c r="N65" s="2">
        <v>35.297539200000003</v>
      </c>
      <c r="O65" s="2">
        <v>39.219487999999998</v>
      </c>
    </row>
    <row r="66" spans="1:15" x14ac:dyDescent="0.45">
      <c r="A66" s="1">
        <v>379371</v>
      </c>
      <c r="B66" t="s">
        <v>87</v>
      </c>
      <c r="C66" t="s">
        <v>86</v>
      </c>
      <c r="D66">
        <v>121</v>
      </c>
      <c r="E66" t="s">
        <v>10</v>
      </c>
      <c r="F66" s="2">
        <v>15.75</v>
      </c>
      <c r="G66" s="2">
        <v>14.841688654353563</v>
      </c>
      <c r="H66" s="2">
        <v>29.872100000000003</v>
      </c>
      <c r="I66" s="2">
        <v>37.942778000000004</v>
      </c>
      <c r="J66" s="2">
        <v>38.431910000000002</v>
      </c>
      <c r="K66" s="2">
        <v>49.437380000000005</v>
      </c>
      <c r="L66" s="2">
        <v>52.918274142480215</v>
      </c>
      <c r="M66" s="2">
        <v>27.826385224274407</v>
      </c>
      <c r="N66" s="2">
        <v>35.776781002638522</v>
      </c>
      <c r="O66" s="2">
        <v>39.751978891820585</v>
      </c>
    </row>
    <row r="67" spans="1:15" x14ac:dyDescent="0.45">
      <c r="A67" s="1">
        <v>366002</v>
      </c>
      <c r="B67" t="s">
        <v>88</v>
      </c>
      <c r="C67" t="s">
        <v>86</v>
      </c>
      <c r="D67">
        <v>19</v>
      </c>
      <c r="E67" t="s">
        <v>6</v>
      </c>
      <c r="F67" s="2">
        <v>15.35</v>
      </c>
      <c r="G67" s="2">
        <v>14.47</v>
      </c>
      <c r="H67" s="2">
        <v>29.123374999999996</v>
      </c>
      <c r="I67" s="2">
        <v>37.046830099999994</v>
      </c>
      <c r="J67" s="2">
        <v>37.527039500000001</v>
      </c>
      <c r="K67" s="2">
        <v>48.331750999999997</v>
      </c>
      <c r="L67" s="2">
        <v>53.133844999999994</v>
      </c>
      <c r="M67" s="2">
        <v>27.453641599999997</v>
      </c>
      <c r="N67" s="2">
        <v>35.297539200000003</v>
      </c>
      <c r="O67" s="2">
        <v>39.219487999999998</v>
      </c>
    </row>
    <row r="68" spans="1:15" x14ac:dyDescent="0.45">
      <c r="A68" s="1">
        <v>379226</v>
      </c>
      <c r="B68" t="s">
        <v>89</v>
      </c>
      <c r="C68" t="s">
        <v>86</v>
      </c>
      <c r="D68">
        <v>132</v>
      </c>
      <c r="E68" t="s">
        <v>8</v>
      </c>
      <c r="F68" s="2">
        <v>15.95</v>
      </c>
      <c r="G68" s="2">
        <v>15.030154542027894</v>
      </c>
      <c r="H68" s="2">
        <v>30.213459999999998</v>
      </c>
      <c r="I68" s="2">
        <v>38.386622799999998</v>
      </c>
      <c r="J68" s="2">
        <v>38.881965999999998</v>
      </c>
      <c r="K68" s="2">
        <v>50.027187999999995</v>
      </c>
      <c r="L68" s="2">
        <v>53.552283972860913</v>
      </c>
      <c r="M68" s="2">
        <v>28.179736147757254</v>
      </c>
      <c r="N68" s="2">
        <v>36.231089332830763</v>
      </c>
      <c r="O68" s="2">
        <v>40.25676592536751</v>
      </c>
    </row>
    <row r="69" spans="1:15" x14ac:dyDescent="0.45">
      <c r="A69" s="1">
        <v>379213</v>
      </c>
      <c r="B69" t="s">
        <v>91</v>
      </c>
      <c r="C69" t="s">
        <v>90</v>
      </c>
      <c r="D69">
        <v>100</v>
      </c>
      <c r="E69" t="s">
        <v>9</v>
      </c>
      <c r="F69" s="2">
        <v>16.41</v>
      </c>
      <c r="G69" s="2">
        <v>15.463626083678855</v>
      </c>
      <c r="H69" s="2">
        <v>30.998588000000005</v>
      </c>
      <c r="I69" s="2">
        <v>39.407465840000008</v>
      </c>
      <c r="J69" s="2">
        <v>39.917094800000008</v>
      </c>
      <c r="K69" s="2">
        <v>51.383746400000007</v>
      </c>
      <c r="L69" s="2">
        <v>55.010506582736532</v>
      </c>
      <c r="M69" s="2">
        <v>28.992443271767812</v>
      </c>
      <c r="N69" s="2">
        <v>37.275998492272898</v>
      </c>
      <c r="O69" s="2">
        <v>41.417776102525444</v>
      </c>
    </row>
    <row r="70" spans="1:15" x14ac:dyDescent="0.45">
      <c r="A70" s="1">
        <v>374816</v>
      </c>
      <c r="B70" t="s">
        <v>92</v>
      </c>
      <c r="C70" t="s">
        <v>90</v>
      </c>
      <c r="D70">
        <v>140</v>
      </c>
      <c r="E70" t="s">
        <v>8</v>
      </c>
      <c r="F70" s="2">
        <v>15.95</v>
      </c>
      <c r="G70" s="2">
        <v>15.030154542027894</v>
      </c>
      <c r="H70" s="2">
        <v>30.213459999999998</v>
      </c>
      <c r="I70" s="2">
        <v>38.386622799999998</v>
      </c>
      <c r="J70" s="2">
        <v>38.881965999999998</v>
      </c>
      <c r="K70" s="2">
        <v>50.027187999999995</v>
      </c>
      <c r="L70" s="2">
        <v>53.552283972860913</v>
      </c>
      <c r="M70" s="2">
        <v>28.179736147757254</v>
      </c>
      <c r="N70" s="2">
        <v>36.231089332830763</v>
      </c>
      <c r="O70" s="2">
        <v>40.25676592536751</v>
      </c>
    </row>
    <row r="71" spans="1:15" x14ac:dyDescent="0.45">
      <c r="A71" s="1">
        <v>411494</v>
      </c>
      <c r="B71" t="s">
        <v>94</v>
      </c>
      <c r="C71" t="s">
        <v>93</v>
      </c>
      <c r="D71">
        <v>49</v>
      </c>
      <c r="E71" t="s">
        <v>7</v>
      </c>
      <c r="F71" s="2">
        <v>15.55</v>
      </c>
      <c r="G71" s="2">
        <v>14.653222766679233</v>
      </c>
      <c r="H71" s="2">
        <v>29.463875000000002</v>
      </c>
      <c r="I71" s="2">
        <v>37.490567300000002</v>
      </c>
      <c r="J71" s="2">
        <v>37.977033500000005</v>
      </c>
      <c r="K71" s="2">
        <v>48.922523000000005</v>
      </c>
      <c r="L71" s="2">
        <v>52.384446051639657</v>
      </c>
      <c r="M71" s="2">
        <v>27.801266490765176</v>
      </c>
      <c r="N71" s="2">
        <v>35.744485488126656</v>
      </c>
      <c r="O71" s="2">
        <v>39.716094986807391</v>
      </c>
    </row>
    <row r="72" spans="1:15" x14ac:dyDescent="0.45">
      <c r="A72" s="1">
        <v>377554</v>
      </c>
      <c r="B72" t="s">
        <v>96</v>
      </c>
      <c r="C72" t="s">
        <v>95</v>
      </c>
      <c r="D72">
        <v>89</v>
      </c>
      <c r="E72" t="s">
        <v>17</v>
      </c>
      <c r="F72" s="2">
        <v>16.2</v>
      </c>
      <c r="G72" s="2">
        <v>15.265736901620807</v>
      </c>
      <c r="H72" s="2">
        <v>30.640160000000002</v>
      </c>
      <c r="I72" s="2">
        <v>38.941428800000004</v>
      </c>
      <c r="J72" s="2">
        <v>39.444535999999999</v>
      </c>
      <c r="K72" s="2">
        <v>50.764448000000002</v>
      </c>
      <c r="L72" s="2">
        <v>54.344796260836787</v>
      </c>
      <c r="M72" s="2">
        <v>28.621424802110816</v>
      </c>
      <c r="N72" s="2">
        <v>36.798974745571051</v>
      </c>
      <c r="O72" s="2">
        <v>40.887749717301169</v>
      </c>
    </row>
    <row r="73" spans="1:15" x14ac:dyDescent="0.45">
      <c r="A73" s="6">
        <v>437713</v>
      </c>
      <c r="B73" t="s">
        <v>212</v>
      </c>
      <c r="C73" t="s">
        <v>213</v>
      </c>
      <c r="E73" t="s">
        <v>12</v>
      </c>
      <c r="F73" s="2">
        <v>16.34</v>
      </c>
      <c r="G73" s="2">
        <v>15.4</v>
      </c>
      <c r="H73" s="2">
        <v>30.81</v>
      </c>
      <c r="I73" s="2">
        <v>39.243329240000001</v>
      </c>
      <c r="J73" s="2">
        <v>39.75</v>
      </c>
      <c r="K73" s="2">
        <v>51.256072400000001</v>
      </c>
      <c r="L73" s="2">
        <v>54.893874500565403</v>
      </c>
      <c r="M73" s="2">
        <v>29.213678100263852</v>
      </c>
      <c r="N73" s="2">
        <v>37.560443271767809</v>
      </c>
      <c r="O73" s="2">
        <v>41.73382585751979</v>
      </c>
    </row>
    <row r="74" spans="1:15" x14ac:dyDescent="0.45">
      <c r="A74" s="1">
        <v>379214</v>
      </c>
      <c r="B74" t="s">
        <v>91</v>
      </c>
      <c r="C74" t="s">
        <v>97</v>
      </c>
      <c r="D74">
        <v>100</v>
      </c>
      <c r="E74" t="s">
        <v>9</v>
      </c>
      <c r="F74" s="2">
        <v>16.41</v>
      </c>
      <c r="G74" s="2">
        <v>15.463626083678855</v>
      </c>
      <c r="H74" s="2">
        <v>30.998588000000005</v>
      </c>
      <c r="I74" s="2">
        <v>39.407465840000008</v>
      </c>
      <c r="J74" s="2">
        <v>39.917094800000008</v>
      </c>
      <c r="K74" s="2">
        <v>51.383746400000007</v>
      </c>
      <c r="L74" s="2">
        <v>55.010506582736532</v>
      </c>
      <c r="M74" s="2">
        <v>28.992443271767812</v>
      </c>
      <c r="N74" s="2">
        <v>37.275998492272898</v>
      </c>
      <c r="O74" s="2">
        <v>41.417776102525444</v>
      </c>
    </row>
    <row r="75" spans="1:15" x14ac:dyDescent="0.45">
      <c r="A75" s="6">
        <v>435406</v>
      </c>
      <c r="B75" t="s">
        <v>187</v>
      </c>
      <c r="C75" t="s">
        <v>98</v>
      </c>
      <c r="E75" t="s">
        <v>6</v>
      </c>
      <c r="F75" s="2">
        <v>15.35</v>
      </c>
      <c r="G75" s="2">
        <v>14.47</v>
      </c>
      <c r="H75" s="2">
        <v>29.123374999999996</v>
      </c>
      <c r="I75" s="2">
        <v>37.046830099999994</v>
      </c>
      <c r="J75" s="2">
        <v>37.527039500000001</v>
      </c>
      <c r="K75" s="2">
        <v>48.331750999999997</v>
      </c>
      <c r="L75" s="2">
        <v>53.133844999999994</v>
      </c>
      <c r="M75" s="2">
        <v>27.453641599999997</v>
      </c>
      <c r="N75" s="2">
        <v>35.297539200000003</v>
      </c>
      <c r="O75" s="2">
        <v>39.219487999999998</v>
      </c>
    </row>
    <row r="76" spans="1:15" x14ac:dyDescent="0.45">
      <c r="A76" s="1">
        <v>410116</v>
      </c>
      <c r="B76" t="s">
        <v>99</v>
      </c>
      <c r="C76" t="s">
        <v>98</v>
      </c>
      <c r="D76">
        <v>49</v>
      </c>
      <c r="E76" t="s">
        <v>18</v>
      </c>
      <c r="F76" s="2">
        <v>17.04</v>
      </c>
      <c r="G76" s="2">
        <v>16.057293629852996</v>
      </c>
      <c r="H76" s="2">
        <v>32.000599999999999</v>
      </c>
      <c r="I76" s="2">
        <v>40.796409439999998</v>
      </c>
      <c r="J76" s="2">
        <v>41.3294888</v>
      </c>
      <c r="K76" s="2">
        <v>53.323774399999998</v>
      </c>
      <c r="L76" s="2">
        <v>57.117418695816056</v>
      </c>
      <c r="M76" s="2">
        <v>30.465182058047489</v>
      </c>
      <c r="N76" s="2">
        <v>39.169519788918208</v>
      </c>
      <c r="O76" s="2">
        <v>43.521688654353561</v>
      </c>
    </row>
    <row r="77" spans="1:15" x14ac:dyDescent="0.45">
      <c r="A77" s="1">
        <v>402394</v>
      </c>
      <c r="B77" t="s">
        <v>100</v>
      </c>
      <c r="C77" t="s">
        <v>98</v>
      </c>
      <c r="D77">
        <v>60</v>
      </c>
      <c r="E77" t="s">
        <v>18</v>
      </c>
      <c r="F77" s="2">
        <v>17.04</v>
      </c>
      <c r="G77" s="2">
        <v>16.057293629852996</v>
      </c>
      <c r="H77" s="2">
        <v>32.073872000000001</v>
      </c>
      <c r="I77" s="2">
        <v>40.805576960000003</v>
      </c>
      <c r="J77" s="2">
        <v>41.334771200000006</v>
      </c>
      <c r="K77" s="2">
        <v>53.241641600000001</v>
      </c>
      <c r="L77" s="2">
        <v>57.007637548435731</v>
      </c>
      <c r="M77" s="2">
        <v>30.10549868073878</v>
      </c>
      <c r="N77" s="2">
        <v>38.707069732378436</v>
      </c>
      <c r="O77" s="2">
        <v>43.007855258198262</v>
      </c>
    </row>
    <row r="78" spans="1:15" x14ac:dyDescent="0.45">
      <c r="A78" s="1">
        <v>374909</v>
      </c>
      <c r="B78" t="s">
        <v>102</v>
      </c>
      <c r="C78" t="s">
        <v>101</v>
      </c>
      <c r="D78">
        <v>275</v>
      </c>
      <c r="E78" t="s">
        <v>20</v>
      </c>
      <c r="F78" s="2">
        <v>16.84</v>
      </c>
      <c r="G78" s="2">
        <v>15.868827742178667</v>
      </c>
      <c r="H78" s="2">
        <v>30.770947999999997</v>
      </c>
      <c r="I78" s="2">
        <v>39.118973839999995</v>
      </c>
      <c r="J78" s="2">
        <v>39.624914799999999</v>
      </c>
      <c r="K78" s="2">
        <v>51.008586399999999</v>
      </c>
      <c r="L78" s="2">
        <v>54.609101034300792</v>
      </c>
      <c r="M78" s="2">
        <v>28.654659630606858</v>
      </c>
      <c r="N78" s="2">
        <v>36.841705239351683</v>
      </c>
      <c r="O78" s="2">
        <v>40.935228043724088</v>
      </c>
    </row>
    <row r="79" spans="1:15" ht="15.75" customHeight="1" x14ac:dyDescent="0.45">
      <c r="A79" s="1">
        <v>337453</v>
      </c>
      <c r="B79" t="s">
        <v>104</v>
      </c>
      <c r="C79" t="s">
        <v>103</v>
      </c>
      <c r="D79">
        <v>9</v>
      </c>
      <c r="E79" t="s">
        <v>6</v>
      </c>
      <c r="F79" s="2">
        <v>15.35</v>
      </c>
      <c r="G79" s="2">
        <v>14.47</v>
      </c>
      <c r="H79" s="2">
        <v>29.123374999999996</v>
      </c>
      <c r="I79" s="2">
        <v>37.046830099999994</v>
      </c>
      <c r="J79" s="2">
        <v>37.527039500000001</v>
      </c>
      <c r="K79" s="2">
        <v>48.331750999999997</v>
      </c>
      <c r="L79" s="2">
        <v>53.133844999999994</v>
      </c>
      <c r="M79" s="2">
        <v>27.453641599999997</v>
      </c>
      <c r="N79" s="2">
        <v>35.297539200000003</v>
      </c>
      <c r="O79" s="2">
        <v>39.219487999999998</v>
      </c>
    </row>
    <row r="80" spans="1:15" x14ac:dyDescent="0.45">
      <c r="A80" s="6">
        <v>438314</v>
      </c>
      <c r="B80" t="s">
        <v>233</v>
      </c>
      <c r="C80" t="s">
        <v>234</v>
      </c>
      <c r="E80" t="s">
        <v>6</v>
      </c>
      <c r="F80" s="2">
        <v>15.35</v>
      </c>
      <c r="G80" s="2">
        <v>14.47</v>
      </c>
      <c r="H80" s="2">
        <v>29.123374999999996</v>
      </c>
      <c r="I80" s="2">
        <v>37.046830099999994</v>
      </c>
      <c r="J80" s="2">
        <v>37.527039500000001</v>
      </c>
      <c r="K80" s="2">
        <v>48.331750999999997</v>
      </c>
      <c r="L80" s="2">
        <v>53.133844999999994</v>
      </c>
      <c r="M80" s="2">
        <v>27.453641599999997</v>
      </c>
      <c r="N80" s="2">
        <v>35.297539200000003</v>
      </c>
      <c r="O80" s="2">
        <v>39.219487999999998</v>
      </c>
    </row>
    <row r="81" spans="1:15" x14ac:dyDescent="0.45">
      <c r="A81" s="1">
        <v>433625</v>
      </c>
      <c r="B81" t="s">
        <v>106</v>
      </c>
      <c r="C81" t="s">
        <v>105</v>
      </c>
      <c r="D81">
        <v>5</v>
      </c>
      <c r="E81" t="s">
        <v>6</v>
      </c>
      <c r="F81" s="2">
        <v>15.98</v>
      </c>
      <c r="G81" s="2">
        <v>15.058424425179044</v>
      </c>
      <c r="H81" s="2">
        <v>30.195949999999996</v>
      </c>
      <c r="I81" s="2">
        <v>38.444602279999998</v>
      </c>
      <c r="J81" s="2">
        <v>38.944520599999997</v>
      </c>
      <c r="K81" s="2">
        <v>50.1926828</v>
      </c>
      <c r="L81" s="2">
        <v>53.75033748586506</v>
      </c>
      <c r="M81" s="2">
        <v>28.570047493403695</v>
      </c>
      <c r="N81" s="2">
        <v>36.732918205804751</v>
      </c>
      <c r="O81" s="2">
        <v>40.81435356200528</v>
      </c>
    </row>
    <row r="82" spans="1:15" x14ac:dyDescent="0.45">
      <c r="A82" s="1">
        <v>430948</v>
      </c>
      <c r="B82" t="s">
        <v>180</v>
      </c>
      <c r="C82" t="s">
        <v>107</v>
      </c>
      <c r="D82">
        <v>10</v>
      </c>
      <c r="E82" t="s">
        <v>6</v>
      </c>
      <c r="F82" s="2">
        <v>15.35</v>
      </c>
      <c r="G82" s="2">
        <v>14.4647568790049</v>
      </c>
      <c r="H82" s="2">
        <v>29.123374999999996</v>
      </c>
      <c r="I82" s="2">
        <v>37.046830099999994</v>
      </c>
      <c r="J82" s="2">
        <v>37.527039500000001</v>
      </c>
      <c r="K82" s="2">
        <v>48.331750999999997</v>
      </c>
      <c r="L82" s="2">
        <v>51.757348999999998</v>
      </c>
      <c r="M82" s="2">
        <v>27.453641599999997</v>
      </c>
      <c r="N82" s="2">
        <v>35.297539200000003</v>
      </c>
      <c r="O82" s="2">
        <v>39.219487999999998</v>
      </c>
    </row>
    <row r="83" spans="1:15" x14ac:dyDescent="0.45">
      <c r="A83" s="6">
        <v>436269</v>
      </c>
      <c r="B83" t="s">
        <v>188</v>
      </c>
      <c r="C83" t="s">
        <v>189</v>
      </c>
      <c r="E83" t="s">
        <v>6</v>
      </c>
      <c r="F83" s="2">
        <v>15.35</v>
      </c>
      <c r="G83" s="2">
        <v>14.47</v>
      </c>
      <c r="H83" s="2">
        <v>29.123374999999996</v>
      </c>
      <c r="I83" s="2">
        <v>37.046830099999994</v>
      </c>
      <c r="J83" s="2">
        <v>37.527039500000001</v>
      </c>
      <c r="K83" s="2">
        <v>48.331750999999997</v>
      </c>
      <c r="L83" s="2">
        <v>53.133844999999994</v>
      </c>
      <c r="M83" s="2">
        <v>27.453641599999997</v>
      </c>
      <c r="N83" s="2">
        <v>35.297539200000003</v>
      </c>
      <c r="O83" s="2">
        <v>39.219487999999998</v>
      </c>
    </row>
    <row r="84" spans="1:15" x14ac:dyDescent="0.45">
      <c r="A84" s="1">
        <v>411940</v>
      </c>
      <c r="B84" t="s">
        <v>109</v>
      </c>
      <c r="C84" t="s">
        <v>108</v>
      </c>
      <c r="D84">
        <v>35</v>
      </c>
      <c r="E84" t="s">
        <v>17</v>
      </c>
      <c r="F84" s="2">
        <v>16.2</v>
      </c>
      <c r="G84" s="2">
        <v>15.265736901620807</v>
      </c>
      <c r="H84" s="2">
        <v>30.570499999999996</v>
      </c>
      <c r="I84" s="2">
        <v>38.932713199999995</v>
      </c>
      <c r="J84" s="2">
        <v>39.439513999999996</v>
      </c>
      <c r="K84" s="2">
        <v>50.842531999999999</v>
      </c>
      <c r="L84" s="2">
        <v>55.910539999999997</v>
      </c>
      <c r="M84" s="2">
        <v>28.963377308707123</v>
      </c>
      <c r="N84" s="2">
        <v>37.238627968337731</v>
      </c>
      <c r="O84" s="2">
        <v>41.376253298153031</v>
      </c>
    </row>
    <row r="85" spans="1:15" x14ac:dyDescent="0.45">
      <c r="A85" s="1">
        <v>421714</v>
      </c>
      <c r="B85" t="s">
        <v>111</v>
      </c>
      <c r="C85" t="s">
        <v>110</v>
      </c>
      <c r="D85">
        <v>25</v>
      </c>
      <c r="E85" t="s">
        <v>6</v>
      </c>
      <c r="F85" s="2">
        <v>15.35</v>
      </c>
      <c r="G85" s="2">
        <v>14.47</v>
      </c>
      <c r="H85" s="2">
        <v>29.123374999999996</v>
      </c>
      <c r="I85" s="2">
        <v>37.046830099999994</v>
      </c>
      <c r="J85" s="2">
        <v>37.527039500000001</v>
      </c>
      <c r="K85" s="2">
        <v>48.331750999999997</v>
      </c>
      <c r="L85" s="2">
        <v>53.133844999999994</v>
      </c>
      <c r="M85" s="2">
        <v>27.453641599999997</v>
      </c>
      <c r="N85" s="2">
        <v>35.297539200000003</v>
      </c>
      <c r="O85" s="2">
        <v>39.219487999999998</v>
      </c>
    </row>
    <row r="86" spans="1:15" x14ac:dyDescent="0.45">
      <c r="A86" s="1">
        <v>434591</v>
      </c>
      <c r="B86" t="s">
        <v>113</v>
      </c>
      <c r="C86" t="s">
        <v>112</v>
      </c>
      <c r="D86">
        <v>1</v>
      </c>
      <c r="E86" t="s">
        <v>6</v>
      </c>
      <c r="F86" s="2">
        <v>15.35</v>
      </c>
      <c r="G86" s="2">
        <v>14.47</v>
      </c>
      <c r="H86" s="2">
        <v>29.123374999999996</v>
      </c>
      <c r="I86" s="2">
        <v>37.046830099999994</v>
      </c>
      <c r="J86" s="2">
        <v>37.527039500000001</v>
      </c>
      <c r="K86" s="2">
        <v>48.331750999999997</v>
      </c>
      <c r="L86" s="2">
        <v>53.133844999999994</v>
      </c>
      <c r="M86" s="2">
        <v>27.453641599999997</v>
      </c>
      <c r="N86" s="2">
        <v>35.297539200000003</v>
      </c>
      <c r="O86" s="2">
        <v>39.219487999999998</v>
      </c>
    </row>
    <row r="87" spans="1:15" x14ac:dyDescent="0.45">
      <c r="A87" s="1">
        <v>403842</v>
      </c>
      <c r="B87" t="s">
        <v>114</v>
      </c>
      <c r="C87" t="s">
        <v>112</v>
      </c>
      <c r="D87">
        <v>51</v>
      </c>
      <c r="E87" t="s">
        <v>7</v>
      </c>
      <c r="F87" s="2">
        <v>15.55</v>
      </c>
      <c r="G87" s="2">
        <v>14.653222766679233</v>
      </c>
      <c r="H87" s="2">
        <v>29.463875000000002</v>
      </c>
      <c r="I87" s="2">
        <v>37.490567300000002</v>
      </c>
      <c r="J87" s="2">
        <v>37.977033500000005</v>
      </c>
      <c r="K87" s="2">
        <v>48.922523000000005</v>
      </c>
      <c r="L87" s="2">
        <v>52.384446051639657</v>
      </c>
      <c r="M87" s="2">
        <v>27.801266490765176</v>
      </c>
      <c r="N87" s="2">
        <v>35.744485488126656</v>
      </c>
      <c r="O87" s="2">
        <v>39.716094986807391</v>
      </c>
    </row>
    <row r="88" spans="1:15" x14ac:dyDescent="0.45">
      <c r="A88" s="6">
        <v>438201</v>
      </c>
      <c r="B88" t="s">
        <v>221</v>
      </c>
      <c r="C88" t="s">
        <v>222</v>
      </c>
      <c r="E88" t="s">
        <v>6</v>
      </c>
      <c r="F88" s="2">
        <v>15.35</v>
      </c>
      <c r="G88" s="2">
        <v>14.47</v>
      </c>
      <c r="H88" s="2">
        <v>29.123374999999996</v>
      </c>
      <c r="I88" s="2">
        <v>37.046830099999994</v>
      </c>
      <c r="J88" s="2">
        <v>37.527039500000001</v>
      </c>
      <c r="K88" s="2">
        <v>48.331750999999997</v>
      </c>
      <c r="L88" s="2">
        <v>53.133844999999994</v>
      </c>
      <c r="M88" s="2">
        <v>27.453641599999997</v>
      </c>
      <c r="N88" s="2">
        <v>35.297539200000003</v>
      </c>
      <c r="O88" s="2">
        <v>39.219487999999998</v>
      </c>
    </row>
    <row r="89" spans="1:15" x14ac:dyDescent="0.45">
      <c r="A89" s="6">
        <v>435060</v>
      </c>
      <c r="B89" t="s">
        <v>202</v>
      </c>
      <c r="C89" t="s">
        <v>111</v>
      </c>
      <c r="E89" t="s">
        <v>12</v>
      </c>
      <c r="F89" s="2">
        <v>16.34</v>
      </c>
      <c r="G89" s="2">
        <v>15.4</v>
      </c>
      <c r="H89" s="2">
        <v>30.81</v>
      </c>
      <c r="I89" s="2">
        <v>39.243329240000001</v>
      </c>
      <c r="J89" s="2">
        <v>39.75</v>
      </c>
      <c r="K89" s="2">
        <v>51.256072400000001</v>
      </c>
      <c r="L89" s="2">
        <v>54.893874500565403</v>
      </c>
      <c r="M89" s="2">
        <v>29.213678100263852</v>
      </c>
      <c r="N89" s="2">
        <v>37.560443271767809</v>
      </c>
      <c r="O89" s="2">
        <v>41.73382585751979</v>
      </c>
    </row>
    <row r="90" spans="1:15" ht="13.5" customHeight="1" x14ac:dyDescent="0.45">
      <c r="A90" s="1" t="s">
        <v>241</v>
      </c>
      <c r="B90" t="s">
        <v>239</v>
      </c>
      <c r="C90" t="s">
        <v>240</v>
      </c>
      <c r="E90" t="s">
        <v>6</v>
      </c>
      <c r="F90" s="2">
        <v>15.35</v>
      </c>
      <c r="G90" s="2">
        <v>14.47</v>
      </c>
      <c r="H90" s="2">
        <v>29.123374999999996</v>
      </c>
      <c r="I90" s="2">
        <v>37.046830099999994</v>
      </c>
      <c r="J90" s="2">
        <v>37.527039500000001</v>
      </c>
      <c r="K90" s="2">
        <v>48.331750999999997</v>
      </c>
      <c r="L90" s="2">
        <v>53.133844999999994</v>
      </c>
      <c r="M90" s="2">
        <v>27.453641599999997</v>
      </c>
      <c r="N90" s="2">
        <v>35.297539200000003</v>
      </c>
      <c r="O90" s="2">
        <v>39.219487999999998</v>
      </c>
    </row>
    <row r="91" spans="1:15" x14ac:dyDescent="0.45">
      <c r="A91" s="6">
        <v>434696</v>
      </c>
      <c r="B91" t="s">
        <v>185</v>
      </c>
      <c r="C91" t="s">
        <v>186</v>
      </c>
      <c r="E91" t="s">
        <v>6</v>
      </c>
      <c r="F91" s="2">
        <v>15.35</v>
      </c>
      <c r="G91" s="2">
        <v>14.47</v>
      </c>
      <c r="H91" s="2">
        <v>29.123374999999996</v>
      </c>
      <c r="I91" s="2">
        <v>37.046830099999994</v>
      </c>
      <c r="J91" s="2">
        <v>37.527039500000001</v>
      </c>
      <c r="K91" s="2">
        <v>48.331750999999997</v>
      </c>
      <c r="L91" s="2">
        <v>53.133844999999994</v>
      </c>
      <c r="M91" s="2">
        <v>27.453641599999997</v>
      </c>
      <c r="N91" s="2">
        <v>35.297539200000003</v>
      </c>
      <c r="O91" s="2">
        <v>39.219487999999998</v>
      </c>
    </row>
    <row r="92" spans="1:15" x14ac:dyDescent="0.45">
      <c r="A92" s="1">
        <v>433027</v>
      </c>
      <c r="B92" t="s">
        <v>116</v>
      </c>
      <c r="C92" t="s">
        <v>115</v>
      </c>
      <c r="D92">
        <v>7</v>
      </c>
      <c r="E92" t="s">
        <v>6</v>
      </c>
      <c r="F92" s="2">
        <v>15.35</v>
      </c>
      <c r="G92" s="2">
        <v>14.47</v>
      </c>
      <c r="H92" s="2">
        <v>29.123374999999996</v>
      </c>
      <c r="I92" s="2">
        <v>37.046830099999994</v>
      </c>
      <c r="J92" s="2">
        <v>37.527039500000001</v>
      </c>
      <c r="K92" s="2">
        <v>48.331750999999997</v>
      </c>
      <c r="L92" s="2">
        <v>53.133844999999994</v>
      </c>
      <c r="M92" s="2">
        <v>27.453641599999997</v>
      </c>
      <c r="N92" s="2">
        <v>35.297539200000003</v>
      </c>
      <c r="O92" s="2">
        <v>39.219487999999998</v>
      </c>
    </row>
    <row r="93" spans="1:15" x14ac:dyDescent="0.45">
      <c r="A93" s="1">
        <v>406836</v>
      </c>
      <c r="B93" t="s">
        <v>118</v>
      </c>
      <c r="C93" t="s">
        <v>117</v>
      </c>
      <c r="D93">
        <v>57</v>
      </c>
      <c r="E93" t="s">
        <v>17</v>
      </c>
      <c r="F93" s="2">
        <v>16.2</v>
      </c>
      <c r="G93" s="2">
        <v>15.265736901620807</v>
      </c>
      <c r="H93" s="2">
        <v>30.640160000000002</v>
      </c>
      <c r="I93" s="2">
        <v>38.941428800000004</v>
      </c>
      <c r="J93" s="2">
        <v>39.444535999999999</v>
      </c>
      <c r="K93" s="2">
        <v>50.764448000000002</v>
      </c>
      <c r="L93" s="2">
        <v>54.344796260836787</v>
      </c>
      <c r="M93" s="2">
        <v>28.621424802110816</v>
      </c>
      <c r="N93" s="2">
        <v>36.798974745571051</v>
      </c>
      <c r="O93" s="2">
        <v>40.887749717301169</v>
      </c>
    </row>
    <row r="94" spans="1:15" x14ac:dyDescent="0.45">
      <c r="A94" s="1">
        <v>386399</v>
      </c>
      <c r="B94" t="s">
        <v>119</v>
      </c>
      <c r="C94" t="s">
        <v>117</v>
      </c>
      <c r="D94">
        <v>75</v>
      </c>
      <c r="E94" t="s">
        <v>9</v>
      </c>
      <c r="F94" s="2">
        <v>16.41</v>
      </c>
      <c r="G94" s="2">
        <v>15.463626083678855</v>
      </c>
      <c r="H94" s="2">
        <v>30.998588000000005</v>
      </c>
      <c r="I94" s="2">
        <v>39.407465840000008</v>
      </c>
      <c r="J94" s="2">
        <v>39.917094800000008</v>
      </c>
      <c r="K94" s="2">
        <v>51.383746400000007</v>
      </c>
      <c r="L94" s="2">
        <v>55.010506582736532</v>
      </c>
      <c r="M94" s="2">
        <v>28.992443271767812</v>
      </c>
      <c r="N94" s="2">
        <v>37.275998492272898</v>
      </c>
      <c r="O94" s="2">
        <v>41.417776102525444</v>
      </c>
    </row>
    <row r="95" spans="1:15" x14ac:dyDescent="0.45">
      <c r="A95" s="6">
        <v>416222</v>
      </c>
      <c r="B95" t="s">
        <v>193</v>
      </c>
      <c r="C95" t="s">
        <v>194</v>
      </c>
      <c r="E95" t="s">
        <v>6</v>
      </c>
      <c r="F95" s="2">
        <v>15.35</v>
      </c>
      <c r="G95" s="2">
        <v>14.47</v>
      </c>
      <c r="H95" s="2">
        <v>29.123374999999996</v>
      </c>
      <c r="I95" s="2">
        <v>37.046830099999994</v>
      </c>
      <c r="J95" s="2">
        <v>37.527039500000001</v>
      </c>
      <c r="K95" s="2">
        <v>48.331750999999997</v>
      </c>
      <c r="L95" s="2">
        <v>53.133844999999994</v>
      </c>
      <c r="M95" s="2">
        <v>27.453641599999997</v>
      </c>
      <c r="N95" s="2">
        <v>35.297539200000003</v>
      </c>
      <c r="O95" s="2">
        <v>39.219487999999998</v>
      </c>
    </row>
    <row r="96" spans="1:15" x14ac:dyDescent="0.45">
      <c r="A96" s="6">
        <v>437613</v>
      </c>
      <c r="B96" t="s">
        <v>214</v>
      </c>
      <c r="C96" t="s">
        <v>215</v>
      </c>
      <c r="E96" t="s">
        <v>211</v>
      </c>
      <c r="F96" s="2">
        <v>18.489999999999998</v>
      </c>
      <c r="G96" s="2">
        <v>17.420000000000002</v>
      </c>
      <c r="H96" s="2">
        <v>33.49</v>
      </c>
      <c r="I96" s="2">
        <v>42.66</v>
      </c>
      <c r="J96" s="2">
        <v>43.21</v>
      </c>
      <c r="K96" s="2">
        <v>55.71</v>
      </c>
      <c r="L96" s="2">
        <v>61.27</v>
      </c>
      <c r="M96" s="2">
        <v>31.46</v>
      </c>
      <c r="N96" s="2">
        <v>40.44</v>
      </c>
      <c r="O96" s="2">
        <v>44.94</v>
      </c>
    </row>
    <row r="97" spans="1:15" x14ac:dyDescent="0.45">
      <c r="A97" s="1">
        <v>414939</v>
      </c>
      <c r="B97" t="s">
        <v>121</v>
      </c>
      <c r="C97" t="s">
        <v>120</v>
      </c>
      <c r="D97">
        <v>1</v>
      </c>
      <c r="E97" t="s">
        <v>6</v>
      </c>
      <c r="F97" s="2">
        <v>15.35</v>
      </c>
      <c r="G97" s="2">
        <v>14.47</v>
      </c>
      <c r="H97" s="2">
        <v>29.123374999999996</v>
      </c>
      <c r="I97" s="2">
        <v>37.046830099999994</v>
      </c>
      <c r="J97" s="2">
        <v>37.527039500000001</v>
      </c>
      <c r="K97" s="2">
        <v>48.331750999999997</v>
      </c>
      <c r="L97" s="2">
        <v>53.133844999999994</v>
      </c>
      <c r="M97" s="2">
        <v>27.453641599999997</v>
      </c>
      <c r="N97" s="2">
        <v>35.297539200000003</v>
      </c>
      <c r="O97" s="2">
        <v>39.219487999999998</v>
      </c>
    </row>
    <row r="98" spans="1:15" x14ac:dyDescent="0.45">
      <c r="A98" s="1">
        <v>385663</v>
      </c>
      <c r="B98" t="s">
        <v>123</v>
      </c>
      <c r="C98" t="s">
        <v>122</v>
      </c>
      <c r="D98">
        <v>85</v>
      </c>
      <c r="E98" t="s">
        <v>5</v>
      </c>
      <c r="F98" s="2">
        <v>16.8</v>
      </c>
      <c r="G98" s="2">
        <v>15.831134564643801</v>
      </c>
      <c r="H98" s="2">
        <v>31.664239999999999</v>
      </c>
      <c r="I98" s="2">
        <v>40.2729632</v>
      </c>
      <c r="J98" s="2">
        <v>40.794704000000003</v>
      </c>
      <c r="K98" s="2">
        <v>52.533872000000002</v>
      </c>
      <c r="L98" s="2">
        <v>56.246825751978889</v>
      </c>
      <c r="M98" s="2">
        <v>29.681477572559366</v>
      </c>
      <c r="N98" s="2">
        <v>38.16189973614776</v>
      </c>
      <c r="O98" s="2">
        <v>42.402110817941953</v>
      </c>
    </row>
    <row r="99" spans="1:15" x14ac:dyDescent="0.45">
      <c r="A99" s="1">
        <v>425133</v>
      </c>
      <c r="B99" t="s">
        <v>125</v>
      </c>
      <c r="C99" t="s">
        <v>124</v>
      </c>
      <c r="D99">
        <v>19</v>
      </c>
      <c r="E99" t="s">
        <v>6</v>
      </c>
      <c r="F99" s="2">
        <v>15.35</v>
      </c>
      <c r="G99" s="2">
        <v>14.47</v>
      </c>
      <c r="H99" s="2">
        <v>29.123374999999996</v>
      </c>
      <c r="I99" s="2">
        <v>37.046830099999994</v>
      </c>
      <c r="J99" s="2">
        <v>37.527039500000001</v>
      </c>
      <c r="K99" s="2">
        <v>48.331750999999997</v>
      </c>
      <c r="L99" s="2">
        <v>53.133844999999994</v>
      </c>
      <c r="M99" s="2">
        <v>27.453641599999997</v>
      </c>
      <c r="N99" s="2">
        <v>35.297539200000003</v>
      </c>
      <c r="O99" s="2">
        <v>39.219487999999998</v>
      </c>
    </row>
    <row r="100" spans="1:15" x14ac:dyDescent="0.45">
      <c r="A100" s="1">
        <v>394024</v>
      </c>
      <c r="B100" t="s">
        <v>127</v>
      </c>
      <c r="C100" t="s">
        <v>126</v>
      </c>
      <c r="D100">
        <v>34</v>
      </c>
      <c r="E100" t="s">
        <v>19</v>
      </c>
      <c r="F100" s="2">
        <v>15.98</v>
      </c>
      <c r="G100" s="2">
        <v>15.058424425179044</v>
      </c>
      <c r="H100" s="2">
        <v>30.195949999999996</v>
      </c>
      <c r="I100" s="2">
        <v>38.444602279999998</v>
      </c>
      <c r="J100" s="2">
        <v>38.944520599999997</v>
      </c>
      <c r="K100" s="2">
        <v>50.1926828</v>
      </c>
      <c r="L100" s="2">
        <v>53.75033748586506</v>
      </c>
      <c r="M100" s="2">
        <v>28.570047493403695</v>
      </c>
      <c r="N100" s="2">
        <v>36.732918205804751</v>
      </c>
      <c r="O100" s="2">
        <v>40.81435356200528</v>
      </c>
    </row>
    <row r="101" spans="1:15" x14ac:dyDescent="0.45">
      <c r="A101" s="6">
        <v>437719</v>
      </c>
      <c r="B101" t="s">
        <v>140</v>
      </c>
      <c r="C101" t="s">
        <v>128</v>
      </c>
      <c r="E101" t="s">
        <v>6</v>
      </c>
      <c r="F101" s="2">
        <v>15.35</v>
      </c>
      <c r="G101" s="2">
        <v>14.47</v>
      </c>
      <c r="H101" s="2">
        <v>29.123374999999996</v>
      </c>
      <c r="I101" s="2">
        <v>37.046830099999994</v>
      </c>
      <c r="J101" s="2">
        <v>37.527039500000001</v>
      </c>
      <c r="K101" s="2">
        <v>48.331750999999997</v>
      </c>
      <c r="L101" s="2">
        <v>53.133844999999994</v>
      </c>
      <c r="M101" s="2">
        <v>27.453641599999997</v>
      </c>
      <c r="N101" s="2">
        <v>35.297539200000003</v>
      </c>
      <c r="O101" s="2">
        <v>39.219487999999998</v>
      </c>
    </row>
    <row r="102" spans="1:15" x14ac:dyDescent="0.45">
      <c r="A102" s="1">
        <v>430534</v>
      </c>
      <c r="B102" t="s">
        <v>129</v>
      </c>
      <c r="C102" t="s">
        <v>128</v>
      </c>
      <c r="D102">
        <v>10</v>
      </c>
      <c r="E102" t="s">
        <v>6</v>
      </c>
      <c r="F102" s="2">
        <v>15.35</v>
      </c>
      <c r="G102" s="2">
        <v>14.47</v>
      </c>
      <c r="H102" s="2">
        <v>29.123374999999996</v>
      </c>
      <c r="I102" s="2">
        <v>37.046830099999994</v>
      </c>
      <c r="J102" s="2">
        <v>37.527039500000001</v>
      </c>
      <c r="K102" s="2">
        <v>48.331750999999997</v>
      </c>
      <c r="L102" s="2">
        <v>53.133844999999994</v>
      </c>
      <c r="M102" s="2">
        <v>27.453641599999997</v>
      </c>
      <c r="N102" s="2">
        <v>35.297539200000003</v>
      </c>
      <c r="O102" s="2">
        <v>39.219487999999998</v>
      </c>
    </row>
    <row r="103" spans="1:15" x14ac:dyDescent="0.45">
      <c r="A103" s="1">
        <v>392915</v>
      </c>
      <c r="B103" t="s">
        <v>131</v>
      </c>
      <c r="C103" t="s">
        <v>130</v>
      </c>
      <c r="D103">
        <v>76</v>
      </c>
      <c r="E103" t="s">
        <v>10</v>
      </c>
      <c r="F103" s="2">
        <v>15.75</v>
      </c>
      <c r="G103" s="2">
        <v>14.841688654353563</v>
      </c>
      <c r="H103" s="2">
        <v>29.872100000000003</v>
      </c>
      <c r="I103" s="2">
        <v>37.942778000000004</v>
      </c>
      <c r="J103" s="2">
        <v>38.431910000000002</v>
      </c>
      <c r="K103" s="2">
        <v>49.437380000000005</v>
      </c>
      <c r="L103" s="2">
        <v>52.918274142480215</v>
      </c>
      <c r="M103" s="2">
        <v>27.826385224274407</v>
      </c>
      <c r="N103" s="2">
        <v>35.776781002638522</v>
      </c>
      <c r="O103" s="2">
        <v>39.751978891820585</v>
      </c>
    </row>
    <row r="104" spans="1:15" x14ac:dyDescent="0.45">
      <c r="A104" s="1">
        <v>422228</v>
      </c>
      <c r="B104" t="s">
        <v>133</v>
      </c>
      <c r="C104" t="s">
        <v>132</v>
      </c>
      <c r="D104">
        <v>25</v>
      </c>
      <c r="E104" t="s">
        <v>6</v>
      </c>
      <c r="F104" s="2">
        <v>15.35</v>
      </c>
      <c r="G104" s="2">
        <v>14.47</v>
      </c>
      <c r="H104" s="2">
        <v>29.123374999999996</v>
      </c>
      <c r="I104" s="2">
        <v>37.046830099999994</v>
      </c>
      <c r="J104" s="2">
        <v>37.527039500000001</v>
      </c>
      <c r="K104" s="2">
        <v>48.331750999999997</v>
      </c>
      <c r="L104" s="2">
        <v>53.133844999999994</v>
      </c>
      <c r="M104" s="2">
        <v>27.453641599999997</v>
      </c>
      <c r="N104" s="2">
        <v>35.297539200000003</v>
      </c>
      <c r="O104" s="2">
        <v>39.219487999999998</v>
      </c>
    </row>
    <row r="105" spans="1:15" x14ac:dyDescent="0.45">
      <c r="A105" s="1">
        <v>414835</v>
      </c>
      <c r="B105" t="s">
        <v>135</v>
      </c>
      <c r="C105" t="s">
        <v>134</v>
      </c>
      <c r="D105">
        <v>28</v>
      </c>
      <c r="E105" t="s">
        <v>6</v>
      </c>
      <c r="F105" s="2">
        <v>15.35</v>
      </c>
      <c r="G105" s="2">
        <v>14.47</v>
      </c>
      <c r="H105" s="2">
        <v>29.123374999999996</v>
      </c>
      <c r="I105" s="2">
        <v>37.046830099999994</v>
      </c>
      <c r="J105" s="2">
        <v>37.527039500000001</v>
      </c>
      <c r="K105" s="2">
        <v>48.331750999999997</v>
      </c>
      <c r="L105" s="2">
        <v>53.133844999999994</v>
      </c>
      <c r="M105" s="2">
        <v>27.453641599999997</v>
      </c>
      <c r="N105" s="2">
        <v>35.297539200000003</v>
      </c>
      <c r="O105" s="2">
        <v>39.219487999999998</v>
      </c>
    </row>
    <row r="106" spans="1:15" x14ac:dyDescent="0.45">
      <c r="A106" s="1">
        <v>339970</v>
      </c>
      <c r="B106" t="s">
        <v>137</v>
      </c>
      <c r="C106" t="s">
        <v>136</v>
      </c>
      <c r="D106">
        <v>68</v>
      </c>
      <c r="E106" t="s">
        <v>7</v>
      </c>
      <c r="F106" s="2">
        <v>15.55</v>
      </c>
      <c r="G106" s="2">
        <v>14.653222766679233</v>
      </c>
      <c r="H106" s="2">
        <v>29.530740000000002</v>
      </c>
      <c r="I106" s="2">
        <v>37.498933200000003</v>
      </c>
      <c r="J106" s="2">
        <v>37.981854000000006</v>
      </c>
      <c r="K106" s="2">
        <v>48.847572</v>
      </c>
      <c r="L106" s="2">
        <v>52.284264312099516</v>
      </c>
      <c r="M106" s="2">
        <v>27.473034300791561</v>
      </c>
      <c r="N106" s="2">
        <v>35.322472672446295</v>
      </c>
      <c r="O106" s="2">
        <v>39.247191858273659</v>
      </c>
    </row>
    <row r="107" spans="1:15" x14ac:dyDescent="0.45">
      <c r="A107" s="1">
        <v>374717</v>
      </c>
      <c r="B107" t="s">
        <v>138</v>
      </c>
      <c r="C107" t="s">
        <v>136</v>
      </c>
      <c r="D107">
        <v>162</v>
      </c>
      <c r="E107" t="s">
        <v>8</v>
      </c>
      <c r="F107" s="2">
        <v>15.95</v>
      </c>
      <c r="G107" s="2">
        <v>15.030154542027894</v>
      </c>
      <c r="H107" s="2">
        <v>30.213459999999998</v>
      </c>
      <c r="I107" s="2">
        <v>38.386622799999998</v>
      </c>
      <c r="J107" s="2">
        <v>38.881965999999998</v>
      </c>
      <c r="K107" s="2">
        <v>50.027187999999995</v>
      </c>
      <c r="L107" s="2">
        <v>53.552283972860913</v>
      </c>
      <c r="M107" s="2">
        <v>28.179736147757254</v>
      </c>
      <c r="N107" s="2">
        <v>36.231089332830763</v>
      </c>
      <c r="O107" s="2">
        <v>40.25676592536751</v>
      </c>
    </row>
    <row r="108" spans="1:15" x14ac:dyDescent="0.45">
      <c r="A108" s="1">
        <v>385157</v>
      </c>
      <c r="B108" t="s">
        <v>140</v>
      </c>
      <c r="C108" t="s">
        <v>139</v>
      </c>
      <c r="D108">
        <v>61</v>
      </c>
      <c r="E108" t="s">
        <v>16</v>
      </c>
      <c r="F108" s="2">
        <v>16.579999999999998</v>
      </c>
      <c r="G108" s="2">
        <v>15.623822088202035</v>
      </c>
      <c r="H108" s="2">
        <v>31.288744000000001</v>
      </c>
      <c r="I108" s="2">
        <v>39.784733920000001</v>
      </c>
      <c r="J108" s="2">
        <v>40.299642400000003</v>
      </c>
      <c r="K108" s="2">
        <v>51.885083199999997</v>
      </c>
      <c r="L108" s="2">
        <v>55.549414938560119</v>
      </c>
      <c r="M108" s="2">
        <v>29.292791556728226</v>
      </c>
      <c r="N108" s="2">
        <v>37.662160572936294</v>
      </c>
      <c r="O108" s="2">
        <v>41.846845081040328</v>
      </c>
    </row>
    <row r="109" spans="1:15" x14ac:dyDescent="0.45">
      <c r="A109" s="1">
        <v>351958</v>
      </c>
      <c r="B109" t="s">
        <v>142</v>
      </c>
      <c r="C109" t="s">
        <v>141</v>
      </c>
      <c r="D109">
        <v>85</v>
      </c>
      <c r="E109" t="s">
        <v>10</v>
      </c>
      <c r="F109" s="2">
        <v>15.75</v>
      </c>
      <c r="G109" s="2">
        <v>14.841688654353563</v>
      </c>
      <c r="H109" s="2">
        <v>29.872100000000003</v>
      </c>
      <c r="I109" s="2">
        <v>37.942778000000004</v>
      </c>
      <c r="J109" s="2">
        <v>38.431910000000002</v>
      </c>
      <c r="K109" s="2">
        <v>49.437380000000005</v>
      </c>
      <c r="L109" s="2">
        <v>52.918274142480215</v>
      </c>
      <c r="M109" s="2">
        <v>27.826385224274407</v>
      </c>
      <c r="N109" s="2">
        <v>35.776781002638522</v>
      </c>
      <c r="O109" s="2">
        <v>39.751978891820585</v>
      </c>
    </row>
    <row r="110" spans="1:15" x14ac:dyDescent="0.45">
      <c r="A110" s="1">
        <v>414770</v>
      </c>
      <c r="B110" t="s">
        <v>143</v>
      </c>
      <c r="C110" t="s">
        <v>141</v>
      </c>
      <c r="D110">
        <v>28</v>
      </c>
      <c r="E110" t="s">
        <v>6</v>
      </c>
      <c r="F110" s="2">
        <v>15.35</v>
      </c>
      <c r="G110" s="2">
        <v>14.47</v>
      </c>
      <c r="H110" s="2">
        <v>29.123374999999996</v>
      </c>
      <c r="I110" s="2">
        <v>37.046830099999994</v>
      </c>
      <c r="J110" s="2">
        <v>37.527039500000001</v>
      </c>
      <c r="K110" s="2">
        <v>48.331750999999997</v>
      </c>
      <c r="L110" s="2">
        <v>53.133844999999994</v>
      </c>
      <c r="M110" s="2">
        <v>27.453641599999997</v>
      </c>
      <c r="N110" s="2">
        <v>35.297539200000003</v>
      </c>
      <c r="O110" s="2">
        <v>39.219487999999998</v>
      </c>
    </row>
    <row r="111" spans="1:15" x14ac:dyDescent="0.45">
      <c r="A111" s="1">
        <v>400662</v>
      </c>
      <c r="B111" t="s">
        <v>145</v>
      </c>
      <c r="C111" t="s">
        <v>144</v>
      </c>
      <c r="D111">
        <v>51</v>
      </c>
      <c r="E111" t="s">
        <v>7</v>
      </c>
      <c r="F111" s="2">
        <v>15.55</v>
      </c>
      <c r="G111" s="2">
        <v>14.653222766679233</v>
      </c>
      <c r="H111" s="2">
        <v>29.530740000000002</v>
      </c>
      <c r="I111" s="2">
        <v>37.498933200000003</v>
      </c>
      <c r="J111" s="2">
        <v>37.981854000000006</v>
      </c>
      <c r="K111" s="2">
        <v>48.847572</v>
      </c>
      <c r="L111" s="2">
        <v>52.284264312099516</v>
      </c>
      <c r="M111" s="2">
        <v>27.473034300791561</v>
      </c>
      <c r="N111" s="2">
        <v>35.322472672446295</v>
      </c>
      <c r="O111" s="2">
        <v>39.247191858273659</v>
      </c>
    </row>
    <row r="112" spans="1:15" x14ac:dyDescent="0.45">
      <c r="A112" s="1">
        <v>423898</v>
      </c>
      <c r="B112" t="s">
        <v>147</v>
      </c>
      <c r="C112" t="s">
        <v>146</v>
      </c>
      <c r="D112">
        <v>22</v>
      </c>
      <c r="F112" s="2">
        <v>16.34</v>
      </c>
      <c r="G112" s="2">
        <v>15.397663022992839</v>
      </c>
      <c r="H112" s="2">
        <v>30.80885</v>
      </c>
      <c r="I112" s="2">
        <v>39.243329240000001</v>
      </c>
      <c r="J112" s="2">
        <v>39.754509800000001</v>
      </c>
      <c r="K112" s="2">
        <v>51.256072400000001</v>
      </c>
      <c r="L112" s="2">
        <v>54.893874500565403</v>
      </c>
      <c r="M112" s="2">
        <v>29.213678100263852</v>
      </c>
      <c r="N112" s="2">
        <v>37.560443271767809</v>
      </c>
      <c r="O112" s="2">
        <v>41.73382585751979</v>
      </c>
    </row>
    <row r="113" spans="1:15" x14ac:dyDescent="0.45">
      <c r="A113" s="1">
        <v>402430</v>
      </c>
      <c r="B113" t="s">
        <v>149</v>
      </c>
      <c r="C113" t="s">
        <v>148</v>
      </c>
      <c r="D113">
        <v>18</v>
      </c>
      <c r="E113" t="s">
        <v>6</v>
      </c>
      <c r="F113" s="2">
        <v>15.35</v>
      </c>
      <c r="G113" s="2">
        <v>14.47</v>
      </c>
      <c r="H113" s="2">
        <v>29.123374999999996</v>
      </c>
      <c r="I113" s="2">
        <v>37.046830099999994</v>
      </c>
      <c r="J113" s="2">
        <v>37.527039500000001</v>
      </c>
      <c r="K113" s="2">
        <v>48.331750999999997</v>
      </c>
      <c r="L113" s="2">
        <v>53.133844999999994</v>
      </c>
      <c r="M113" s="2">
        <v>27.453641599999997</v>
      </c>
      <c r="N113" s="2">
        <v>35.297539200000003</v>
      </c>
      <c r="O113" s="2">
        <v>39.219487999999998</v>
      </c>
    </row>
    <row r="114" spans="1:15" x14ac:dyDescent="0.45">
      <c r="A114" s="6">
        <v>413691</v>
      </c>
      <c r="B114" t="s">
        <v>205</v>
      </c>
      <c r="C114" t="s">
        <v>150</v>
      </c>
      <c r="E114" t="s">
        <v>12</v>
      </c>
      <c r="F114" s="2">
        <v>16.34</v>
      </c>
      <c r="G114" s="2">
        <v>15.397663022992839</v>
      </c>
      <c r="H114" s="2">
        <v>30.80885</v>
      </c>
      <c r="I114" s="2">
        <v>39.243329240000001</v>
      </c>
      <c r="J114" s="2">
        <v>39.754509800000001</v>
      </c>
      <c r="K114" s="2">
        <v>51.256072400000001</v>
      </c>
      <c r="L114" s="2">
        <v>54.893874500565403</v>
      </c>
      <c r="M114" s="2">
        <v>29.213678100263852</v>
      </c>
      <c r="N114" s="2">
        <v>37.560443271767809</v>
      </c>
      <c r="O114" s="2">
        <v>41.73382585751979</v>
      </c>
    </row>
    <row r="115" spans="1:15" x14ac:dyDescent="0.45">
      <c r="A115" s="6">
        <v>419428</v>
      </c>
      <c r="B115" t="s">
        <v>220</v>
      </c>
      <c r="C115" t="s">
        <v>150</v>
      </c>
      <c r="E115" t="s">
        <v>6</v>
      </c>
      <c r="F115" s="2">
        <v>15.35</v>
      </c>
      <c r="G115" s="2">
        <v>14.47</v>
      </c>
      <c r="H115" s="2">
        <v>29.123374999999996</v>
      </c>
      <c r="I115" s="2">
        <v>37.046830099999994</v>
      </c>
      <c r="J115" s="2">
        <v>37.527039500000001</v>
      </c>
      <c r="K115" s="2">
        <v>48.331750999999997</v>
      </c>
      <c r="L115" s="2">
        <v>53.133844999999994</v>
      </c>
      <c r="M115" s="2">
        <v>27.453641599999997</v>
      </c>
      <c r="N115" s="2">
        <v>35.297539200000003</v>
      </c>
      <c r="O115" s="2">
        <v>39.219487999999998</v>
      </c>
    </row>
    <row r="116" spans="1:15" x14ac:dyDescent="0.45">
      <c r="A116" s="1">
        <v>326167</v>
      </c>
      <c r="B116" t="s">
        <v>151</v>
      </c>
      <c r="C116" t="s">
        <v>150</v>
      </c>
      <c r="D116">
        <v>65</v>
      </c>
      <c r="E116" t="s">
        <v>16</v>
      </c>
      <c r="F116" s="2">
        <v>16.579999999999998</v>
      </c>
      <c r="G116" s="2">
        <v>15.623822088202035</v>
      </c>
      <c r="H116" s="2">
        <v>31.288744000000001</v>
      </c>
      <c r="I116" s="2">
        <v>39.784733920000001</v>
      </c>
      <c r="J116" s="2">
        <v>40.299642400000003</v>
      </c>
      <c r="K116" s="2">
        <v>51.885083199999997</v>
      </c>
      <c r="L116" s="2">
        <v>55.549414938560119</v>
      </c>
      <c r="M116" s="2">
        <v>29.292791556728226</v>
      </c>
      <c r="N116" s="2">
        <v>37.662160572936294</v>
      </c>
      <c r="O116" s="2">
        <v>41.846845081040328</v>
      </c>
    </row>
    <row r="117" spans="1:15" x14ac:dyDescent="0.45">
      <c r="A117" s="1">
        <v>434589</v>
      </c>
      <c r="B117" t="s">
        <v>153</v>
      </c>
      <c r="C117" t="s">
        <v>152</v>
      </c>
      <c r="D117">
        <v>1</v>
      </c>
      <c r="E117" t="s">
        <v>6</v>
      </c>
      <c r="F117" s="2">
        <v>15.35</v>
      </c>
      <c r="G117" s="2">
        <v>14.47</v>
      </c>
      <c r="H117" s="2">
        <v>29.123374999999996</v>
      </c>
      <c r="I117" s="2">
        <v>37.046830099999994</v>
      </c>
      <c r="J117" s="2">
        <v>37.527039500000001</v>
      </c>
      <c r="K117" s="2">
        <v>48.331750999999997</v>
      </c>
      <c r="L117" s="2">
        <v>53.133844999999994</v>
      </c>
      <c r="M117" s="2">
        <v>27.453641599999997</v>
      </c>
      <c r="N117" s="2">
        <v>35.297539200000003</v>
      </c>
      <c r="O117" s="2">
        <v>39.219487999999998</v>
      </c>
    </row>
    <row r="118" spans="1:15" x14ac:dyDescent="0.45">
      <c r="A118" s="6">
        <v>408629</v>
      </c>
      <c r="B118" t="s">
        <v>256</v>
      </c>
      <c r="C118" t="s">
        <v>257</v>
      </c>
      <c r="E118" t="s">
        <v>6</v>
      </c>
      <c r="F118" s="2">
        <v>15.35</v>
      </c>
      <c r="G118" s="2">
        <v>14.47</v>
      </c>
      <c r="H118" s="2">
        <v>29.123374999999996</v>
      </c>
      <c r="I118" s="2">
        <v>37.046830099999994</v>
      </c>
      <c r="J118" s="2">
        <v>37.527039500000001</v>
      </c>
      <c r="K118" s="2">
        <v>48.331750999999997</v>
      </c>
      <c r="L118" s="2">
        <v>53.133844999999994</v>
      </c>
      <c r="M118" s="2">
        <v>27.453641599999997</v>
      </c>
      <c r="N118" s="2">
        <v>35.297539200000003</v>
      </c>
      <c r="O118" s="2">
        <v>39.219487999999998</v>
      </c>
    </row>
    <row r="119" spans="1:15" x14ac:dyDescent="0.45">
      <c r="A119" s="1">
        <v>380662</v>
      </c>
      <c r="B119" t="s">
        <v>155</v>
      </c>
      <c r="C119" t="s">
        <v>154</v>
      </c>
      <c r="D119">
        <v>85</v>
      </c>
      <c r="E119" t="s">
        <v>10</v>
      </c>
      <c r="F119" s="2">
        <v>15.75</v>
      </c>
      <c r="G119" s="2">
        <v>14.841688654353563</v>
      </c>
      <c r="H119" s="2">
        <v>29.872100000000003</v>
      </c>
      <c r="I119" s="2">
        <v>37.942778000000004</v>
      </c>
      <c r="J119" s="2">
        <v>38.431910000000002</v>
      </c>
      <c r="K119" s="2">
        <v>49.437380000000005</v>
      </c>
      <c r="L119" s="2">
        <v>52.918274142480215</v>
      </c>
      <c r="M119" s="2">
        <v>27.826385224274407</v>
      </c>
      <c r="N119" s="2">
        <v>35.776781002638522</v>
      </c>
      <c r="O119" s="2">
        <v>39.751978891820585</v>
      </c>
    </row>
    <row r="120" spans="1:15" x14ac:dyDescent="0.45">
      <c r="A120" s="1">
        <v>375106</v>
      </c>
      <c r="B120" t="s">
        <v>156</v>
      </c>
      <c r="C120" t="s">
        <v>154</v>
      </c>
      <c r="D120">
        <v>130</v>
      </c>
      <c r="E120" t="s">
        <v>8</v>
      </c>
      <c r="F120" s="2">
        <v>15.95</v>
      </c>
      <c r="G120" s="2">
        <v>15.030154542027894</v>
      </c>
      <c r="H120" s="2">
        <v>30.213459999999998</v>
      </c>
      <c r="I120" s="2">
        <v>38.386622799999998</v>
      </c>
      <c r="J120" s="2">
        <v>38.881965999999998</v>
      </c>
      <c r="K120" s="2">
        <v>50.027187999999995</v>
      </c>
      <c r="L120" s="2">
        <v>53.552283972860913</v>
      </c>
      <c r="M120" s="2">
        <v>28.179736147757254</v>
      </c>
      <c r="N120" s="2">
        <v>36.231089332830763</v>
      </c>
      <c r="O120" s="2">
        <v>40.25676592536751</v>
      </c>
    </row>
    <row r="121" spans="1:15" x14ac:dyDescent="0.45">
      <c r="A121" s="1">
        <v>400658</v>
      </c>
      <c r="B121" t="s">
        <v>157</v>
      </c>
      <c r="C121" t="s">
        <v>154</v>
      </c>
      <c r="D121">
        <v>51</v>
      </c>
      <c r="E121" t="s">
        <v>7</v>
      </c>
      <c r="F121" s="2">
        <v>15.55</v>
      </c>
      <c r="G121" s="2">
        <v>14.653222766679233</v>
      </c>
      <c r="H121" s="2">
        <v>29.463875000000002</v>
      </c>
      <c r="I121" s="2">
        <v>37.490567300000002</v>
      </c>
      <c r="J121" s="2">
        <v>37.977033500000005</v>
      </c>
      <c r="K121" s="2">
        <v>48.922523000000005</v>
      </c>
      <c r="L121" s="2">
        <v>52.384446051639657</v>
      </c>
      <c r="M121" s="2">
        <v>27.801266490765176</v>
      </c>
      <c r="N121" s="2">
        <v>35.744485488126656</v>
      </c>
      <c r="O121" s="2">
        <v>39.716094986807391</v>
      </c>
    </row>
    <row r="122" spans="1:15" x14ac:dyDescent="0.45">
      <c r="A122" s="1">
        <v>421063</v>
      </c>
      <c r="B122" t="s">
        <v>159</v>
      </c>
      <c r="C122" t="s">
        <v>158</v>
      </c>
      <c r="D122">
        <v>28</v>
      </c>
      <c r="E122" t="s">
        <v>19</v>
      </c>
      <c r="F122" s="2">
        <v>15.98</v>
      </c>
      <c r="G122" s="2">
        <v>15.058424425179044</v>
      </c>
      <c r="H122" s="2">
        <v>30.195949999999996</v>
      </c>
      <c r="I122" s="2">
        <v>38.444602279999998</v>
      </c>
      <c r="J122" s="2">
        <v>38.944520599999997</v>
      </c>
      <c r="K122" s="2">
        <v>50.1926828</v>
      </c>
      <c r="L122" s="2">
        <v>53.75033748586506</v>
      </c>
      <c r="M122" s="2">
        <v>28.570047493403695</v>
      </c>
      <c r="N122" s="2">
        <v>36.732918205804751</v>
      </c>
      <c r="O122" s="2">
        <v>40.81435356200528</v>
      </c>
    </row>
    <row r="123" spans="1:15" x14ac:dyDescent="0.45">
      <c r="A123" s="6">
        <v>438434</v>
      </c>
      <c r="B123" t="s">
        <v>237</v>
      </c>
      <c r="C123" t="s">
        <v>160</v>
      </c>
      <c r="E123" t="s">
        <v>6</v>
      </c>
      <c r="F123" s="2">
        <v>15.35</v>
      </c>
      <c r="G123" s="2">
        <v>14.47</v>
      </c>
      <c r="H123" s="2">
        <v>29.123374999999996</v>
      </c>
      <c r="I123" s="2">
        <v>37.046830099999994</v>
      </c>
      <c r="J123" s="2">
        <v>37.527039500000001</v>
      </c>
      <c r="K123" s="2">
        <v>48.331750999999997</v>
      </c>
      <c r="L123" s="2">
        <v>53.133844999999994</v>
      </c>
      <c r="M123" s="2">
        <v>27.453641599999997</v>
      </c>
      <c r="N123" s="2">
        <v>35.297539200000003</v>
      </c>
      <c r="O123" s="2">
        <v>39.219487999999998</v>
      </c>
    </row>
    <row r="124" spans="1:15" x14ac:dyDescent="0.45">
      <c r="A124" s="1">
        <v>357329</v>
      </c>
      <c r="B124" t="s">
        <v>161</v>
      </c>
      <c r="C124" t="s">
        <v>160</v>
      </c>
      <c r="D124">
        <v>146</v>
      </c>
      <c r="E124" t="s">
        <v>13</v>
      </c>
      <c r="F124" s="2">
        <v>16.63</v>
      </c>
      <c r="G124" s="2">
        <v>15.670938560120618</v>
      </c>
      <c r="H124" s="2">
        <v>31.374084000000003</v>
      </c>
      <c r="I124" s="2">
        <v>39.895695120000006</v>
      </c>
      <c r="J124" s="2">
        <v>40.412156400000001</v>
      </c>
      <c r="K124" s="2">
        <v>52.032535199999998</v>
      </c>
      <c r="L124" s="2">
        <v>55.707917396155295</v>
      </c>
      <c r="M124" s="2">
        <v>29.381129287598938</v>
      </c>
      <c r="N124" s="2">
        <v>37.775737655484356</v>
      </c>
      <c r="O124" s="2">
        <v>41.973041839427061</v>
      </c>
    </row>
    <row r="125" spans="1:15" x14ac:dyDescent="0.45">
      <c r="A125" s="6">
        <v>437665</v>
      </c>
      <c r="B125" t="s">
        <v>207</v>
      </c>
      <c r="C125" t="s">
        <v>208</v>
      </c>
      <c r="E125" t="s">
        <v>16</v>
      </c>
      <c r="F125" s="2">
        <v>16.57</v>
      </c>
      <c r="G125" s="2">
        <v>15.61</v>
      </c>
      <c r="H125" s="2">
        <v>31.2</v>
      </c>
      <c r="I125" s="2">
        <v>39.784733920000001</v>
      </c>
      <c r="J125" s="2">
        <v>40.299642400000003</v>
      </c>
      <c r="K125" s="2">
        <v>51.885083199999997</v>
      </c>
      <c r="L125" s="2">
        <v>55.549414938560119</v>
      </c>
      <c r="M125" s="2">
        <v>29.292791556728226</v>
      </c>
      <c r="N125" s="2">
        <v>37.662160572936294</v>
      </c>
      <c r="O125" s="2">
        <v>41.846845081040328</v>
      </c>
    </row>
    <row r="126" spans="1:15" x14ac:dyDescent="0.45">
      <c r="A126" s="1">
        <v>411771</v>
      </c>
      <c r="B126" t="s">
        <v>163</v>
      </c>
      <c r="C126" t="s">
        <v>162</v>
      </c>
      <c r="D126">
        <v>48</v>
      </c>
      <c r="E126" t="s">
        <v>7</v>
      </c>
      <c r="F126" s="2">
        <v>15.55</v>
      </c>
      <c r="G126" s="2">
        <v>14.653222766679233</v>
      </c>
      <c r="H126" s="2">
        <v>29.530740000000002</v>
      </c>
      <c r="I126" s="2">
        <v>37.498933200000003</v>
      </c>
      <c r="J126" s="2">
        <v>37.981854000000006</v>
      </c>
      <c r="K126" s="2">
        <v>48.847572</v>
      </c>
      <c r="L126" s="2">
        <v>53.676780000000001</v>
      </c>
      <c r="M126" s="2">
        <v>27.473034300791561</v>
      </c>
      <c r="N126" s="2">
        <v>35.322472672446295</v>
      </c>
      <c r="O126" s="2">
        <v>39.247191858273659</v>
      </c>
    </row>
    <row r="127" spans="1:15" x14ac:dyDescent="0.45">
      <c r="A127" s="6">
        <v>437474</v>
      </c>
      <c r="B127" t="s">
        <v>223</v>
      </c>
      <c r="C127" t="s">
        <v>224</v>
      </c>
      <c r="E127" t="s">
        <v>6</v>
      </c>
      <c r="F127" s="2">
        <v>15.35</v>
      </c>
      <c r="G127" s="2">
        <v>14.47</v>
      </c>
      <c r="H127" s="2">
        <v>29.123374999999996</v>
      </c>
      <c r="I127" s="2">
        <v>37.046830099999994</v>
      </c>
      <c r="J127" s="2">
        <v>37.527039500000001</v>
      </c>
      <c r="K127" s="2">
        <v>48.331750999999997</v>
      </c>
      <c r="L127" s="2">
        <v>53.133844999999994</v>
      </c>
      <c r="M127" s="2">
        <v>27.453641599999997</v>
      </c>
      <c r="N127" s="2">
        <v>35.297539200000003</v>
      </c>
      <c r="O127" s="2">
        <v>39.219487999999998</v>
      </c>
    </row>
    <row r="128" spans="1:15" x14ac:dyDescent="0.45">
      <c r="A128" s="6">
        <v>438592</v>
      </c>
      <c r="B128" t="s">
        <v>235</v>
      </c>
      <c r="C128" t="s">
        <v>236</v>
      </c>
      <c r="E128" t="s">
        <v>12</v>
      </c>
      <c r="F128" s="2">
        <v>16.34</v>
      </c>
      <c r="G128" s="2">
        <v>15.397663022992839</v>
      </c>
      <c r="H128" s="2">
        <v>30.80885</v>
      </c>
      <c r="I128" s="2">
        <v>39.243329240000001</v>
      </c>
      <c r="J128" s="2">
        <v>39.754509800000001</v>
      </c>
      <c r="K128" s="2">
        <v>51.256072400000001</v>
      </c>
      <c r="L128" s="2">
        <v>54.893874500565403</v>
      </c>
      <c r="M128" s="2">
        <v>29.213678100263852</v>
      </c>
      <c r="N128" s="2">
        <v>37.560443271767809</v>
      </c>
      <c r="O128" s="2">
        <v>41.73382585751979</v>
      </c>
    </row>
    <row r="129" spans="1:15" x14ac:dyDescent="0.45">
      <c r="A129" s="1">
        <v>425707</v>
      </c>
      <c r="B129" t="s">
        <v>165</v>
      </c>
      <c r="C129" t="s">
        <v>164</v>
      </c>
      <c r="D129">
        <v>18</v>
      </c>
      <c r="E129" t="s">
        <v>12</v>
      </c>
      <c r="F129" s="2">
        <v>16.34</v>
      </c>
      <c r="G129" s="2">
        <v>15.397663022992839</v>
      </c>
      <c r="H129" s="2">
        <v>30.80885</v>
      </c>
      <c r="I129" s="2">
        <v>39.243329240000001</v>
      </c>
      <c r="J129" s="2">
        <v>39.754509800000001</v>
      </c>
      <c r="K129" s="2">
        <v>51.256072400000001</v>
      </c>
      <c r="L129" s="2">
        <v>54.893874500565403</v>
      </c>
      <c r="M129" s="2">
        <v>29.213678100263852</v>
      </c>
      <c r="N129" s="2">
        <v>37.560443271767809</v>
      </c>
      <c r="O129" s="2">
        <v>41.73382585751979</v>
      </c>
    </row>
    <row r="130" spans="1:15" x14ac:dyDescent="0.45">
      <c r="A130" s="1">
        <v>375056</v>
      </c>
      <c r="B130" t="s">
        <v>167</v>
      </c>
      <c r="C130" t="s">
        <v>166</v>
      </c>
      <c r="D130">
        <v>304</v>
      </c>
      <c r="E130" t="s">
        <v>11</v>
      </c>
      <c r="F130" s="2">
        <v>17.03</v>
      </c>
      <c r="G130" s="2">
        <v>16.047870335469284</v>
      </c>
      <c r="H130" s="2">
        <v>31.084391000000004</v>
      </c>
      <c r="I130" s="2">
        <v>39.526604780000007</v>
      </c>
      <c r="J130" s="2">
        <v>40.038254100000003</v>
      </c>
      <c r="K130" s="2">
        <v>51.550363800000007</v>
      </c>
      <c r="L130" s="2">
        <v>55.191501817941962</v>
      </c>
      <c r="M130" s="2">
        <v>28.977960422163594</v>
      </c>
      <c r="N130" s="2">
        <v>37.257377685638907</v>
      </c>
      <c r="O130" s="2">
        <v>41.397086317376569</v>
      </c>
    </row>
    <row r="131" spans="1:15" x14ac:dyDescent="0.45">
      <c r="A131" s="1"/>
      <c r="B131" t="s">
        <v>198</v>
      </c>
      <c r="C131" t="s">
        <v>166</v>
      </c>
      <c r="E131" t="s">
        <v>6</v>
      </c>
      <c r="F131" s="2">
        <v>15.35</v>
      </c>
      <c r="G131" s="2">
        <v>14.47</v>
      </c>
      <c r="H131" s="2">
        <v>29.123374999999996</v>
      </c>
      <c r="I131" s="2">
        <v>37.046830099999994</v>
      </c>
      <c r="J131" s="2">
        <v>37.527039500000001</v>
      </c>
      <c r="K131" s="2">
        <v>48.331750999999997</v>
      </c>
      <c r="L131" s="2">
        <v>53.133844999999994</v>
      </c>
      <c r="M131" s="2">
        <v>27.453641599999997</v>
      </c>
      <c r="N131" s="2">
        <v>35.297539200000003</v>
      </c>
      <c r="O131" s="2">
        <v>39.219487999999998</v>
      </c>
    </row>
    <row r="132" spans="1:15" x14ac:dyDescent="0.45">
      <c r="A132" s="6">
        <v>436423</v>
      </c>
      <c r="B132" t="s">
        <v>203</v>
      </c>
      <c r="C132" t="s">
        <v>166</v>
      </c>
      <c r="E132" t="s">
        <v>6</v>
      </c>
      <c r="F132" s="2">
        <v>15.35</v>
      </c>
      <c r="G132" s="2">
        <v>14.47</v>
      </c>
      <c r="H132" s="2">
        <v>29.123374999999996</v>
      </c>
      <c r="I132" s="2">
        <v>37.046830099999994</v>
      </c>
      <c r="J132" s="2">
        <v>37.527039500000001</v>
      </c>
      <c r="K132" s="2">
        <v>48.331750999999997</v>
      </c>
      <c r="L132" s="2">
        <v>53.133844999999994</v>
      </c>
      <c r="M132" s="2">
        <v>27.453641599999997</v>
      </c>
      <c r="N132" s="2">
        <v>35.297539200000003</v>
      </c>
      <c r="O132" s="2">
        <v>39.219487999999998</v>
      </c>
    </row>
    <row r="133" spans="1:15" x14ac:dyDescent="0.45">
      <c r="A133" s="1">
        <v>422556</v>
      </c>
      <c r="B133" t="s">
        <v>169</v>
      </c>
      <c r="C133" t="s">
        <v>168</v>
      </c>
      <c r="D133">
        <v>22</v>
      </c>
      <c r="E133" t="s">
        <v>12</v>
      </c>
      <c r="F133" s="2">
        <v>16.34</v>
      </c>
      <c r="G133" s="2">
        <v>15.397663022992839</v>
      </c>
      <c r="H133" s="2">
        <v>30.80885</v>
      </c>
      <c r="I133" s="2">
        <v>39.243329240000001</v>
      </c>
      <c r="J133" s="2">
        <v>39.754509800000001</v>
      </c>
      <c r="K133" s="2">
        <v>51.256072400000001</v>
      </c>
      <c r="L133" s="2">
        <v>56.367878000000005</v>
      </c>
      <c r="M133" s="2">
        <v>29.213678100263852</v>
      </c>
      <c r="N133" s="2">
        <v>37.560443271767809</v>
      </c>
      <c r="O133" s="2">
        <v>41.73382585751979</v>
      </c>
    </row>
    <row r="134" spans="1:15" x14ac:dyDescent="0.45">
      <c r="A134" s="1">
        <v>427595</v>
      </c>
      <c r="B134" t="s">
        <v>171</v>
      </c>
      <c r="C134" t="s">
        <v>170</v>
      </c>
      <c r="D134">
        <v>17</v>
      </c>
      <c r="E134" t="s">
        <v>6</v>
      </c>
      <c r="F134" s="2">
        <v>15.35</v>
      </c>
      <c r="G134" s="2">
        <v>14.47</v>
      </c>
      <c r="H134" s="2">
        <v>29.123374999999996</v>
      </c>
      <c r="I134" s="2">
        <v>37.046830099999994</v>
      </c>
      <c r="J134" s="2">
        <v>37.527039500000001</v>
      </c>
      <c r="K134" s="2">
        <v>48.331750999999997</v>
      </c>
      <c r="L134" s="2">
        <v>53.133844999999994</v>
      </c>
      <c r="M134" s="2">
        <v>27.453641599999997</v>
      </c>
      <c r="N134" s="2">
        <v>35.297539200000003</v>
      </c>
      <c r="O134" s="2">
        <v>39.219487999999998</v>
      </c>
    </row>
    <row r="135" spans="1:15" x14ac:dyDescent="0.45">
      <c r="A135" s="6">
        <v>438979</v>
      </c>
      <c r="B135" t="s">
        <v>263</v>
      </c>
      <c r="C135" t="s">
        <v>264</v>
      </c>
      <c r="E135" t="s">
        <v>6</v>
      </c>
      <c r="F135" s="2">
        <v>15.35</v>
      </c>
      <c r="G135" s="2">
        <v>14.47</v>
      </c>
      <c r="H135" s="2">
        <v>29.123374999999996</v>
      </c>
      <c r="I135" s="2">
        <v>37.046830099999994</v>
      </c>
      <c r="J135" s="2">
        <v>37.527039500000001</v>
      </c>
      <c r="K135" s="2">
        <v>48.331750999999997</v>
      </c>
      <c r="L135" s="2">
        <v>53.133844999999994</v>
      </c>
      <c r="M135" s="2">
        <v>27.453641599999997</v>
      </c>
      <c r="N135" s="2">
        <v>35.297539200000003</v>
      </c>
      <c r="O135" s="2">
        <v>39.219487999999998</v>
      </c>
    </row>
    <row r="136" spans="1:15" x14ac:dyDescent="0.45">
      <c r="A136" s="1" t="s">
        <v>244</v>
      </c>
      <c r="B136" t="s">
        <v>242</v>
      </c>
      <c r="C136" t="s">
        <v>243</v>
      </c>
      <c r="E136" t="s">
        <v>6</v>
      </c>
      <c r="F136" s="2">
        <v>15.35</v>
      </c>
      <c r="G136" s="2">
        <v>14.47</v>
      </c>
      <c r="H136" s="2">
        <v>29.123374999999996</v>
      </c>
      <c r="I136" s="2">
        <v>37.046830099999994</v>
      </c>
      <c r="J136" s="2">
        <v>37.527039500000001</v>
      </c>
      <c r="K136" s="2">
        <v>48.331750999999997</v>
      </c>
      <c r="L136" s="2">
        <v>53.133844999999994</v>
      </c>
      <c r="M136" s="2">
        <v>27.453641599999997</v>
      </c>
      <c r="N136" s="2">
        <v>35.297539200000003</v>
      </c>
      <c r="O136" s="2">
        <v>39.219487999999998</v>
      </c>
    </row>
    <row r="137" spans="1:15" x14ac:dyDescent="0.45">
      <c r="A137" s="1">
        <v>375181</v>
      </c>
      <c r="B137" t="s">
        <v>173</v>
      </c>
      <c r="C137" t="s">
        <v>172</v>
      </c>
      <c r="D137">
        <v>319</v>
      </c>
      <c r="E137" t="s">
        <v>20</v>
      </c>
      <c r="F137" s="2">
        <v>16.84</v>
      </c>
      <c r="G137" s="2">
        <v>15.868827742178667</v>
      </c>
      <c r="H137" s="2">
        <v>30.770947999999997</v>
      </c>
      <c r="I137" s="2">
        <v>39.118973839999995</v>
      </c>
      <c r="J137" s="2">
        <v>39.624914799999999</v>
      </c>
      <c r="K137" s="2">
        <v>51.008586399999999</v>
      </c>
      <c r="L137" s="2">
        <v>54.609101034300792</v>
      </c>
      <c r="M137" s="2">
        <v>28.654659630606858</v>
      </c>
      <c r="N137" s="2">
        <v>36.841705239351683</v>
      </c>
      <c r="O137" s="2">
        <v>40.935228043724088</v>
      </c>
    </row>
    <row r="138" spans="1:15" x14ac:dyDescent="0.45">
      <c r="A138" s="1">
        <v>422725</v>
      </c>
      <c r="B138" t="s">
        <v>175</v>
      </c>
      <c r="C138" t="s">
        <v>174</v>
      </c>
      <c r="D138">
        <v>22</v>
      </c>
      <c r="E138" t="s">
        <v>12</v>
      </c>
      <c r="F138" s="2">
        <v>16.34</v>
      </c>
      <c r="G138" s="2">
        <v>15.397663022992839</v>
      </c>
      <c r="H138" s="2">
        <v>30.80885</v>
      </c>
      <c r="I138" s="2">
        <v>39.243329240000001</v>
      </c>
      <c r="J138" s="2">
        <v>39.754509800000001</v>
      </c>
      <c r="K138" s="2">
        <v>51.256072400000001</v>
      </c>
      <c r="L138" s="2">
        <v>54.893874500565403</v>
      </c>
      <c r="M138" s="2">
        <v>29.213678100263852</v>
      </c>
      <c r="N138" s="2">
        <v>37.560443271767809</v>
      </c>
      <c r="O138" s="2">
        <v>41.73382585751979</v>
      </c>
    </row>
    <row r="139" spans="1:15" x14ac:dyDescent="0.45">
      <c r="A139" s="1">
        <v>388619</v>
      </c>
      <c r="B139" t="s">
        <v>177</v>
      </c>
      <c r="C139" t="s">
        <v>176</v>
      </c>
      <c r="D139">
        <v>80</v>
      </c>
      <c r="E139" t="s">
        <v>5</v>
      </c>
      <c r="F139" s="2">
        <v>16.8</v>
      </c>
      <c r="G139" s="2">
        <v>15.831134564643801</v>
      </c>
      <c r="H139" s="2">
        <v>31.664239999999999</v>
      </c>
      <c r="I139" s="2">
        <v>40.2729632</v>
      </c>
      <c r="J139" s="2">
        <v>40.794704000000003</v>
      </c>
      <c r="K139" s="2">
        <v>52.533872000000002</v>
      </c>
      <c r="L139" s="2">
        <v>56.246825751978889</v>
      </c>
      <c r="M139" s="2">
        <v>29.681477572559366</v>
      </c>
      <c r="N139" s="2">
        <v>38.16189973614776</v>
      </c>
      <c r="O139" s="2">
        <v>42.402110817941953</v>
      </c>
    </row>
    <row r="141" spans="1:15" x14ac:dyDescent="0.45">
      <c r="H141" s="7"/>
      <c r="I141" s="2"/>
      <c r="J141" s="2"/>
      <c r="K141" s="2"/>
      <c r="L141" s="2"/>
      <c r="M141" s="2"/>
      <c r="N141" s="2"/>
      <c r="O141" s="2"/>
    </row>
    <row r="148" spans="1:1" ht="15.75" x14ac:dyDescent="0.45">
      <c r="A148" s="8"/>
    </row>
  </sheetData>
  <autoFilter ref="A1:O139" xr:uid="{5381AE54-3900-433C-A20A-C5CB7F2CEC70}">
    <sortState xmlns:xlrd2="http://schemas.microsoft.com/office/spreadsheetml/2017/richdata2" ref="A2:O139">
      <sortCondition ref="C1:C139"/>
    </sortState>
  </autoFilter>
  <conditionalFormatting sqref="A187:A1048576 A1:A13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23C0-22E3-49C9-9733-23D35081F2D5}">
  <dimension ref="B2:G231"/>
  <sheetViews>
    <sheetView workbookViewId="0">
      <selection activeCell="E22" sqref="E22"/>
    </sheetView>
  </sheetViews>
  <sheetFormatPr defaultRowHeight="14.25" x14ac:dyDescent="0.45"/>
  <sheetData>
    <row r="2" spans="2:7" x14ac:dyDescent="0.45">
      <c r="B2" t="str" cm="1">
        <f t="array" ref="B2:B140">_xlfn._xlws.SORT(_xlfn.UNIQUE(G2:G231))</f>
        <v/>
      </c>
      <c r="G2" t="str">
        <f>_xlfn.TEXTJOIN(" ", TRUE, Blad1!B2:C2)</f>
        <v>Cimoszko Adam</v>
      </c>
    </row>
    <row r="3" spans="2:7" x14ac:dyDescent="0.45">
      <c r="B3" t="str">
        <v>Adamska Daria</v>
      </c>
      <c r="G3" t="str">
        <f>_xlfn.TEXTJOIN(" ", TRUE, Blad1!B3:C3)</f>
        <v>Cwioro Agnieszka</v>
      </c>
    </row>
    <row r="4" spans="2:7" x14ac:dyDescent="0.45">
      <c r="B4" t="str">
        <v>Andryjanczyk Przemyslaw</v>
      </c>
      <c r="G4" t="str">
        <f>_xlfn.TEXTJOIN(" ", TRUE, Blad1!B4:C4)</f>
        <v>Kosior Agnieszka</v>
      </c>
    </row>
    <row r="5" spans="2:7" x14ac:dyDescent="0.45">
      <c r="B5" t="str">
        <v>Arhipova Inna</v>
      </c>
      <c r="G5" t="str">
        <f>_xlfn.TEXTJOIN(" ", TRUE, Blad1!B5:C5)</f>
        <v>Rogalska Agnieszka</v>
      </c>
    </row>
    <row r="6" spans="2:7" x14ac:dyDescent="0.45">
      <c r="B6" t="str">
        <v>Babics David</v>
      </c>
      <c r="G6" t="str">
        <f>_xlfn.TEXTJOIN(" ", TRUE, Blad1!B6:C6)</f>
        <v>Ziolkowska Agnieszka</v>
      </c>
    </row>
    <row r="7" spans="2:7" x14ac:dyDescent="0.45">
      <c r="B7" t="str">
        <v>Baraniuk Beata</v>
      </c>
      <c r="G7" t="str">
        <f>_xlfn.TEXTJOIN(" ", TRUE, Blad1!B7:C7)</f>
        <v>Garcia Ocampo Alejandro</v>
      </c>
    </row>
    <row r="8" spans="2:7" x14ac:dyDescent="0.45">
      <c r="B8" t="str">
        <v>Baselga Alvarez de Lorenzana Lucia</v>
      </c>
      <c r="G8" t="str">
        <f>_xlfn.TEXTJOIN(" ", TRUE, Blad1!B8:C8)</f>
        <v>Ciszewska Aleksandra</v>
      </c>
    </row>
    <row r="9" spans="2:7" x14ac:dyDescent="0.45">
      <c r="B9" t="str">
        <v>Bender Kinga</v>
      </c>
      <c r="G9" t="str">
        <f>_xlfn.TEXTJOIN(" ", TRUE, Blad1!B9:C9)</f>
        <v>Spataru Alexandru</v>
      </c>
    </row>
    <row r="10" spans="2:7" x14ac:dyDescent="0.45">
      <c r="B10" t="str">
        <v>Bierczak Piotr</v>
      </c>
      <c r="G10" t="str">
        <f>_xlfn.TEXTJOIN(" ", TRUE, Blad1!B10:C10)</f>
        <v>Ionas Alin</v>
      </c>
    </row>
    <row r="11" spans="2:7" x14ac:dyDescent="0.45">
      <c r="B11" t="str">
        <v>Bisliukas Armandas</v>
      </c>
      <c r="G11" t="str">
        <f>_xlfn.TEXTJOIN(" ", TRUE, Blad1!B11:C11)</f>
        <v>Calzado Marin Alvaro</v>
      </c>
    </row>
    <row r="12" spans="2:7" x14ac:dyDescent="0.45">
      <c r="B12" t="str">
        <v>Calzado Marin Alvaro</v>
      </c>
      <c r="G12" t="str">
        <f>_xlfn.TEXTJOIN(" ", TRUE, Blad1!B12:C12)</f>
        <v>Jankowski Andrzej</v>
      </c>
    </row>
    <row r="13" spans="2:7" x14ac:dyDescent="0.45">
      <c r="B13" t="str">
        <v>Chlipala Marzena</v>
      </c>
      <c r="G13" t="str">
        <f>_xlfn.TEXTJOIN(" ", TRUE, Blad1!B13:C13)</f>
        <v>Damaso Gonzalez Angel</v>
      </c>
    </row>
    <row r="14" spans="2:7" x14ac:dyDescent="0.45">
      <c r="B14" t="str">
        <v>Chwalinska Izabela</v>
      </c>
      <c r="G14" t="str">
        <f>_xlfn.TEXTJOIN(" ", TRUE, Blad1!B14:C14)</f>
        <v>Cyran Anna</v>
      </c>
    </row>
    <row r="15" spans="2:7" x14ac:dyDescent="0.45">
      <c r="B15" t="str">
        <v>Cimoszko Adam</v>
      </c>
      <c r="G15" t="str">
        <f>_xlfn.TEXTJOIN(" ", TRUE, Blad1!B15:C15)</f>
        <v>Gajewska Anna</v>
      </c>
    </row>
    <row r="16" spans="2:7" x14ac:dyDescent="0.45">
      <c r="B16" t="str">
        <v>Cimponer Georgiana</v>
      </c>
      <c r="G16" t="str">
        <f>_xlfn.TEXTJOIN(" ", TRUE, Blad1!B16:C16)</f>
        <v>Kulak Anna</v>
      </c>
    </row>
    <row r="17" spans="2:7" x14ac:dyDescent="0.45">
      <c r="B17" t="str">
        <v>Ciszewska Aleksandra</v>
      </c>
      <c r="G17" t="str">
        <f>_xlfn.TEXTJOIN(" ", TRUE, Blad1!B17:C17)</f>
        <v>Mikulska Anna</v>
      </c>
    </row>
    <row r="18" spans="2:7" x14ac:dyDescent="0.45">
      <c r="B18" t="str">
        <v>Ciz David</v>
      </c>
      <c r="G18" t="str">
        <f>_xlfn.TEXTJOIN(" ", TRUE, Blad1!B18:C18)</f>
        <v>Recka Anna</v>
      </c>
    </row>
    <row r="19" spans="2:7" x14ac:dyDescent="0.45">
      <c r="B19" t="str">
        <v>Colaco Eden</v>
      </c>
      <c r="G19" t="str">
        <f>_xlfn.TEXTJOIN(" ", TRUE, Blad1!B19:C19)</f>
        <v>Manuca Antonio</v>
      </c>
    </row>
    <row r="20" spans="2:7" x14ac:dyDescent="0.45">
      <c r="B20" t="str">
        <v>Costa Pedro</v>
      </c>
      <c r="G20" t="str">
        <f>_xlfn.TEXTJOIN(" ", TRUE, Blad1!B20:C20)</f>
        <v>Koralewski Arkadiusz</v>
      </c>
    </row>
    <row r="21" spans="2:7" x14ac:dyDescent="0.45">
      <c r="B21" t="str">
        <v>Cwioro Agnieszka</v>
      </c>
      <c r="G21" t="str">
        <f>_xlfn.TEXTJOIN(" ", TRUE, Blad1!B21:C21)</f>
        <v>Bisliukas Armandas</v>
      </c>
    </row>
    <row r="22" spans="2:7" x14ac:dyDescent="0.45">
      <c r="B22" t="str">
        <v>Cyran Anna</v>
      </c>
      <c r="G22" t="str">
        <f>_xlfn.TEXTJOIN(" ", TRUE, Blad1!B22:C22)</f>
        <v>Holubowska Barbara</v>
      </c>
    </row>
    <row r="23" spans="2:7" x14ac:dyDescent="0.45">
      <c r="B23" t="str">
        <v>Czajkowski Jaroslaw</v>
      </c>
      <c r="G23" t="str">
        <f>_xlfn.TEXTJOIN(" ", TRUE, Blad1!B23:C23)</f>
        <v>Baraniuk Beata</v>
      </c>
    </row>
    <row r="24" spans="2:7" x14ac:dyDescent="0.45">
      <c r="B24" t="str">
        <v>Damaso Gonzalez Angel</v>
      </c>
      <c r="G24" t="str">
        <f>_xlfn.TEXTJOIN(" ", TRUE, Blad1!B24:C24)</f>
        <v>Marczak Beata</v>
      </c>
    </row>
    <row r="25" spans="2:7" x14ac:dyDescent="0.45">
      <c r="B25" t="str">
        <v>Dlugolecki Grzegorz</v>
      </c>
      <c r="G25" t="str">
        <f>_xlfn.TEXTJOIN(" ", TRUE, Blad1!B25:C25)</f>
        <v>Mlynarczyk Bogumil</v>
      </c>
    </row>
    <row r="26" spans="2:7" x14ac:dyDescent="0.45">
      <c r="B26" t="str">
        <v>Drabik Renata</v>
      </c>
      <c r="G26" t="str">
        <f>_xlfn.TEXTJOIN(" ", TRUE, Blad1!B26:C26)</f>
        <v>Hanus Branislav</v>
      </c>
    </row>
    <row r="27" spans="2:7" x14ac:dyDescent="0.45">
      <c r="B27" t="str">
        <v>Drozdziel Martin</v>
      </c>
      <c r="G27" t="str">
        <f>_xlfn.TEXTJOIN(" ", TRUE, Blad1!B27:C27)</f>
        <v>Filipek Damian</v>
      </c>
    </row>
    <row r="28" spans="2:7" x14ac:dyDescent="0.45">
      <c r="B28" t="str">
        <v>Durak Renata</v>
      </c>
      <c r="G28" t="str">
        <f>_xlfn.TEXTJOIN(" ", TRUE, Blad1!B28:C28)</f>
        <v>Motyka Damian</v>
      </c>
    </row>
    <row r="29" spans="2:7" x14ac:dyDescent="0.45">
      <c r="B29" t="str">
        <v>Fernandes Lopes Leticia</v>
      </c>
      <c r="G29" t="str">
        <f>_xlfn.TEXTJOIN(" ", TRUE, Blad1!B29:C29)</f>
        <v>Ferradas Echevarria Daniel</v>
      </c>
    </row>
    <row r="30" spans="2:7" x14ac:dyDescent="0.45">
      <c r="B30" t="str">
        <v>Ferradas Echevarria Daniel</v>
      </c>
      <c r="G30" t="str">
        <f>_xlfn.TEXTJOIN(" ", TRUE, Blad1!B30:C30)</f>
        <v>Lopez Ventura Daniel</v>
      </c>
    </row>
    <row r="31" spans="2:7" x14ac:dyDescent="0.45">
      <c r="B31" t="str">
        <v>Filipek Damian</v>
      </c>
      <c r="G31" t="str">
        <f>_xlfn.TEXTJOIN(" ", TRUE, Blad1!B31:C31)</f>
        <v>Pikta Daniel</v>
      </c>
    </row>
    <row r="32" spans="2:7" x14ac:dyDescent="0.45">
      <c r="B32" t="str">
        <v>Gajewska Anna</v>
      </c>
      <c r="G32" t="str">
        <f>_xlfn.TEXTJOIN(" ", TRUE, Blad1!B32:C32)</f>
        <v>Wilczak Daniel</v>
      </c>
    </row>
    <row r="33" spans="2:7" x14ac:dyDescent="0.45">
      <c r="B33" t="str">
        <v>Garcia Ocampo Alejandro</v>
      </c>
      <c r="G33" t="str">
        <f>_xlfn.TEXTJOIN(" ", TRUE, Blad1!B33:C33)</f>
        <v>Adamska Daria</v>
      </c>
    </row>
    <row r="34" spans="2:7" x14ac:dyDescent="0.45">
      <c r="B34" t="str">
        <v>Glabien Dariusz</v>
      </c>
      <c r="G34" t="str">
        <f>_xlfn.TEXTJOIN(" ", TRUE, Blad1!B34:C34)</f>
        <v>Major Daria</v>
      </c>
    </row>
    <row r="35" spans="2:7" x14ac:dyDescent="0.45">
      <c r="B35" t="str">
        <v>Grucelski Marcin</v>
      </c>
      <c r="G35" t="str">
        <f>_xlfn.TEXTJOIN(" ", TRUE, Blad1!B35:C35)</f>
        <v>Glabien Dariusz</v>
      </c>
    </row>
    <row r="36" spans="2:7" x14ac:dyDescent="0.45">
      <c r="B36" t="str">
        <v>Hajduk Lukasz</v>
      </c>
      <c r="G36" t="str">
        <f>_xlfn.TEXTJOIN(" ", TRUE, Blad1!B36:C36)</f>
        <v>Babics David</v>
      </c>
    </row>
    <row r="37" spans="2:7" x14ac:dyDescent="0.45">
      <c r="B37" t="str">
        <v>Hanus Branislav</v>
      </c>
      <c r="G37" t="str">
        <f>_xlfn.TEXTJOIN(" ", TRUE, Blad1!B37:C37)</f>
        <v>Ciz David</v>
      </c>
    </row>
    <row r="38" spans="2:7" x14ac:dyDescent="0.45">
      <c r="B38" t="str">
        <v>Holubowska Barbara</v>
      </c>
      <c r="G38" t="str">
        <f>_xlfn.TEXTJOIN(" ", TRUE, Blad1!B38:C38)</f>
        <v>Kutermak Dawid</v>
      </c>
    </row>
    <row r="39" spans="2:7" x14ac:dyDescent="0.45">
      <c r="B39" t="str">
        <v>Ionas Alin</v>
      </c>
      <c r="G39" t="str">
        <f>_xlfn.TEXTJOIN(" ", TRUE, Blad1!B39:C39)</f>
        <v>Szpakowski Dawid</v>
      </c>
    </row>
    <row r="40" spans="2:7" x14ac:dyDescent="0.45">
      <c r="B40" t="str">
        <v>Jankowska Paulina</v>
      </c>
      <c r="G40" t="str">
        <f>_xlfn.TEXTJOIN(" ", TRUE, Blad1!B40:C40)</f>
        <v>Kijak Dominik</v>
      </c>
    </row>
    <row r="41" spans="2:7" x14ac:dyDescent="0.45">
      <c r="B41" t="str">
        <v>Jankowski Andrzej</v>
      </c>
      <c r="G41" t="str">
        <f>_xlfn.TEXTJOIN(" ", TRUE, Blad1!B41:C41)</f>
        <v>Szulewska Dorota</v>
      </c>
    </row>
    <row r="42" spans="2:7" x14ac:dyDescent="0.45">
      <c r="B42" t="str">
        <v>Jaroszewska Karolina</v>
      </c>
      <c r="G42" t="str">
        <f>_xlfn.TEXTJOIN(" ", TRUE, Blad1!B42:C42)</f>
        <v>Colaco Eden</v>
      </c>
    </row>
    <row r="43" spans="2:7" x14ac:dyDescent="0.45">
      <c r="B43" t="str">
        <v>Jarullina Viktorija</v>
      </c>
      <c r="G43" t="str">
        <f>_xlfn.TEXTJOIN(" ", TRUE, Blad1!B43:C43)</f>
        <v>Rusnik Edward</v>
      </c>
    </row>
    <row r="44" spans="2:7" x14ac:dyDescent="0.45">
      <c r="B44" t="str">
        <v>Jaworski Miroslaw</v>
      </c>
      <c r="G44" t="str">
        <f>_xlfn.TEXTJOIN(" ", TRUE, Blad1!B44:C44)</f>
        <v>Nemeti Elisei</v>
      </c>
    </row>
    <row r="45" spans="2:7" x14ac:dyDescent="0.45">
      <c r="B45" t="str">
        <v>Jaworski Patryk</v>
      </c>
      <c r="G45" t="str">
        <f>_xlfn.TEXTJOIN(" ", TRUE, Blad1!B45:C45)</f>
        <v>Przybyszewska Elzbieta</v>
      </c>
    </row>
    <row r="46" spans="2:7" x14ac:dyDescent="0.45">
      <c r="B46" t="str">
        <v>Kaniowski Pawel</v>
      </c>
      <c r="G46" t="str">
        <f>_xlfn.TEXTJOIN(" ", TRUE, Blad1!B46:C46)</f>
        <v>Koszny Ewa</v>
      </c>
    </row>
    <row r="47" spans="2:7" x14ac:dyDescent="0.45">
      <c r="B47" t="str">
        <v>Karklevalks Tom</v>
      </c>
      <c r="G47" t="str">
        <f>_xlfn.TEXTJOIN(" ", TRUE, Blad1!B47:C47)</f>
        <v>Vaivod Gabriel</v>
      </c>
    </row>
    <row r="48" spans="2:7" x14ac:dyDescent="0.45">
      <c r="B48" t="str">
        <v>Karlica Zoran</v>
      </c>
      <c r="G48" t="str">
        <f>_xlfn.TEXTJOIN(" ", TRUE, Blad1!B48:C48)</f>
        <v>Cimponer Georgiana</v>
      </c>
    </row>
    <row r="49" spans="2:7" x14ac:dyDescent="0.45">
      <c r="B49" t="str">
        <v>Kasileviciute Gerda</v>
      </c>
      <c r="G49" t="str">
        <f>_xlfn.TEXTJOIN(" ", TRUE, Blad1!B49:C49)</f>
        <v>Kasileviciute Gerda</v>
      </c>
    </row>
    <row r="50" spans="2:7" x14ac:dyDescent="0.45">
      <c r="B50" t="str">
        <v>Kauklys Rolandas</v>
      </c>
      <c r="G50" t="str">
        <f>_xlfn.TEXTJOIN(" ", TRUE, Blad1!B50:C50)</f>
        <v>Dlugolecki Grzegorz</v>
      </c>
    </row>
    <row r="51" spans="2:7" x14ac:dyDescent="0.45">
      <c r="B51" t="str">
        <v>Kaziura Katarzyna</v>
      </c>
      <c r="G51" t="str">
        <f>_xlfn.TEXTJOIN(" ", TRUE, Blad1!B51:C51)</f>
        <v>Potapski Grzegorz</v>
      </c>
    </row>
    <row r="52" spans="2:7" x14ac:dyDescent="0.45">
      <c r="B52" t="str">
        <v>Kaziura Klaudiusz</v>
      </c>
      <c r="G52" t="str">
        <f>_xlfn.TEXTJOIN(" ", TRUE, Blad1!B52:C52)</f>
        <v>Wojdylo Grzegorz</v>
      </c>
    </row>
    <row r="53" spans="2:7" x14ac:dyDescent="0.45">
      <c r="B53" t="str">
        <v>Kijak Dominik</v>
      </c>
      <c r="G53" t="str">
        <f>_xlfn.TEXTJOIN(" ", TRUE, Blad1!B53:C53)</f>
        <v>Kijak Hanna</v>
      </c>
    </row>
    <row r="54" spans="2:7" x14ac:dyDescent="0.45">
      <c r="B54" t="str">
        <v>Kijak Hanna</v>
      </c>
      <c r="G54" t="str">
        <f>_xlfn.TEXTJOIN(" ", TRUE, Blad1!B54:C54)</f>
        <v>Koltonowska Honorata</v>
      </c>
    </row>
    <row r="55" spans="2:7" x14ac:dyDescent="0.45">
      <c r="B55" t="str">
        <v>Klein Robert</v>
      </c>
      <c r="G55" t="str">
        <f>_xlfn.TEXTJOIN(" ", TRUE, Blad1!B55:C55)</f>
        <v>Moldovanov Hristian</v>
      </c>
    </row>
    <row r="56" spans="2:7" x14ac:dyDescent="0.45">
      <c r="B56" t="str">
        <v>Kloc Mariusz</v>
      </c>
      <c r="G56" t="str">
        <f>_xlfn.TEXTJOIN(" ", TRUE, Blad1!B56:C56)</f>
        <v>Arhipova Inna</v>
      </c>
    </row>
    <row r="57" spans="2:7" x14ac:dyDescent="0.45">
      <c r="B57" t="str">
        <v>Kocel Konrad</v>
      </c>
      <c r="G57" t="str">
        <f>_xlfn.TEXTJOIN(" ", TRUE, Blad1!B57:C57)</f>
        <v>Toana Ionel</v>
      </c>
    </row>
    <row r="58" spans="2:7" x14ac:dyDescent="0.45">
      <c r="B58" t="str">
        <v>Koltonowska Honorata</v>
      </c>
      <c r="G58" t="str">
        <f>_xlfn.TEXTJOIN(" ", TRUE, Blad1!B58:C58)</f>
        <v>Kupcikova Iva</v>
      </c>
    </row>
    <row r="59" spans="2:7" x14ac:dyDescent="0.45">
      <c r="B59" t="str">
        <v>Kondrowska Karolina</v>
      </c>
      <c r="G59" t="str">
        <f>_xlfn.TEXTJOIN(" ", TRUE, Blad1!B59:C59)</f>
        <v>Chwalinska Izabela</v>
      </c>
    </row>
    <row r="60" spans="2:7" x14ac:dyDescent="0.45">
      <c r="B60" t="str">
        <v>Koralewski Arkadiusz</v>
      </c>
      <c r="G60" t="str">
        <f>_xlfn.TEXTJOIN(" ", TRUE, Blad1!B60:C60)</f>
        <v>Oleksy Izabela</v>
      </c>
    </row>
    <row r="61" spans="2:7" x14ac:dyDescent="0.45">
      <c r="B61" t="str">
        <v>Kosior Agnieszka</v>
      </c>
      <c r="G61" t="str">
        <f>_xlfn.TEXTJOIN(" ", TRUE, Blad1!B61:C61)</f>
        <v>Podstavek Jakub</v>
      </c>
    </row>
    <row r="62" spans="2:7" x14ac:dyDescent="0.45">
      <c r="B62" t="str">
        <v>Koszny Ewa</v>
      </c>
      <c r="G62" t="str">
        <f>_xlfn.TEXTJOIN(" ", TRUE, Blad1!B62:C62)</f>
        <v>Czajkowski Jaroslaw</v>
      </c>
    </row>
    <row r="63" spans="2:7" x14ac:dyDescent="0.45">
      <c r="B63" t="str">
        <v>Kovacova Martina</v>
      </c>
      <c r="G63" t="str">
        <f>_xlfn.TEXTJOIN(" ", TRUE, Blad1!B63:C63)</f>
        <v>Muc Jerzy</v>
      </c>
    </row>
    <row r="64" spans="2:7" x14ac:dyDescent="0.45">
      <c r="B64" t="str">
        <v>Kozel Peter</v>
      </c>
      <c r="G64" t="str">
        <f>_xlfn.TEXTJOIN(" ", TRUE, Blad1!B64:C64)</f>
        <v>Perczyk Justyna</v>
      </c>
    </row>
    <row r="65" spans="2:7" x14ac:dyDescent="0.45">
      <c r="B65" t="str">
        <v>Kozlowski Tomasz</v>
      </c>
      <c r="G65" t="str">
        <f>_xlfn.TEXTJOIN(" ", TRUE, Blad1!B65:C65)</f>
        <v>Mierzejewski Kamil</v>
      </c>
    </row>
    <row r="66" spans="2:7" x14ac:dyDescent="0.45">
      <c r="B66" t="str">
        <v>Kulak Anna</v>
      </c>
      <c r="G66" t="str">
        <f>_xlfn.TEXTJOIN(" ", TRUE, Blad1!B66:C66)</f>
        <v>Jaroszewska Karolina</v>
      </c>
    </row>
    <row r="67" spans="2:7" x14ac:dyDescent="0.45">
      <c r="B67" t="str">
        <v>Kupcikova Iva</v>
      </c>
      <c r="G67" t="str">
        <f>_xlfn.TEXTJOIN(" ", TRUE, Blad1!B67:C67)</f>
        <v>Kondrowska Karolina</v>
      </c>
    </row>
    <row r="68" spans="2:7" x14ac:dyDescent="0.45">
      <c r="B68" t="str">
        <v>Kutermak Dawid</v>
      </c>
      <c r="G68" t="str">
        <f>_xlfn.TEXTJOIN(" ", TRUE, Blad1!B68:C68)</f>
        <v>Mlodzinska Karolina</v>
      </c>
    </row>
    <row r="69" spans="2:7" x14ac:dyDescent="0.45">
      <c r="B69" t="str">
        <v>Kutkiewicz Katarzyna</v>
      </c>
      <c r="G69" t="str">
        <f>_xlfn.TEXTJOIN(" ", TRUE, Blad1!B69:C69)</f>
        <v>Kaziura Katarzyna</v>
      </c>
    </row>
    <row r="70" spans="2:7" x14ac:dyDescent="0.45">
      <c r="B70" t="str">
        <v>Kwiecinska Patrycja</v>
      </c>
      <c r="G70" t="str">
        <f>_xlfn.TEXTJOIN(" ", TRUE, Blad1!B70:C70)</f>
        <v>Kutkiewicz Katarzyna</v>
      </c>
    </row>
    <row r="71" spans="2:7" x14ac:dyDescent="0.45">
      <c r="B71" t="str">
        <v>Lenart Richard</v>
      </c>
      <c r="G71" t="str">
        <f>_xlfn.TEXTJOIN(" ", TRUE, Blad1!B71:C71)</f>
        <v>Skrzypczak Kewin</v>
      </c>
    </row>
    <row r="72" spans="2:7" x14ac:dyDescent="0.45">
      <c r="B72" t="str">
        <v>Lopez Ventura Daniel</v>
      </c>
      <c r="G72" t="str">
        <f>_xlfn.TEXTJOIN(" ", TRUE, Blad1!B72:C72)</f>
        <v>Bender Kinga</v>
      </c>
    </row>
    <row r="73" spans="2:7" x14ac:dyDescent="0.45">
      <c r="B73" t="str">
        <v>Madej Marta</v>
      </c>
      <c r="G73" t="str">
        <f>_xlfn.TEXTJOIN(" ", TRUE, Blad1!B73:C73)</f>
        <v>Tamosiunas Kipras</v>
      </c>
    </row>
    <row r="74" spans="2:7" x14ac:dyDescent="0.45">
      <c r="B74" t="str">
        <v>Madry Slawomir</v>
      </c>
      <c r="G74" t="str">
        <f>_xlfn.TEXTJOIN(" ", TRUE, Blad1!B74:C74)</f>
        <v>Kaziura Klaudiusz</v>
      </c>
    </row>
    <row r="75" spans="2:7" x14ac:dyDescent="0.45">
      <c r="B75" t="str">
        <v>Major Daria</v>
      </c>
      <c r="G75" t="str">
        <f>_xlfn.TEXTJOIN(" ", TRUE, Blad1!B75:C75)</f>
        <v>Kocel Konrad</v>
      </c>
    </row>
    <row r="76" spans="2:7" x14ac:dyDescent="0.45">
      <c r="B76" t="str">
        <v>Maksin Lubos</v>
      </c>
      <c r="G76" t="str">
        <f>_xlfn.TEXTJOIN(" ", TRUE, Blad1!B76:C76)</f>
        <v>Mogilnicki Konrad</v>
      </c>
    </row>
    <row r="77" spans="2:7" x14ac:dyDescent="0.45">
      <c r="B77" t="str">
        <v>Mankowska Paulina</v>
      </c>
      <c r="G77" t="str">
        <f>_xlfn.TEXTJOIN(" ", TRUE, Blad1!B77:C77)</f>
        <v>Sulewski Konrad</v>
      </c>
    </row>
    <row r="78" spans="2:7" x14ac:dyDescent="0.45">
      <c r="B78" t="str">
        <v>Manuca Antonio</v>
      </c>
      <c r="G78" t="str">
        <f>_xlfn.TEXTJOIN(" ", TRUE, Blad1!B78:C78)</f>
        <v>Pasiali Krystyna</v>
      </c>
    </row>
    <row r="79" spans="2:7" x14ac:dyDescent="0.45">
      <c r="B79" t="str">
        <v>Marczak Beata</v>
      </c>
      <c r="G79" t="str">
        <f>_xlfn.TEXTJOIN(" ", TRUE, Blad1!B79:C79)</f>
        <v>Polanski Krzysztof</v>
      </c>
    </row>
    <row r="80" spans="2:7" x14ac:dyDescent="0.45">
      <c r="B80" t="str">
        <v>Marek Magdalena</v>
      </c>
      <c r="G80" t="str">
        <f>_xlfn.TEXTJOIN(" ", TRUE, Blad1!B80:C80)</f>
        <v>Fernandes Lopes Leticia</v>
      </c>
    </row>
    <row r="81" spans="2:7" x14ac:dyDescent="0.45">
      <c r="B81" t="str">
        <v>Marques Wilson</v>
      </c>
      <c r="G81" t="str">
        <f>_xlfn.TEXTJOIN(" ", TRUE, Blad1!B81:C81)</f>
        <v>Maksin Lubos</v>
      </c>
    </row>
    <row r="82" spans="2:7" x14ac:dyDescent="0.45">
      <c r="B82" t="str">
        <v>Mierzejewski Kamil</v>
      </c>
      <c r="G82" t="str">
        <f>_xlfn.TEXTJOIN(" ", TRUE, Blad1!B82:C82)</f>
        <v>Baselga Alvarez de Lorenzana Lucia</v>
      </c>
    </row>
    <row r="83" spans="2:7" x14ac:dyDescent="0.45">
      <c r="B83" t="str">
        <v>Mikolajczyk Monika</v>
      </c>
      <c r="G83" t="str">
        <f>_xlfn.TEXTJOIN(" ", TRUE, Blad1!B83:C83)</f>
        <v>Hajduk Lukasz</v>
      </c>
    </row>
    <row r="84" spans="2:7" x14ac:dyDescent="0.45">
      <c r="B84" t="str">
        <v>Mikulska Anna</v>
      </c>
      <c r="G84" t="str">
        <f>_xlfn.TEXTJOIN(" ", TRUE, Blad1!B84:C84)</f>
        <v>Wolanin Maciej</v>
      </c>
    </row>
    <row r="85" spans="2:7" x14ac:dyDescent="0.45">
      <c r="B85" t="str">
        <v>Milon Oliwia</v>
      </c>
      <c r="G85" t="str">
        <f>_xlfn.TEXTJOIN(" ", TRUE, Blad1!B85:C85)</f>
        <v>Marek Magdalena</v>
      </c>
    </row>
    <row r="86" spans="2:7" x14ac:dyDescent="0.45">
      <c r="B86" t="str">
        <v>Mlodzinska Karolina</v>
      </c>
      <c r="G86" t="str">
        <f>_xlfn.TEXTJOIN(" ", TRUE, Blad1!B86:C86)</f>
        <v>Pasieka Malgorzata</v>
      </c>
    </row>
    <row r="87" spans="2:7" x14ac:dyDescent="0.45">
      <c r="B87" t="str">
        <v>Mlynarczyk Bogumil</v>
      </c>
      <c r="G87" t="str">
        <f>_xlfn.TEXTJOIN(" ", TRUE, Blad1!B87:C87)</f>
        <v>Urbanowicz Malgorzata</v>
      </c>
    </row>
    <row r="88" spans="2:7" x14ac:dyDescent="0.45">
      <c r="B88" t="str">
        <v>Mogilnicki Konrad</v>
      </c>
      <c r="G88" t="str">
        <f>_xlfn.TEXTJOIN(" ", TRUE, Blad1!B88:C88)</f>
        <v>Grucelski Marcin</v>
      </c>
    </row>
    <row r="89" spans="2:7" x14ac:dyDescent="0.45">
      <c r="B89" t="str">
        <v>Moldovanov Hristian</v>
      </c>
      <c r="G89" t="str">
        <f>_xlfn.TEXTJOIN(" ", TRUE, Blad1!B89:C89)</f>
        <v>Valachovic Marek</v>
      </c>
    </row>
    <row r="90" spans="2:7" x14ac:dyDescent="0.45">
      <c r="B90" t="str">
        <v>Motyka Damian</v>
      </c>
      <c r="G90" t="str">
        <f>_xlfn.TEXTJOIN(" ", TRUE, Blad1!B90:C90)</f>
        <v>Pandaru Marius</v>
      </c>
    </row>
    <row r="91" spans="2:7" x14ac:dyDescent="0.45">
      <c r="B91" t="str">
        <v>Muc Jerzy</v>
      </c>
      <c r="G91" t="str">
        <f>_xlfn.TEXTJOIN(" ", TRUE, Blad1!B91:C91)</f>
        <v>Kloc Mariusz</v>
      </c>
    </row>
    <row r="92" spans="2:7" x14ac:dyDescent="0.45">
      <c r="B92" t="str">
        <v>Nasiadko Waldemar</v>
      </c>
      <c r="G92" t="str">
        <f>_xlfn.TEXTJOIN(" ", TRUE, Blad1!B92:C92)</f>
        <v>Madej Marta</v>
      </c>
    </row>
    <row r="93" spans="2:7" x14ac:dyDescent="0.45">
      <c r="B93" t="str">
        <v>Nemeti Elisei</v>
      </c>
      <c r="G93" t="str">
        <f>_xlfn.TEXTJOIN(" ", TRUE, Blad1!B93:C93)</f>
        <v>Drozdziel Martin</v>
      </c>
    </row>
    <row r="94" spans="2:7" x14ac:dyDescent="0.45">
      <c r="B94" t="str">
        <v>Ogiela Patrycja</v>
      </c>
      <c r="G94" t="str">
        <f>_xlfn.TEXTJOIN(" ", TRUE, Blad1!B94:C94)</f>
        <v>Podlasin Martin</v>
      </c>
    </row>
    <row r="95" spans="2:7" x14ac:dyDescent="0.45">
      <c r="B95" t="str">
        <v>Oleksak Miroslaw</v>
      </c>
      <c r="G95" t="str">
        <f>_xlfn.TEXTJOIN(" ", TRUE, Blad1!B95:C95)</f>
        <v>Kovacova Martina</v>
      </c>
    </row>
    <row r="96" spans="2:7" x14ac:dyDescent="0.45">
      <c r="B96" t="str">
        <v>Oleksy Izabela</v>
      </c>
      <c r="G96" t="str">
        <f>_xlfn.TEXTJOIN(" ", TRUE, Blad1!B96:C96)</f>
        <v>Tranevicius Martynas</v>
      </c>
    </row>
    <row r="97" spans="2:7" x14ac:dyDescent="0.45">
      <c r="B97" t="str">
        <v>Pacholik Robert</v>
      </c>
      <c r="G97" t="str">
        <f>_xlfn.TEXTJOIN(" ", TRUE, Blad1!B97:C97)</f>
        <v>Chlipala Marzena</v>
      </c>
    </row>
    <row r="98" spans="2:7" x14ac:dyDescent="0.45">
      <c r="B98" t="str">
        <v>Pandaru Marius</v>
      </c>
      <c r="G98" t="str">
        <f>_xlfn.TEXTJOIN(" ", TRUE, Blad1!B98:C98)</f>
        <v>Wielgus Mateusz</v>
      </c>
    </row>
    <row r="99" spans="2:7" x14ac:dyDescent="0.45">
      <c r="B99" t="str">
        <v>Pasiali Krystyna</v>
      </c>
      <c r="G99" t="str">
        <f>_xlfn.TEXTJOIN(" ", TRUE, Blad1!B99:C99)</f>
        <v>Peixoto Mathew</v>
      </c>
    </row>
    <row r="100" spans="2:7" x14ac:dyDescent="0.45">
      <c r="B100" t="str">
        <v>Pasieka Malgorzata</v>
      </c>
      <c r="G100" t="str">
        <f>_xlfn.TEXTJOIN(" ", TRUE, Blad1!B100:C100)</f>
        <v>Sott Michal</v>
      </c>
    </row>
    <row r="101" spans="2:7" x14ac:dyDescent="0.45">
      <c r="B101" t="str">
        <v>Patap Vlad</v>
      </c>
      <c r="G101" t="str">
        <f>_xlfn.TEXTJOIN(" ", TRUE, Blad1!B101:C101)</f>
        <v>Jaworski Miroslaw</v>
      </c>
    </row>
    <row r="102" spans="2:7" x14ac:dyDescent="0.45">
      <c r="B102" t="str">
        <v>Peixoto Mathew</v>
      </c>
      <c r="G102" t="str">
        <f>_xlfn.TEXTJOIN(" ", TRUE, Blad1!B102:C102)</f>
        <v>Oleksak Miroslaw</v>
      </c>
    </row>
    <row r="103" spans="2:7" x14ac:dyDescent="0.45">
      <c r="B103" t="str">
        <v>Perczyk Justyna</v>
      </c>
      <c r="G103" t="str">
        <f>_xlfn.TEXTJOIN(" ", TRUE, Blad1!B103:C103)</f>
        <v>Mikolajczyk Monika</v>
      </c>
    </row>
    <row r="104" spans="2:7" x14ac:dyDescent="0.45">
      <c r="B104" t="str">
        <v>Pereira Veliston</v>
      </c>
      <c r="G104" t="str">
        <f>_xlfn.TEXTJOIN(" ", TRUE, Blad1!B104:C104)</f>
        <v>Solomonova Nikola</v>
      </c>
    </row>
    <row r="105" spans="2:7" x14ac:dyDescent="0.45">
      <c r="B105" t="str">
        <v>Piksa Sandra</v>
      </c>
      <c r="G105" t="str">
        <f>_xlfn.TEXTJOIN(" ", TRUE, Blad1!B105:C105)</f>
        <v>Milon Oliwia</v>
      </c>
    </row>
    <row r="106" spans="2:7" x14ac:dyDescent="0.45">
      <c r="B106" t="str">
        <v>Pikta Daniel</v>
      </c>
      <c r="G106" t="str">
        <f>_xlfn.TEXTJOIN(" ", TRUE, Blad1!B106:C106)</f>
        <v>Kwiecinska Patrycja</v>
      </c>
    </row>
    <row r="107" spans="2:7" x14ac:dyDescent="0.45">
      <c r="B107" t="str">
        <v>Podlasin Martin</v>
      </c>
      <c r="G107" t="str">
        <f>_xlfn.TEXTJOIN(" ", TRUE, Blad1!B107:C107)</f>
        <v>Ogiela Patrycja</v>
      </c>
    </row>
    <row r="108" spans="2:7" x14ac:dyDescent="0.45">
      <c r="B108" t="str">
        <v>Podstavek Jakub</v>
      </c>
      <c r="G108" t="str">
        <f>_xlfn.TEXTJOIN(" ", TRUE, Blad1!B108:C108)</f>
        <v>Jaworski Patryk</v>
      </c>
    </row>
    <row r="109" spans="2:7" x14ac:dyDescent="0.45">
      <c r="B109" t="str">
        <v>Polanski Krzysztof</v>
      </c>
      <c r="G109" t="str">
        <f>_xlfn.TEXTJOIN(" ", TRUE, Blad1!B109:C109)</f>
        <v>Jankowska Paulina</v>
      </c>
    </row>
    <row r="110" spans="2:7" x14ac:dyDescent="0.45">
      <c r="B110" t="str">
        <v>Poplonski Tomasz</v>
      </c>
      <c r="G110" t="str">
        <f>_xlfn.TEXTJOIN(" ", TRUE, Blad1!B110:C110)</f>
        <v>Mankowska Paulina</v>
      </c>
    </row>
    <row r="111" spans="2:7" x14ac:dyDescent="0.45">
      <c r="B111" t="str">
        <v>Potapski Grzegorz</v>
      </c>
      <c r="G111" t="str">
        <f>_xlfn.TEXTJOIN(" ", TRUE, Blad1!B111:C111)</f>
        <v>Kaniowski Pawel</v>
      </c>
    </row>
    <row r="112" spans="2:7" x14ac:dyDescent="0.45">
      <c r="B112" t="str">
        <v>Przybyszewska Elzbieta</v>
      </c>
      <c r="G112" t="str">
        <f>_xlfn.TEXTJOIN(" ", TRUE, Blad1!B112:C112)</f>
        <v>Costa Pedro</v>
      </c>
    </row>
    <row r="113" spans="2:7" x14ac:dyDescent="0.45">
      <c r="B113" t="str">
        <v>Przydatek Renata</v>
      </c>
      <c r="G113" t="str">
        <f>_xlfn.TEXTJOIN(" ", TRUE, Blad1!B113:C113)</f>
        <v>Kozel Peter</v>
      </c>
    </row>
    <row r="114" spans="2:7" x14ac:dyDescent="0.45">
      <c r="B114" t="str">
        <v>Raduceanu Razvan</v>
      </c>
      <c r="G114" t="str">
        <f>_xlfn.TEXTJOIN(" ", TRUE, Blad1!B114:C114)</f>
        <v>Bierczak Piotr</v>
      </c>
    </row>
    <row r="115" spans="2:7" x14ac:dyDescent="0.45">
      <c r="B115" t="str">
        <v>Recka Anna</v>
      </c>
      <c r="G115" t="str">
        <f>_xlfn.TEXTJOIN(" ", TRUE, Blad1!B115:C115)</f>
        <v>Smug Piotr</v>
      </c>
    </row>
    <row r="116" spans="2:7" x14ac:dyDescent="0.45">
      <c r="B116" t="str">
        <v>Rogalska Agnieszka</v>
      </c>
      <c r="G116" t="str">
        <f>_xlfn.TEXTJOIN(" ", TRUE, Blad1!B116:C116)</f>
        <v>Wach Piotr</v>
      </c>
    </row>
    <row r="117" spans="2:7" x14ac:dyDescent="0.45">
      <c r="B117" t="str">
        <v>Rusnik Edward</v>
      </c>
      <c r="G117" t="str">
        <f>_xlfn.TEXTJOIN(" ", TRUE, Blad1!B117:C117)</f>
        <v>Andryjanczyk Przemyslaw</v>
      </c>
    </row>
    <row r="118" spans="2:7" x14ac:dyDescent="0.45">
      <c r="B118" t="str">
        <v>Skrzypczak Kewin</v>
      </c>
      <c r="G118" t="str">
        <f>_xlfn.TEXTJOIN(" ", TRUE, Blad1!B118:C118)</f>
        <v>Raduceanu Razvan</v>
      </c>
    </row>
    <row r="119" spans="2:7" x14ac:dyDescent="0.45">
      <c r="B119" t="str">
        <v>Slosiar Tomas</v>
      </c>
      <c r="G119" t="str">
        <f>_xlfn.TEXTJOIN(" ", TRUE, Blad1!B119:C119)</f>
        <v>Drabik Renata</v>
      </c>
    </row>
    <row r="120" spans="2:7" x14ac:dyDescent="0.45">
      <c r="B120" t="str">
        <v>Smug Piotr</v>
      </c>
      <c r="G120" t="str">
        <f>_xlfn.TEXTJOIN(" ", TRUE, Blad1!B120:C120)</f>
        <v>Durak Renata</v>
      </c>
    </row>
    <row r="121" spans="2:7" x14ac:dyDescent="0.45">
      <c r="B121" t="str">
        <v>Solomonova Nikola</v>
      </c>
      <c r="G121" t="str">
        <f>_xlfn.TEXTJOIN(" ", TRUE, Blad1!B121:C121)</f>
        <v>Przydatek Renata</v>
      </c>
    </row>
    <row r="122" spans="2:7" x14ac:dyDescent="0.45">
      <c r="B122" t="str">
        <v>Sott Michal</v>
      </c>
      <c r="G122" t="str">
        <f>_xlfn.TEXTJOIN(" ", TRUE, Blad1!B122:C122)</f>
        <v>Lenart Richard</v>
      </c>
    </row>
    <row r="123" spans="2:7" x14ac:dyDescent="0.45">
      <c r="B123" t="str">
        <v>Spataru Alexandru</v>
      </c>
      <c r="G123" t="str">
        <f>_xlfn.TEXTJOIN(" ", TRUE, Blad1!B123:C123)</f>
        <v>Klein Robert</v>
      </c>
    </row>
    <row r="124" spans="2:7" x14ac:dyDescent="0.45">
      <c r="B124" t="str">
        <v>Sulewski Konrad</v>
      </c>
      <c r="G124" t="str">
        <f>_xlfn.TEXTJOIN(" ", TRUE, Blad1!B124:C124)</f>
        <v>Pacholik Robert</v>
      </c>
    </row>
    <row r="125" spans="2:7" x14ac:dyDescent="0.45">
      <c r="B125" t="str">
        <v>Szpakowski Dawid</v>
      </c>
      <c r="G125" t="str">
        <f>_xlfn.TEXTJOIN(" ", TRUE, Blad1!B125:C125)</f>
        <v>Kauklys Rolandas</v>
      </c>
    </row>
    <row r="126" spans="2:7" x14ac:dyDescent="0.45">
      <c r="B126" t="str">
        <v>Szulewska Dorota</v>
      </c>
      <c r="G126" t="str">
        <f>_xlfn.TEXTJOIN(" ", TRUE, Blad1!B126:C126)</f>
        <v>Piksa Sandra</v>
      </c>
    </row>
    <row r="127" spans="2:7" x14ac:dyDescent="0.45">
      <c r="B127" t="str">
        <v>Tamosiunas Kipras</v>
      </c>
      <c r="G127" t="str">
        <f>_xlfn.TEXTJOIN(" ", TRUE, Blad1!B127:C127)</f>
        <v>Madry Slawomir</v>
      </c>
    </row>
    <row r="128" spans="2:7" x14ac:dyDescent="0.45">
      <c r="B128" t="str">
        <v>Toana Ionel</v>
      </c>
      <c r="G128" t="str">
        <f>_xlfn.TEXTJOIN(" ", TRUE, Blad1!B128:C128)</f>
        <v>Karklevalks Tom</v>
      </c>
    </row>
    <row r="129" spans="2:7" x14ac:dyDescent="0.45">
      <c r="B129" t="str">
        <v>Tranevicius Martynas</v>
      </c>
      <c r="G129" t="str">
        <f>_xlfn.TEXTJOIN(" ", TRUE, Blad1!B129:C129)</f>
        <v>Slosiar Tomas</v>
      </c>
    </row>
    <row r="130" spans="2:7" x14ac:dyDescent="0.45">
      <c r="B130" t="str">
        <v>Urbanowicz Malgorzata</v>
      </c>
      <c r="G130" t="str">
        <f>_xlfn.TEXTJOIN(" ", TRUE, Blad1!B130:C130)</f>
        <v>Kozlowski Tomasz</v>
      </c>
    </row>
    <row r="131" spans="2:7" x14ac:dyDescent="0.45">
      <c r="B131" t="str">
        <v>Vaivod Gabriel</v>
      </c>
      <c r="G131" t="str">
        <f>_xlfn.TEXTJOIN(" ", TRUE, Blad1!B131:C131)</f>
        <v>Poplonski Tomasz</v>
      </c>
    </row>
    <row r="132" spans="2:7" x14ac:dyDescent="0.45">
      <c r="B132" t="str">
        <v>Valachovic Marek</v>
      </c>
      <c r="G132" t="str">
        <f>_xlfn.TEXTJOIN(" ", TRUE, Blad1!B132:C132)</f>
        <v>Zieba Tomasz</v>
      </c>
    </row>
    <row r="133" spans="2:7" x14ac:dyDescent="0.45">
      <c r="B133" t="str">
        <v>Wach Piotr</v>
      </c>
      <c r="G133" t="str">
        <f>_xlfn.TEXTJOIN(" ", TRUE, Blad1!B133:C133)</f>
        <v>Pereira Veliston</v>
      </c>
    </row>
    <row r="134" spans="2:7" x14ac:dyDescent="0.45">
      <c r="B134" t="str">
        <v>Wielgus Mateusz</v>
      </c>
      <c r="G134" t="str">
        <f>_xlfn.TEXTJOIN(" ", TRUE, Blad1!B134:C134)</f>
        <v>Yordanov Venelin</v>
      </c>
    </row>
    <row r="135" spans="2:7" x14ac:dyDescent="0.45">
      <c r="B135" t="str">
        <v>Wilczak Daniel</v>
      </c>
      <c r="G135" t="str">
        <f>_xlfn.TEXTJOIN(" ", TRUE, Blad1!B135:C135)</f>
        <v>Jarullina Viktorija</v>
      </c>
    </row>
    <row r="136" spans="2:7" x14ac:dyDescent="0.45">
      <c r="B136" t="str">
        <v>Wojdylo Grzegorz</v>
      </c>
      <c r="G136" t="str">
        <f>_xlfn.TEXTJOIN(" ", TRUE, Blad1!B136:C136)</f>
        <v>Patap Vlad</v>
      </c>
    </row>
    <row r="137" spans="2:7" x14ac:dyDescent="0.45">
      <c r="B137" t="str">
        <v>Wolanin Maciej</v>
      </c>
      <c r="G137" t="str">
        <f>_xlfn.TEXTJOIN(" ", TRUE, Blad1!B137:C137)</f>
        <v>Nasiadko Waldemar</v>
      </c>
    </row>
    <row r="138" spans="2:7" x14ac:dyDescent="0.45">
      <c r="B138" t="str">
        <v>Yordanov Venelin</v>
      </c>
      <c r="G138" t="str">
        <f>_xlfn.TEXTJOIN(" ", TRUE, Blad1!B138:C138)</f>
        <v>Marques Wilson</v>
      </c>
    </row>
    <row r="139" spans="2:7" x14ac:dyDescent="0.45">
      <c r="B139" t="str">
        <v>Zieba Tomasz</v>
      </c>
      <c r="G139" t="str">
        <f>_xlfn.TEXTJOIN(" ", TRUE, Blad1!B139:C139)</f>
        <v>Karlica Zoran</v>
      </c>
    </row>
    <row r="140" spans="2:7" x14ac:dyDescent="0.45">
      <c r="B140" t="str">
        <v>Ziolkowska Agnieszka</v>
      </c>
      <c r="G140" t="str">
        <f>_xlfn.TEXTJOIN(" ", TRUE, Blad1!B140:C140)</f>
        <v/>
      </c>
    </row>
    <row r="141" spans="2:7" x14ac:dyDescent="0.45">
      <c r="G141" t="str">
        <f>_xlfn.TEXTJOIN(" ", TRUE, Blad1!B141:C141)</f>
        <v/>
      </c>
    </row>
    <row r="142" spans="2:7" x14ac:dyDescent="0.45">
      <c r="G142" t="str">
        <f>_xlfn.TEXTJOIN(" ", TRUE, Blad1!B142:C142)</f>
        <v/>
      </c>
    </row>
    <row r="143" spans="2:7" x14ac:dyDescent="0.45">
      <c r="G143" t="str">
        <f>_xlfn.TEXTJOIN(" ", TRUE, Blad1!B143:C143)</f>
        <v/>
      </c>
    </row>
    <row r="144" spans="2:7" x14ac:dyDescent="0.45">
      <c r="G144" t="str">
        <f>_xlfn.TEXTJOIN(" ", TRUE, Blad1!B144:C144)</f>
        <v/>
      </c>
    </row>
    <row r="145" spans="7:7" x14ac:dyDescent="0.45">
      <c r="G145" t="str">
        <f>_xlfn.TEXTJOIN(" ", TRUE, Blad1!B145:C145)</f>
        <v/>
      </c>
    </row>
    <row r="146" spans="7:7" x14ac:dyDescent="0.45">
      <c r="G146" t="str">
        <f>_xlfn.TEXTJOIN(" ", TRUE, Blad1!B146:C146)</f>
        <v/>
      </c>
    </row>
    <row r="147" spans="7:7" x14ac:dyDescent="0.45">
      <c r="G147" t="str">
        <f>_xlfn.TEXTJOIN(" ", TRUE, Blad1!B147:C147)</f>
        <v/>
      </c>
    </row>
    <row r="148" spans="7:7" x14ac:dyDescent="0.45">
      <c r="G148" t="str">
        <f>_xlfn.TEXTJOIN(" ", TRUE, Blad1!B148:C148)</f>
        <v/>
      </c>
    </row>
    <row r="149" spans="7:7" x14ac:dyDescent="0.45">
      <c r="G149" t="str">
        <f>_xlfn.TEXTJOIN(" ", TRUE, Blad1!B149:C149)</f>
        <v/>
      </c>
    </row>
    <row r="150" spans="7:7" x14ac:dyDescent="0.45">
      <c r="G150" t="str">
        <f>_xlfn.TEXTJOIN(" ", TRUE, Blad1!B150:C150)</f>
        <v/>
      </c>
    </row>
    <row r="151" spans="7:7" x14ac:dyDescent="0.45">
      <c r="G151" t="str">
        <f>_xlfn.TEXTJOIN(" ", TRUE, Blad1!B151:C151)</f>
        <v/>
      </c>
    </row>
    <row r="152" spans="7:7" x14ac:dyDescent="0.45">
      <c r="G152" t="str">
        <f>_xlfn.TEXTJOIN(" ", TRUE, Blad1!B152:C152)</f>
        <v/>
      </c>
    </row>
    <row r="153" spans="7:7" x14ac:dyDescent="0.45">
      <c r="G153" t="str">
        <f>_xlfn.TEXTJOIN(" ", TRUE, Blad1!B153:C153)</f>
        <v/>
      </c>
    </row>
    <row r="154" spans="7:7" x14ac:dyDescent="0.45">
      <c r="G154" t="str">
        <f>_xlfn.TEXTJOIN(" ", TRUE, Blad1!B154:C154)</f>
        <v/>
      </c>
    </row>
    <row r="155" spans="7:7" x14ac:dyDescent="0.45">
      <c r="G155" t="str">
        <f>_xlfn.TEXTJOIN(" ", TRUE, Blad1!B155:C155)</f>
        <v/>
      </c>
    </row>
    <row r="156" spans="7:7" x14ac:dyDescent="0.45">
      <c r="G156" t="str">
        <f>_xlfn.TEXTJOIN(" ", TRUE, Blad1!B156:C156)</f>
        <v/>
      </c>
    </row>
    <row r="157" spans="7:7" x14ac:dyDescent="0.45">
      <c r="G157" t="str">
        <f>_xlfn.TEXTJOIN(" ", TRUE, Blad1!B157:C157)</f>
        <v/>
      </c>
    </row>
    <row r="158" spans="7:7" x14ac:dyDescent="0.45">
      <c r="G158" t="str">
        <f>_xlfn.TEXTJOIN(" ", TRUE, Blad1!B158:C158)</f>
        <v/>
      </c>
    </row>
    <row r="159" spans="7:7" x14ac:dyDescent="0.45">
      <c r="G159" t="str">
        <f>_xlfn.TEXTJOIN(" ", TRUE, Blad1!B159:C159)</f>
        <v/>
      </c>
    </row>
    <row r="160" spans="7:7" x14ac:dyDescent="0.45">
      <c r="G160" t="str">
        <f>_xlfn.TEXTJOIN(" ", TRUE, Blad1!B160:C160)</f>
        <v/>
      </c>
    </row>
    <row r="161" spans="7:7" x14ac:dyDescent="0.45">
      <c r="G161" t="str">
        <f>_xlfn.TEXTJOIN(" ", TRUE, Blad1!B161:C161)</f>
        <v/>
      </c>
    </row>
    <row r="162" spans="7:7" x14ac:dyDescent="0.45">
      <c r="G162" t="str">
        <f>_xlfn.TEXTJOIN(" ", TRUE, Blad1!B162:C162)</f>
        <v/>
      </c>
    </row>
    <row r="163" spans="7:7" x14ac:dyDescent="0.45">
      <c r="G163" t="str">
        <f>_xlfn.TEXTJOIN(" ", TRUE, Blad1!B163:C163)</f>
        <v/>
      </c>
    </row>
    <row r="164" spans="7:7" x14ac:dyDescent="0.45">
      <c r="G164" t="str">
        <f>_xlfn.TEXTJOIN(" ", TRUE, Blad1!B164:C164)</f>
        <v/>
      </c>
    </row>
    <row r="165" spans="7:7" x14ac:dyDescent="0.45">
      <c r="G165" t="str">
        <f>_xlfn.TEXTJOIN(" ", TRUE, Blad1!B165:C165)</f>
        <v/>
      </c>
    </row>
    <row r="166" spans="7:7" x14ac:dyDescent="0.45">
      <c r="G166" t="str">
        <f>_xlfn.TEXTJOIN(" ", TRUE, Blad1!B166:C166)</f>
        <v/>
      </c>
    </row>
    <row r="167" spans="7:7" x14ac:dyDescent="0.45">
      <c r="G167" t="str">
        <f>_xlfn.TEXTJOIN(" ", TRUE, Blad1!B167:C167)</f>
        <v/>
      </c>
    </row>
    <row r="168" spans="7:7" x14ac:dyDescent="0.45">
      <c r="G168" t="str">
        <f>_xlfn.TEXTJOIN(" ", TRUE, Blad1!B168:C168)</f>
        <v/>
      </c>
    </row>
    <row r="169" spans="7:7" x14ac:dyDescent="0.45">
      <c r="G169" t="str">
        <f>_xlfn.TEXTJOIN(" ", TRUE, Blad1!B169:C169)</f>
        <v/>
      </c>
    </row>
    <row r="170" spans="7:7" x14ac:dyDescent="0.45">
      <c r="G170" t="str">
        <f>_xlfn.TEXTJOIN(" ", TRUE, Blad1!B170:C170)</f>
        <v/>
      </c>
    </row>
    <row r="171" spans="7:7" x14ac:dyDescent="0.45">
      <c r="G171" t="str">
        <f>_xlfn.TEXTJOIN(" ", TRUE, Blad1!B171:C171)</f>
        <v/>
      </c>
    </row>
    <row r="172" spans="7:7" x14ac:dyDescent="0.45">
      <c r="G172" t="str">
        <f>_xlfn.TEXTJOIN(" ", TRUE, Blad1!B172:C172)</f>
        <v/>
      </c>
    </row>
    <row r="173" spans="7:7" x14ac:dyDescent="0.45">
      <c r="G173" t="str">
        <f>_xlfn.TEXTJOIN(" ", TRUE, Blad1!B173:C173)</f>
        <v/>
      </c>
    </row>
    <row r="174" spans="7:7" x14ac:dyDescent="0.45">
      <c r="G174" t="str">
        <f>_xlfn.TEXTJOIN(" ", TRUE, Blad1!B174:C174)</f>
        <v/>
      </c>
    </row>
    <row r="175" spans="7:7" x14ac:dyDescent="0.45">
      <c r="G175" t="str">
        <f>_xlfn.TEXTJOIN(" ", TRUE, Blad1!B175:C175)</f>
        <v/>
      </c>
    </row>
    <row r="176" spans="7:7" x14ac:dyDescent="0.45">
      <c r="G176" t="str">
        <f>_xlfn.TEXTJOIN(" ", TRUE, Blad1!B176:C176)</f>
        <v/>
      </c>
    </row>
    <row r="177" spans="7:7" x14ac:dyDescent="0.45">
      <c r="G177" t="str">
        <f>_xlfn.TEXTJOIN(" ", TRUE, Blad1!B177:C177)</f>
        <v/>
      </c>
    </row>
    <row r="178" spans="7:7" x14ac:dyDescent="0.45">
      <c r="G178" t="str">
        <f>_xlfn.TEXTJOIN(" ", TRUE, Blad1!B178:C178)</f>
        <v/>
      </c>
    </row>
    <row r="179" spans="7:7" x14ac:dyDescent="0.45">
      <c r="G179" t="str">
        <f>_xlfn.TEXTJOIN(" ", TRUE, Blad1!B179:C179)</f>
        <v/>
      </c>
    </row>
    <row r="180" spans="7:7" x14ac:dyDescent="0.45">
      <c r="G180" t="str">
        <f>_xlfn.TEXTJOIN(" ", TRUE, Blad1!B180:C180)</f>
        <v/>
      </c>
    </row>
    <row r="181" spans="7:7" x14ac:dyDescent="0.45">
      <c r="G181" t="str">
        <f>_xlfn.TEXTJOIN(" ", TRUE, Blad1!B181:C181)</f>
        <v/>
      </c>
    </row>
    <row r="182" spans="7:7" x14ac:dyDescent="0.45">
      <c r="G182" t="str">
        <f>_xlfn.TEXTJOIN(" ", TRUE, Blad1!B182:C182)</f>
        <v/>
      </c>
    </row>
    <row r="183" spans="7:7" x14ac:dyDescent="0.45">
      <c r="G183" t="str">
        <f>_xlfn.TEXTJOIN(" ", TRUE, Blad1!B183:C183)</f>
        <v/>
      </c>
    </row>
    <row r="184" spans="7:7" x14ac:dyDescent="0.45">
      <c r="G184" t="str">
        <f>_xlfn.TEXTJOIN(" ", TRUE, Blad1!B184:C184)</f>
        <v/>
      </c>
    </row>
    <row r="185" spans="7:7" x14ac:dyDescent="0.45">
      <c r="G185" t="str">
        <f>_xlfn.TEXTJOIN(" ", TRUE, Blad1!B185:C185)</f>
        <v/>
      </c>
    </row>
    <row r="186" spans="7:7" x14ac:dyDescent="0.45">
      <c r="G186" t="str">
        <f>_xlfn.TEXTJOIN(" ", TRUE, Blad1!B186:C186)</f>
        <v/>
      </c>
    </row>
    <row r="187" spans="7:7" x14ac:dyDescent="0.45">
      <c r="G187" t="str">
        <f>_xlfn.TEXTJOIN(" ", TRUE, Blad1!B187:C187)</f>
        <v/>
      </c>
    </row>
    <row r="188" spans="7:7" x14ac:dyDescent="0.45">
      <c r="G188" t="str">
        <f>_xlfn.TEXTJOIN(" ", TRUE, Blad1!B188:C188)</f>
        <v/>
      </c>
    </row>
    <row r="189" spans="7:7" x14ac:dyDescent="0.45">
      <c r="G189" t="str">
        <f>_xlfn.TEXTJOIN(" ", TRUE, Blad1!B189:C189)</f>
        <v/>
      </c>
    </row>
    <row r="190" spans="7:7" x14ac:dyDescent="0.45">
      <c r="G190" t="str">
        <f>_xlfn.TEXTJOIN(" ", TRUE, Blad1!B190:C190)</f>
        <v/>
      </c>
    </row>
    <row r="191" spans="7:7" x14ac:dyDescent="0.45">
      <c r="G191" t="str">
        <f>_xlfn.TEXTJOIN(" ", TRUE, Blad1!B191:C191)</f>
        <v/>
      </c>
    </row>
    <row r="192" spans="7:7" x14ac:dyDescent="0.45">
      <c r="G192" t="str">
        <f>_xlfn.TEXTJOIN(" ", TRUE, Blad1!B192:C192)</f>
        <v/>
      </c>
    </row>
    <row r="193" spans="7:7" x14ac:dyDescent="0.45">
      <c r="G193" t="str">
        <f>_xlfn.TEXTJOIN(" ", TRUE, Blad1!B193:C193)</f>
        <v/>
      </c>
    </row>
    <row r="194" spans="7:7" x14ac:dyDescent="0.45">
      <c r="G194" t="str">
        <f>_xlfn.TEXTJOIN(" ", TRUE, Blad1!B194:C194)</f>
        <v/>
      </c>
    </row>
    <row r="195" spans="7:7" x14ac:dyDescent="0.45">
      <c r="G195" t="str">
        <f>_xlfn.TEXTJOIN(" ", TRUE, Blad1!B195:C195)</f>
        <v/>
      </c>
    </row>
    <row r="196" spans="7:7" x14ac:dyDescent="0.45">
      <c r="G196" t="str">
        <f>_xlfn.TEXTJOIN(" ", TRUE, Blad1!B196:C196)</f>
        <v/>
      </c>
    </row>
    <row r="197" spans="7:7" x14ac:dyDescent="0.45">
      <c r="G197" t="str">
        <f>_xlfn.TEXTJOIN(" ", TRUE, Blad1!B197:C197)</f>
        <v/>
      </c>
    </row>
    <row r="198" spans="7:7" x14ac:dyDescent="0.45">
      <c r="G198" t="str">
        <f>_xlfn.TEXTJOIN(" ", TRUE, Blad1!B198:C198)</f>
        <v/>
      </c>
    </row>
    <row r="199" spans="7:7" x14ac:dyDescent="0.45">
      <c r="G199" t="str">
        <f>_xlfn.TEXTJOIN(" ", TRUE, Blad1!B199:C199)</f>
        <v/>
      </c>
    </row>
    <row r="200" spans="7:7" x14ac:dyDescent="0.45">
      <c r="G200" t="str">
        <f>_xlfn.TEXTJOIN(" ", TRUE, Blad1!B200:C200)</f>
        <v/>
      </c>
    </row>
    <row r="201" spans="7:7" x14ac:dyDescent="0.45">
      <c r="G201" t="str">
        <f>_xlfn.TEXTJOIN(" ", TRUE, Blad1!B201:C201)</f>
        <v/>
      </c>
    </row>
    <row r="202" spans="7:7" x14ac:dyDescent="0.45">
      <c r="G202" t="str">
        <f>_xlfn.TEXTJOIN(" ", TRUE, Blad1!B202:C202)</f>
        <v/>
      </c>
    </row>
    <row r="203" spans="7:7" x14ac:dyDescent="0.45">
      <c r="G203" t="str">
        <f>_xlfn.TEXTJOIN(" ", TRUE, Blad1!B203:C203)</f>
        <v/>
      </c>
    </row>
    <row r="204" spans="7:7" x14ac:dyDescent="0.45">
      <c r="G204" t="str">
        <f>_xlfn.TEXTJOIN(" ", TRUE, Blad1!B204:C204)</f>
        <v/>
      </c>
    </row>
    <row r="205" spans="7:7" x14ac:dyDescent="0.45">
      <c r="G205" t="str">
        <f>_xlfn.TEXTJOIN(" ", TRUE, Blad1!B205:C205)</f>
        <v/>
      </c>
    </row>
    <row r="206" spans="7:7" x14ac:dyDescent="0.45">
      <c r="G206" t="str">
        <f>_xlfn.TEXTJOIN(" ", TRUE, Blad1!B206:C206)</f>
        <v/>
      </c>
    </row>
    <row r="207" spans="7:7" x14ac:dyDescent="0.45">
      <c r="G207" t="str">
        <f>_xlfn.TEXTJOIN(" ", TRUE, Blad1!B207:C207)</f>
        <v/>
      </c>
    </row>
    <row r="208" spans="7:7" x14ac:dyDescent="0.45">
      <c r="G208" t="str">
        <f>_xlfn.TEXTJOIN(" ", TRUE, Blad1!B208:C208)</f>
        <v/>
      </c>
    </row>
    <row r="209" spans="7:7" x14ac:dyDescent="0.45">
      <c r="G209" t="str">
        <f>_xlfn.TEXTJOIN(" ", TRUE, Blad1!B209:C209)</f>
        <v/>
      </c>
    </row>
    <row r="210" spans="7:7" x14ac:dyDescent="0.45">
      <c r="G210" t="str">
        <f>_xlfn.TEXTJOIN(" ", TRUE, Blad1!B210:C210)</f>
        <v/>
      </c>
    </row>
    <row r="211" spans="7:7" x14ac:dyDescent="0.45">
      <c r="G211" t="str">
        <f>_xlfn.TEXTJOIN(" ", TRUE, Blad1!B211:C211)</f>
        <v/>
      </c>
    </row>
    <row r="212" spans="7:7" x14ac:dyDescent="0.45">
      <c r="G212" t="str">
        <f>_xlfn.TEXTJOIN(" ", TRUE, Blad1!B212:C212)</f>
        <v/>
      </c>
    </row>
    <row r="213" spans="7:7" x14ac:dyDescent="0.45">
      <c r="G213" t="str">
        <f>_xlfn.TEXTJOIN(" ", TRUE, Blad1!B213:C213)</f>
        <v/>
      </c>
    </row>
    <row r="214" spans="7:7" x14ac:dyDescent="0.45">
      <c r="G214" t="str">
        <f>_xlfn.TEXTJOIN(" ", TRUE, Blad1!B214:C214)</f>
        <v/>
      </c>
    </row>
    <row r="215" spans="7:7" x14ac:dyDescent="0.45">
      <c r="G215" t="str">
        <f>_xlfn.TEXTJOIN(" ", TRUE, Blad1!B215:C215)</f>
        <v/>
      </c>
    </row>
    <row r="216" spans="7:7" x14ac:dyDescent="0.45">
      <c r="G216" t="str">
        <f>_xlfn.TEXTJOIN(" ", TRUE, Blad1!B216:C216)</f>
        <v/>
      </c>
    </row>
    <row r="217" spans="7:7" x14ac:dyDescent="0.45">
      <c r="G217" t="str">
        <f>_xlfn.TEXTJOIN(" ", TRUE, Blad1!B217:C217)</f>
        <v/>
      </c>
    </row>
    <row r="218" spans="7:7" x14ac:dyDescent="0.45">
      <c r="G218" t="str">
        <f>_xlfn.TEXTJOIN(" ", TRUE, Blad1!B218:C218)</f>
        <v/>
      </c>
    </row>
    <row r="219" spans="7:7" x14ac:dyDescent="0.45">
      <c r="G219" t="str">
        <f>_xlfn.TEXTJOIN(" ", TRUE, Blad1!B219:C219)</f>
        <v/>
      </c>
    </row>
    <row r="220" spans="7:7" x14ac:dyDescent="0.45">
      <c r="G220" t="str">
        <f>_xlfn.TEXTJOIN(" ", TRUE, Blad1!B220:C220)</f>
        <v/>
      </c>
    </row>
    <row r="221" spans="7:7" x14ac:dyDescent="0.45">
      <c r="G221" t="str">
        <f>_xlfn.TEXTJOIN(" ", TRUE, Blad1!B221:C221)</f>
        <v/>
      </c>
    </row>
    <row r="222" spans="7:7" x14ac:dyDescent="0.45">
      <c r="G222" t="str">
        <f>_xlfn.TEXTJOIN(" ", TRUE, Blad1!B222:C222)</f>
        <v/>
      </c>
    </row>
    <row r="223" spans="7:7" x14ac:dyDescent="0.45">
      <c r="G223" t="str">
        <f>_xlfn.TEXTJOIN(" ", TRUE, Blad1!B223:C223)</f>
        <v/>
      </c>
    </row>
    <row r="224" spans="7:7" x14ac:dyDescent="0.45">
      <c r="G224" t="str">
        <f>_xlfn.TEXTJOIN(" ", TRUE, Blad1!B224:C224)</f>
        <v/>
      </c>
    </row>
    <row r="225" spans="7:7" x14ac:dyDescent="0.45">
      <c r="G225" t="str">
        <f>_xlfn.TEXTJOIN(" ", TRUE, Blad1!B225:C225)</f>
        <v/>
      </c>
    </row>
    <row r="226" spans="7:7" x14ac:dyDescent="0.45">
      <c r="G226" t="str">
        <f>_xlfn.TEXTJOIN(" ", TRUE, Blad1!B226:C226)</f>
        <v/>
      </c>
    </row>
    <row r="227" spans="7:7" x14ac:dyDescent="0.45">
      <c r="G227" t="str">
        <f>_xlfn.TEXTJOIN(" ", TRUE, Blad1!B227:C227)</f>
        <v/>
      </c>
    </row>
    <row r="228" spans="7:7" x14ac:dyDescent="0.45">
      <c r="G228" t="str">
        <f>_xlfn.TEXTJOIN(" ", TRUE, Blad1!B228:C228)</f>
        <v/>
      </c>
    </row>
    <row r="229" spans="7:7" x14ac:dyDescent="0.45">
      <c r="G229" t="str">
        <f>_xlfn.TEXTJOIN(" ", TRUE, Blad1!B229:C229)</f>
        <v/>
      </c>
    </row>
    <row r="230" spans="7:7" x14ac:dyDescent="0.45">
      <c r="G230" t="str">
        <f>_xlfn.TEXTJOIN(" ", TRUE, Blad1!B230:C230)</f>
        <v/>
      </c>
    </row>
    <row r="231" spans="7:7" x14ac:dyDescent="0.45">
      <c r="G231" t="str">
        <f>_xlfn.TEXTJOIN(" ", TRUE, Blad1!B231:C231)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6ae733a81a4622821f10ed570098e43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fd7d0a357f092945b93f227403c007b5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F53B45-88B1-42BC-A5CE-8911B4F783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378185-D265-4151-9F56-1469563EF01F}">
  <ds:schemaRefs>
    <ds:schemaRef ds:uri="http://schemas.microsoft.com/office/2006/metadata/properties"/>
    <ds:schemaRef ds:uri="http://schemas.microsoft.com/office/infopath/2007/PartnerControls"/>
    <ds:schemaRef ds:uri="bf41cf06-3f38-47d2-b3db-ee42d871b2cc"/>
    <ds:schemaRef ds:uri="f3e24b04-d356-44d5-9eb5-201cfa4fc256"/>
  </ds:schemaRefs>
</ds:datastoreItem>
</file>

<file path=customXml/itemProps3.xml><?xml version="1.0" encoding="utf-8"?>
<ds:datastoreItem xmlns:ds="http://schemas.openxmlformats.org/officeDocument/2006/customXml" ds:itemID="{FA54F954-12F4-45C7-8E74-E852BBD1BC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unique_names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 Mook</dc:creator>
  <cp:lastModifiedBy>Tom Beckers</cp:lastModifiedBy>
  <dcterms:created xsi:type="dcterms:W3CDTF">2025-01-20T11:01:47Z</dcterms:created>
  <dcterms:modified xsi:type="dcterms:W3CDTF">2026-02-12T14:18:04Z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  <property fmtid="{D5CDD505-2E9C-101B-9397-08002B2CF9AE}" pid="3" name="MediaServiceImageTags">
    <vt:lpwstr/>
  </property>
</Properties>
</file>