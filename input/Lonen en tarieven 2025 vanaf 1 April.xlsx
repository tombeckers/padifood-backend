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CEC1A58D-9F23-44EF-9215-E1BC542DB9C3}" xr6:coauthVersionLast="47" xr6:coauthVersionMax="47" xr10:uidLastSave="{00000000-0000-0000-0000-000000000000}"/>
  <bookViews>
    <workbookView xWindow="-98" yWindow="-98" windowWidth="19396" windowHeight="11475" xr2:uid="{A1A79D01-DE2A-4AFA-BEE0-AEBF37449C1D}"/>
  </bookViews>
  <sheets>
    <sheet name="1 januari 2025" sheetId="2" r:id="rId1"/>
    <sheet name="Blad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" l="1"/>
  <c r="O1" i="2"/>
  <c r="W127" i="2" l="1"/>
  <c r="Y127" i="2" s="1"/>
  <c r="T127" i="2"/>
  <c r="V127" i="2" s="1"/>
  <c r="Q127" i="2"/>
  <c r="S127" i="2" s="1"/>
  <c r="D127" i="2"/>
  <c r="G127" i="2" s="1"/>
  <c r="W67" i="2"/>
  <c r="Y67" i="2" s="1"/>
  <c r="T67" i="2"/>
  <c r="V67" i="2" s="1"/>
  <c r="Q67" i="2"/>
  <c r="S67" i="2" s="1"/>
  <c r="D67" i="2"/>
  <c r="G67" i="2" s="1"/>
  <c r="W4" i="2"/>
  <c r="Y4" i="2" s="1"/>
  <c r="T4" i="2"/>
  <c r="V4" i="2" s="1"/>
  <c r="Q4" i="2"/>
  <c r="S4" i="2" s="1"/>
  <c r="D4" i="2"/>
  <c r="G4" i="2" s="1"/>
  <c r="W3" i="2"/>
  <c r="Y3" i="2" s="1"/>
  <c r="W126" i="2"/>
  <c r="Y126" i="2" s="1"/>
  <c r="T126" i="2"/>
  <c r="V126" i="2" s="1"/>
  <c r="Q126" i="2"/>
  <c r="S126" i="2" s="1"/>
  <c r="D126" i="2"/>
  <c r="G126" i="2" s="1"/>
  <c r="T155" i="2"/>
  <c r="V155" i="2" s="1"/>
  <c r="D155" i="2"/>
  <c r="W155" i="2"/>
  <c r="Y155" i="2" s="1"/>
  <c r="Q155" i="2"/>
  <c r="S155" i="2" s="1"/>
  <c r="G155" i="2"/>
  <c r="W131" i="2"/>
  <c r="Y131" i="2" s="1"/>
  <c r="T131" i="2"/>
  <c r="V131" i="2" s="1"/>
  <c r="Q131" i="2"/>
  <c r="S131" i="2" s="1"/>
  <c r="D131" i="2"/>
  <c r="G131" i="2" s="1"/>
  <c r="W84" i="2"/>
  <c r="Y84" i="2" s="1"/>
  <c r="T84" i="2"/>
  <c r="V84" i="2" s="1"/>
  <c r="Q84" i="2"/>
  <c r="S84" i="2" s="1"/>
  <c r="D84" i="2"/>
  <c r="G84" i="2" s="1"/>
  <c r="O127" i="2" l="1"/>
  <c r="M127" i="2"/>
  <c r="K127" i="2"/>
  <c r="I127" i="2"/>
  <c r="O67" i="2"/>
  <c r="M67" i="2"/>
  <c r="K67" i="2"/>
  <c r="I67" i="2"/>
  <c r="O4" i="2"/>
  <c r="M4" i="2"/>
  <c r="K4" i="2"/>
  <c r="I4" i="2"/>
  <c r="O84" i="2"/>
  <c r="M84" i="2"/>
  <c r="K84" i="2"/>
  <c r="I84" i="2"/>
  <c r="O131" i="2"/>
  <c r="M131" i="2"/>
  <c r="K131" i="2"/>
  <c r="I131" i="2"/>
  <c r="O155" i="2"/>
  <c r="M155" i="2"/>
  <c r="K155" i="2"/>
  <c r="I155" i="2"/>
  <c r="O126" i="2"/>
  <c r="M126" i="2"/>
  <c r="K126" i="2"/>
  <c r="I126" i="2"/>
  <c r="W23" i="2"/>
  <c r="Y23" i="2" s="1"/>
  <c r="T23" i="2"/>
  <c r="V23" i="2" s="1"/>
  <c r="Q23" i="2"/>
  <c r="S23" i="2" s="1"/>
  <c r="D23" i="2"/>
  <c r="G23" i="2" s="1"/>
  <c r="W18" i="2"/>
  <c r="Y18" i="2" s="1"/>
  <c r="T18" i="2"/>
  <c r="V18" i="2" s="1"/>
  <c r="Q18" i="2"/>
  <c r="S18" i="2" s="1"/>
  <c r="D18" i="2"/>
  <c r="G18" i="2" s="1"/>
  <c r="O18" i="2" l="1"/>
  <c r="M18" i="2"/>
  <c r="K18" i="2"/>
  <c r="I18" i="2"/>
  <c r="O23" i="2"/>
  <c r="M23" i="2"/>
  <c r="K23" i="2"/>
  <c r="I23" i="2"/>
  <c r="T3" i="2"/>
  <c r="V3" i="2" s="1"/>
  <c r="Q3" i="2"/>
  <c r="S3" i="2" s="1"/>
  <c r="D3" i="2"/>
  <c r="G3" i="2" s="1"/>
  <c r="I3" i="2" l="1"/>
  <c r="K3" i="2"/>
  <c r="M3" i="2"/>
  <c r="O3" i="2"/>
  <c r="W109" i="2"/>
  <c r="Y109" i="2" s="1"/>
  <c r="W9" i="2"/>
  <c r="Y9" i="2" s="1"/>
  <c r="W13" i="2"/>
  <c r="Y13" i="2" s="1"/>
  <c r="W14" i="2"/>
  <c r="Y14" i="2" s="1"/>
  <c r="W19" i="2"/>
  <c r="Y19" i="2" s="1"/>
  <c r="W24" i="2"/>
  <c r="Y24" i="2" s="1"/>
  <c r="W28" i="2"/>
  <c r="Y28" i="2" s="1"/>
  <c r="W32" i="2"/>
  <c r="Y32" i="2" s="1"/>
  <c r="W36" i="2"/>
  <c r="Y36" i="2" s="1"/>
  <c r="W37" i="2"/>
  <c r="Y37" i="2" s="1"/>
  <c r="W41" i="2"/>
  <c r="Y41" i="2" s="1"/>
  <c r="W45" i="2"/>
  <c r="Y45" i="2" s="1"/>
  <c r="W46" i="2"/>
  <c r="Y46" i="2" s="1"/>
  <c r="W50" i="2"/>
  <c r="Y50" i="2" s="1"/>
  <c r="W54" i="2"/>
  <c r="Y54" i="2" s="1"/>
  <c r="W58" i="2"/>
  <c r="Y58" i="2" s="1"/>
  <c r="W62" i="2"/>
  <c r="Y62" i="2" s="1"/>
  <c r="W66" i="2"/>
  <c r="Y66" i="2" s="1"/>
  <c r="W71" i="2"/>
  <c r="Y71" i="2" s="1"/>
  <c r="W72" i="2"/>
  <c r="Y72" i="2" s="1"/>
  <c r="W76" i="2"/>
  <c r="Y76" i="2" s="1"/>
  <c r="W80" i="2"/>
  <c r="Y80" i="2" s="1"/>
  <c r="W88" i="2"/>
  <c r="Y88" i="2" s="1"/>
  <c r="W92" i="2"/>
  <c r="Y92" i="2" s="1"/>
  <c r="W96" i="2"/>
  <c r="Y96" i="2" s="1"/>
  <c r="W100" i="2"/>
  <c r="Y100" i="2" s="1"/>
  <c r="W101" i="2"/>
  <c r="Y101" i="2" s="1"/>
  <c r="W105" i="2"/>
  <c r="Y105" i="2" s="1"/>
  <c r="W113" i="2"/>
  <c r="Y113" i="2" s="1"/>
  <c r="W117" i="2"/>
  <c r="Y117" i="2" s="1"/>
  <c r="W121" i="2"/>
  <c r="Y121" i="2" s="1"/>
  <c r="W125" i="2"/>
  <c r="Y125" i="2" s="1"/>
  <c r="W135" i="2"/>
  <c r="Y135" i="2" s="1"/>
  <c r="W139" i="2"/>
  <c r="Y139" i="2" s="1"/>
  <c r="W143" i="2"/>
  <c r="Y143" i="2" s="1"/>
  <c r="W147" i="2"/>
  <c r="Y147" i="2" s="1"/>
  <c r="W151" i="2"/>
  <c r="Y151" i="2" s="1"/>
  <c r="W8" i="2"/>
  <c r="Y8" i="2" s="1"/>
  <c r="T19" i="2"/>
  <c r="V19" i="2" s="1"/>
  <c r="T24" i="2"/>
  <c r="V24" i="2" s="1"/>
  <c r="T28" i="2"/>
  <c r="V28" i="2" s="1"/>
  <c r="T32" i="2"/>
  <c r="V32" i="2" s="1"/>
  <c r="T36" i="2"/>
  <c r="V36" i="2" s="1"/>
  <c r="T37" i="2"/>
  <c r="V37" i="2" s="1"/>
  <c r="T41" i="2"/>
  <c r="V41" i="2" s="1"/>
  <c r="T45" i="2"/>
  <c r="V45" i="2" s="1"/>
  <c r="T46" i="2"/>
  <c r="V46" i="2" s="1"/>
  <c r="T50" i="2"/>
  <c r="V50" i="2" s="1"/>
  <c r="T54" i="2"/>
  <c r="V54" i="2" s="1"/>
  <c r="T58" i="2"/>
  <c r="V58" i="2" s="1"/>
  <c r="T62" i="2"/>
  <c r="V62" i="2" s="1"/>
  <c r="T66" i="2"/>
  <c r="V66" i="2" s="1"/>
  <c r="T71" i="2"/>
  <c r="V71" i="2" s="1"/>
  <c r="T72" i="2"/>
  <c r="V72" i="2" s="1"/>
  <c r="T76" i="2"/>
  <c r="V76" i="2" s="1"/>
  <c r="T80" i="2"/>
  <c r="V80" i="2" s="1"/>
  <c r="T88" i="2"/>
  <c r="V88" i="2" s="1"/>
  <c r="T92" i="2"/>
  <c r="V92" i="2" s="1"/>
  <c r="T96" i="2"/>
  <c r="V96" i="2" s="1"/>
  <c r="T100" i="2"/>
  <c r="V100" i="2" s="1"/>
  <c r="T101" i="2"/>
  <c r="V101" i="2" s="1"/>
  <c r="T105" i="2"/>
  <c r="V105" i="2" s="1"/>
  <c r="T109" i="2"/>
  <c r="V109" i="2" s="1"/>
  <c r="T113" i="2"/>
  <c r="V113" i="2" s="1"/>
  <c r="T117" i="2"/>
  <c r="V117" i="2" s="1"/>
  <c r="T121" i="2"/>
  <c r="V121" i="2" s="1"/>
  <c r="T125" i="2"/>
  <c r="V125" i="2" s="1"/>
  <c r="T135" i="2"/>
  <c r="V135" i="2" s="1"/>
  <c r="T139" i="2"/>
  <c r="V139" i="2" s="1"/>
  <c r="T143" i="2"/>
  <c r="V143" i="2" s="1"/>
  <c r="T147" i="2"/>
  <c r="V147" i="2" s="1"/>
  <c r="T151" i="2"/>
  <c r="V151" i="2" s="1"/>
  <c r="T14" i="2"/>
  <c r="V14" i="2" s="1"/>
  <c r="T13" i="2"/>
  <c r="V13" i="2" s="1"/>
  <c r="T9" i="2"/>
  <c r="V9" i="2" s="1"/>
  <c r="T8" i="2"/>
  <c r="V8" i="2" s="1"/>
  <c r="Q109" i="2"/>
  <c r="S109" i="2" s="1"/>
  <c r="Q151" i="2"/>
  <c r="S151" i="2" s="1"/>
  <c r="Q19" i="2"/>
  <c r="S19" i="2" s="1"/>
  <c r="Q24" i="2"/>
  <c r="S24" i="2" s="1"/>
  <c r="Q28" i="2"/>
  <c r="S28" i="2" s="1"/>
  <c r="Q32" i="2"/>
  <c r="S32" i="2" s="1"/>
  <c r="Q36" i="2"/>
  <c r="S36" i="2" s="1"/>
  <c r="Q37" i="2"/>
  <c r="S37" i="2" s="1"/>
  <c r="Q41" i="2"/>
  <c r="S41" i="2" s="1"/>
  <c r="Q45" i="2"/>
  <c r="S45" i="2" s="1"/>
  <c r="Q46" i="2"/>
  <c r="S46" i="2" s="1"/>
  <c r="Q50" i="2"/>
  <c r="S50" i="2" s="1"/>
  <c r="Q54" i="2"/>
  <c r="S54" i="2" s="1"/>
  <c r="Q58" i="2"/>
  <c r="S58" i="2" s="1"/>
  <c r="Q62" i="2"/>
  <c r="S62" i="2" s="1"/>
  <c r="Q66" i="2"/>
  <c r="S66" i="2" s="1"/>
  <c r="Q71" i="2"/>
  <c r="S71" i="2" s="1"/>
  <c r="Q72" i="2"/>
  <c r="S72" i="2" s="1"/>
  <c r="Q76" i="2"/>
  <c r="S76" i="2" s="1"/>
  <c r="Q80" i="2"/>
  <c r="S80" i="2" s="1"/>
  <c r="Q88" i="2"/>
  <c r="S88" i="2" s="1"/>
  <c r="Q92" i="2"/>
  <c r="S92" i="2" s="1"/>
  <c r="Q96" i="2"/>
  <c r="S96" i="2" s="1"/>
  <c r="Q100" i="2"/>
  <c r="S100" i="2" s="1"/>
  <c r="Q101" i="2"/>
  <c r="S101" i="2" s="1"/>
  <c r="Q105" i="2"/>
  <c r="S105" i="2" s="1"/>
  <c r="Q113" i="2"/>
  <c r="S113" i="2" s="1"/>
  <c r="Q117" i="2"/>
  <c r="S117" i="2" s="1"/>
  <c r="Q121" i="2"/>
  <c r="S121" i="2" s="1"/>
  <c r="Q125" i="2"/>
  <c r="S125" i="2" s="1"/>
  <c r="Q135" i="2"/>
  <c r="S135" i="2" s="1"/>
  <c r="Q139" i="2"/>
  <c r="S139" i="2" s="1"/>
  <c r="Q143" i="2"/>
  <c r="S143" i="2" s="1"/>
  <c r="Q147" i="2"/>
  <c r="S147" i="2" s="1"/>
  <c r="Q14" i="2"/>
  <c r="S14" i="2" s="1"/>
  <c r="Q13" i="2"/>
  <c r="S13" i="2" s="1"/>
  <c r="Q9" i="2"/>
  <c r="S9" i="2" s="1"/>
  <c r="Q8" i="2"/>
  <c r="S8" i="2" s="1"/>
  <c r="D32" i="2" l="1"/>
  <c r="G32" i="2" s="1"/>
  <c r="D58" i="2"/>
  <c r="G58" i="2" s="1"/>
  <c r="D92" i="2"/>
  <c r="G92" i="2" s="1"/>
  <c r="D105" i="2"/>
  <c r="G105" i="2" s="1"/>
  <c r="D121" i="2"/>
  <c r="G121" i="2" s="1"/>
  <c r="D139" i="2"/>
  <c r="G139" i="2" s="1"/>
  <c r="D151" i="2"/>
  <c r="G151" i="2" s="1"/>
  <c r="D147" i="2"/>
  <c r="D143" i="2"/>
  <c r="D135" i="2"/>
  <c r="D125" i="2"/>
  <c r="D117" i="2"/>
  <c r="D113" i="2"/>
  <c r="D109" i="2"/>
  <c r="D101" i="2"/>
  <c r="D100" i="2"/>
  <c r="D96" i="2"/>
  <c r="D88" i="2"/>
  <c r="D80" i="2"/>
  <c r="D76" i="2"/>
  <c r="D72" i="2"/>
  <c r="D71" i="2"/>
  <c r="D66" i="2"/>
  <c r="D62" i="2"/>
  <c r="D54" i="2"/>
  <c r="D50" i="2"/>
  <c r="D46" i="2"/>
  <c r="D45" i="2"/>
  <c r="D41" i="2"/>
  <c r="D37" i="2"/>
  <c r="D36" i="2"/>
  <c r="D28" i="2"/>
  <c r="D24" i="2"/>
  <c r="D19" i="2"/>
  <c r="D14" i="2"/>
  <c r="D13" i="2"/>
  <c r="D9" i="2"/>
  <c r="D8" i="2"/>
  <c r="O151" i="2" l="1"/>
  <c r="M151" i="2"/>
  <c r="K151" i="2"/>
  <c r="I151" i="2"/>
  <c r="O139" i="2"/>
  <c r="M139" i="2"/>
  <c r="K139" i="2"/>
  <c r="I139" i="2"/>
  <c r="O121" i="2"/>
  <c r="M121" i="2"/>
  <c r="K121" i="2"/>
  <c r="I121" i="2"/>
  <c r="O105" i="2"/>
  <c r="M105" i="2"/>
  <c r="K105" i="2"/>
  <c r="I105" i="2"/>
  <c r="O92" i="2"/>
  <c r="M92" i="2"/>
  <c r="K92" i="2"/>
  <c r="I92" i="2"/>
  <c r="O58" i="2"/>
  <c r="M58" i="2"/>
  <c r="K58" i="2"/>
  <c r="I58" i="2"/>
  <c r="O32" i="2"/>
  <c r="M32" i="2"/>
  <c r="K32" i="2"/>
  <c r="I32" i="2"/>
  <c r="G117" i="2"/>
  <c r="G147" i="2"/>
  <c r="G143" i="2"/>
  <c r="G135" i="2"/>
  <c r="G125" i="2"/>
  <c r="G113" i="2"/>
  <c r="G109" i="2"/>
  <c r="G101" i="2"/>
  <c r="G100" i="2"/>
  <c r="G96" i="2"/>
  <c r="G88" i="2"/>
  <c r="G80" i="2"/>
  <c r="G76" i="2"/>
  <c r="G72" i="2"/>
  <c r="G71" i="2"/>
  <c r="I71" i="2" s="1"/>
  <c r="G66" i="2"/>
  <c r="I66" i="2" s="1"/>
  <c r="G62" i="2"/>
  <c r="G54" i="2"/>
  <c r="G50" i="2"/>
  <c r="G46" i="2"/>
  <c r="G45" i="2"/>
  <c r="G41" i="2"/>
  <c r="G37" i="2"/>
  <c r="G36" i="2"/>
  <c r="G28" i="2"/>
  <c r="G24" i="2"/>
  <c r="I24" i="2" s="1"/>
  <c r="G19" i="2"/>
  <c r="K19" i="2" s="1"/>
  <c r="G14" i="2"/>
  <c r="G13" i="2"/>
  <c r="G9" i="2"/>
  <c r="G8" i="2"/>
  <c r="O8" i="2" l="1"/>
  <c r="M8" i="2"/>
  <c r="K8" i="2"/>
  <c r="I8" i="2"/>
  <c r="O9" i="2"/>
  <c r="M9" i="2"/>
  <c r="K9" i="2"/>
  <c r="I9" i="2"/>
  <c r="O13" i="2"/>
  <c r="M13" i="2"/>
  <c r="K13" i="2"/>
  <c r="I13" i="2"/>
  <c r="O14" i="2"/>
  <c r="M14" i="2"/>
  <c r="K14" i="2"/>
  <c r="I14" i="2"/>
  <c r="O19" i="2"/>
  <c r="M19" i="2"/>
  <c r="I19" i="2"/>
  <c r="O24" i="2"/>
  <c r="M24" i="2"/>
  <c r="K24" i="2"/>
  <c r="O28" i="2"/>
  <c r="M28" i="2"/>
  <c r="K28" i="2"/>
  <c r="I28" i="2"/>
  <c r="O36" i="2"/>
  <c r="M36" i="2"/>
  <c r="K36" i="2"/>
  <c r="I36" i="2"/>
  <c r="O37" i="2"/>
  <c r="M37" i="2"/>
  <c r="K37" i="2"/>
  <c r="I37" i="2"/>
  <c r="O41" i="2"/>
  <c r="M41" i="2"/>
  <c r="K41" i="2"/>
  <c r="I41" i="2"/>
  <c r="O45" i="2"/>
  <c r="M45" i="2"/>
  <c r="K45" i="2"/>
  <c r="I45" i="2"/>
  <c r="O46" i="2"/>
  <c r="M46" i="2"/>
  <c r="K46" i="2"/>
  <c r="I46" i="2"/>
  <c r="O50" i="2"/>
  <c r="M50" i="2"/>
  <c r="K50" i="2"/>
  <c r="I50" i="2"/>
  <c r="O54" i="2"/>
  <c r="M54" i="2"/>
  <c r="K54" i="2"/>
  <c r="I54" i="2"/>
  <c r="O62" i="2"/>
  <c r="M62" i="2"/>
  <c r="K62" i="2"/>
  <c r="I62" i="2"/>
  <c r="O66" i="2"/>
  <c r="M66" i="2"/>
  <c r="K66" i="2"/>
  <c r="O71" i="2"/>
  <c r="M71" i="2"/>
  <c r="K71" i="2"/>
  <c r="O72" i="2"/>
  <c r="M72" i="2"/>
  <c r="K72" i="2"/>
  <c r="O76" i="2"/>
  <c r="M76" i="2"/>
  <c r="K76" i="2"/>
  <c r="I76" i="2"/>
  <c r="O80" i="2"/>
  <c r="M80" i="2"/>
  <c r="K80" i="2"/>
  <c r="I80" i="2"/>
  <c r="O88" i="2"/>
  <c r="M88" i="2"/>
  <c r="K88" i="2"/>
  <c r="I88" i="2"/>
  <c r="O96" i="2"/>
  <c r="M96" i="2"/>
  <c r="K96" i="2"/>
  <c r="I96" i="2"/>
  <c r="O100" i="2"/>
  <c r="M100" i="2"/>
  <c r="K100" i="2"/>
  <c r="I100" i="2"/>
  <c r="O101" i="2"/>
  <c r="M101" i="2"/>
  <c r="K101" i="2"/>
  <c r="I101" i="2"/>
  <c r="O109" i="2"/>
  <c r="M109" i="2"/>
  <c r="K109" i="2"/>
  <c r="I109" i="2"/>
  <c r="O113" i="2"/>
  <c r="M113" i="2"/>
  <c r="K113" i="2"/>
  <c r="I113" i="2"/>
  <c r="O125" i="2"/>
  <c r="M125" i="2"/>
  <c r="K125" i="2"/>
  <c r="I125" i="2"/>
  <c r="O135" i="2"/>
  <c r="M135" i="2"/>
  <c r="K135" i="2"/>
  <c r="I135" i="2"/>
  <c r="O143" i="2"/>
  <c r="M143" i="2"/>
  <c r="K143" i="2"/>
  <c r="I143" i="2"/>
  <c r="O147" i="2"/>
  <c r="M147" i="2"/>
  <c r="K147" i="2"/>
  <c r="I147" i="2"/>
  <c r="O117" i="2"/>
  <c r="M117" i="2"/>
  <c r="K117" i="2"/>
  <c r="I117" i="2"/>
  <c r="I72" i="2"/>
</calcChain>
</file>

<file path=xl/sharedStrings.xml><?xml version="1.0" encoding="utf-8"?>
<sst xmlns="http://schemas.openxmlformats.org/spreadsheetml/2006/main" count="709" uniqueCount="97">
  <si>
    <t>Productiemedewerker Aanloopschaal</t>
  </si>
  <si>
    <t>Leeftijd</t>
  </si>
  <si>
    <t>Lota naam</t>
  </si>
  <si>
    <t>Uurloon excl. ADV</t>
  </si>
  <si>
    <t>Uurloon incl. ADV</t>
  </si>
  <si>
    <t>ORF</t>
  </si>
  <si>
    <t>Marge</t>
  </si>
  <si>
    <t xml:space="preserve">ORF ORT </t>
  </si>
  <si>
    <t>ORF ORT</t>
  </si>
  <si>
    <t>Uurloon OU</t>
  </si>
  <si>
    <t>ORF OU</t>
  </si>
  <si>
    <t>alle leeftijden</t>
  </si>
  <si>
    <t>Productiemdw Aanloopschaal</t>
  </si>
  <si>
    <t>Productiemdw Aanloopschaal (vanaf 1/7)</t>
  </si>
  <si>
    <t>Productiemedewerker A0</t>
  </si>
  <si>
    <t>Productiemdw A0 / 1e jaar</t>
  </si>
  <si>
    <t>Productiemdw A0 / Fase C</t>
  </si>
  <si>
    <t>Productiemedewerker A1</t>
  </si>
  <si>
    <t>Productiemdw A1 / 1e jaar</t>
  </si>
  <si>
    <t>Productiemdw A1 / Fase C</t>
  </si>
  <si>
    <t>Productiemedewerker A2</t>
  </si>
  <si>
    <t>Productiemdw A2 / 1e jaar</t>
  </si>
  <si>
    <t>Productiemdw A2 / Fase C</t>
  </si>
  <si>
    <t>Productiemedewerker A3</t>
  </si>
  <si>
    <t>Productiemdw A3 / 1e jaar</t>
  </si>
  <si>
    <t>Productiemdw A3 / Fase C</t>
  </si>
  <si>
    <t>Productiemedewerker A4</t>
  </si>
  <si>
    <t>Productiemdw A4 / Fase C</t>
  </si>
  <si>
    <t>Productiemedewerker A5</t>
  </si>
  <si>
    <t>Productiemdw A5 / Fase C</t>
  </si>
  <si>
    <t>Productiemedewerker B0</t>
  </si>
  <si>
    <t>Productiemdw B0 / 1e jaar</t>
  </si>
  <si>
    <t>Productiemdw B0 / Fase C</t>
  </si>
  <si>
    <t>Productiemedewerker B1</t>
  </si>
  <si>
    <t>Productiemdw B1 / Fase C</t>
  </si>
  <si>
    <t>Productiemedewerker B2</t>
  </si>
  <si>
    <t>Productiemdw B2 / 1e jaar</t>
  </si>
  <si>
    <t>Productiemdw B2 / Fase C</t>
  </si>
  <si>
    <t>Productiemedewerker B3</t>
  </si>
  <si>
    <t>Productiemdw B3 / Fase C</t>
  </si>
  <si>
    <t>Productiemedewerker B4</t>
  </si>
  <si>
    <t>Productiemdw B4 / Fase C</t>
  </si>
  <si>
    <t>Productiemedewerker B5</t>
  </si>
  <si>
    <t>Productiemdw B5 / Fase C</t>
  </si>
  <si>
    <t>Productiemedewerker B6</t>
  </si>
  <si>
    <t>Productiemdw B6 / Fase C</t>
  </si>
  <si>
    <t>Productiemedewerker C0</t>
  </si>
  <si>
    <t>Productiemdw C0 / 1e jaar</t>
  </si>
  <si>
    <t>Productiemdw C0 / Fase C</t>
  </si>
  <si>
    <t>Productiemedewerker C1</t>
  </si>
  <si>
    <t>Productiemdw C1 / 1e jaar</t>
  </si>
  <si>
    <t>Productiemdw C1 / Fase C</t>
  </si>
  <si>
    <t>Productiemedewerker C2</t>
  </si>
  <si>
    <t>Productiemdw C2 / Fase C</t>
  </si>
  <si>
    <t>Productiemedewerker C3</t>
  </si>
  <si>
    <t>Productiemdw C3 / Fase C</t>
  </si>
  <si>
    <t>Productiemedewerker C4</t>
  </si>
  <si>
    <t>Productiemdw C4 / Fase C</t>
  </si>
  <si>
    <t>Productiemedewerker C5</t>
  </si>
  <si>
    <t>Productiemdw C5 / Fase C</t>
  </si>
  <si>
    <t>Productiemedewerker C6</t>
  </si>
  <si>
    <t>Productiemdw C6 / Fase C</t>
  </si>
  <si>
    <t>Productiemedewerker C8</t>
  </si>
  <si>
    <t>Productiemdw C8 / Fase C</t>
  </si>
  <si>
    <t>Productiemedewerker D0</t>
  </si>
  <si>
    <t>Productiemdw D0 / 1e jaar</t>
  </si>
  <si>
    <t>Productiemdw D0 / Fase C</t>
  </si>
  <si>
    <t>Productiemedewerker D1</t>
  </si>
  <si>
    <t>Productiemdw D1 / Fase C</t>
  </si>
  <si>
    <t>Productiemedewerker D2</t>
  </si>
  <si>
    <t>Productiemdw D2 / Fase C</t>
  </si>
  <si>
    <t>Productiemedewerker D3</t>
  </si>
  <si>
    <t>Productiemdw D3 / Fase C</t>
  </si>
  <si>
    <t>Productiemedewerker D4</t>
  </si>
  <si>
    <t>Productiemdw D4 / Fase C</t>
  </si>
  <si>
    <t>Productiemedewerker D5</t>
  </si>
  <si>
    <t>Productiemdw D5 / Fase C</t>
  </si>
  <si>
    <t>Productiemedewerker E3</t>
  </si>
  <si>
    <t>Productiemdw E3 / Fase C</t>
  </si>
  <si>
    <t>Productiemdw E3 / Fase B</t>
  </si>
  <si>
    <t>Teamleider E3 / Fase B</t>
  </si>
  <si>
    <t>Productiemedewerker E4</t>
  </si>
  <si>
    <t>Productiemdw E4 / Fase C</t>
  </si>
  <si>
    <t>Productiemedewerker F2</t>
  </si>
  <si>
    <t>Productiemdw F2 / Fase C</t>
  </si>
  <si>
    <t>Productiemedewerker F3</t>
  </si>
  <si>
    <t>Productiemdw F3 / Fase C</t>
  </si>
  <si>
    <t>Teamleider E6</t>
  </si>
  <si>
    <t>Teamleider E6 / Fase C</t>
  </si>
  <si>
    <t>Teamleider F5</t>
  </si>
  <si>
    <t>Teamleider F5 / Fase C</t>
  </si>
  <si>
    <t>Teamleider F6</t>
  </si>
  <si>
    <t>Teamleider F6 / Fase C</t>
  </si>
  <si>
    <t>Uitzondering Maciej Bernad (tijdelijk waarnemingstoeslag)</t>
  </si>
  <si>
    <t>toeslag (0,81)</t>
  </si>
  <si>
    <t>Maciej Bernad TIJDELIJK</t>
  </si>
  <si>
    <t>LET OP: OU uren is uurloon zonder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</si>
</sst>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%"/>
    <numFmt numFmtId="166" formatCode="_ [$€-2]\ * #,##0.00_ ;_ [$€-2]\ * \-#,##0.00_ ;_ [$€-2]\ * &quot;-&quot;??_ ;_ @_ "/>
    <numFmt numFmtId="167" formatCode="_-[$€-2]\ * #,##0.00_-;\-[$€-2]\ * #,##0.00_-;_-[$€-2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Univers"/>
      <family val="2"/>
    </font>
    <font>
      <sz val="10"/>
      <color theme="1"/>
      <name val="Univers"/>
      <family val="2"/>
    </font>
    <font>
      <sz val="10"/>
      <color theme="0"/>
      <name val="Univers"/>
      <family val="2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166" fontId="3" fillId="3" borderId="1" xfId="0" applyNumberFormat="1" applyFont="1" applyFill="1" applyBorder="1"/>
    <xf numFmtId="164" fontId="4" fillId="4" borderId="1" xfId="0" applyNumberFormat="1" applyFont="1" applyFill="1" applyBorder="1"/>
    <xf numFmtId="166" fontId="4" fillId="4" borderId="1" xfId="0" applyNumberFormat="1" applyFont="1" applyFill="1" applyBorder="1"/>
    <xf numFmtId="166" fontId="3" fillId="5" borderId="1" xfId="0" applyNumberFormat="1" applyFont="1" applyFill="1" applyBorder="1"/>
    <xf numFmtId="0" fontId="3" fillId="0" borderId="0" xfId="0" applyFont="1"/>
    <xf numFmtId="166" fontId="3" fillId="3" borderId="0" xfId="0" applyNumberFormat="1" applyFont="1" applyFill="1"/>
    <xf numFmtId="164" fontId="4" fillId="3" borderId="0" xfId="0" applyNumberFormat="1" applyFont="1" applyFill="1"/>
    <xf numFmtId="166" fontId="4" fillId="3" borderId="0" xfId="0" applyNumberFormat="1" applyFont="1" applyFill="1"/>
    <xf numFmtId="0" fontId="5" fillId="0" borderId="0" xfId="0" applyFont="1"/>
    <xf numFmtId="0" fontId="6" fillId="0" borderId="0" xfId="0" applyFont="1"/>
    <xf numFmtId="9" fontId="2" fillId="2" borderId="5" xfId="0" applyNumberFormat="1" applyFont="1" applyFill="1" applyBorder="1" applyAlignment="1">
      <alignment horizontal="center"/>
    </xf>
    <xf numFmtId="0" fontId="0" fillId="3" borderId="0" xfId="0" applyFill="1"/>
    <xf numFmtId="164" fontId="4" fillId="4" borderId="6" xfId="0" applyNumberFormat="1" applyFont="1" applyFill="1" applyBorder="1"/>
    <xf numFmtId="9" fontId="2" fillId="2" borderId="7" xfId="0" applyNumberFormat="1" applyFont="1" applyFill="1" applyBorder="1" applyAlignment="1">
      <alignment horizontal="center"/>
    </xf>
    <xf numFmtId="164" fontId="4" fillId="4" borderId="2" xfId="0" applyNumberFormat="1" applyFont="1" applyFill="1" applyBorder="1"/>
    <xf numFmtId="0" fontId="6" fillId="3" borderId="0" xfId="0" applyFont="1" applyFill="1"/>
    <xf numFmtId="164" fontId="2" fillId="2" borderId="5" xfId="0" applyNumberFormat="1" applyFont="1" applyFill="1" applyBorder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6" fontId="3" fillId="3" borderId="3" xfId="0" applyNumberFormat="1" applyFont="1" applyFill="1" applyBorder="1"/>
    <xf numFmtId="164" fontId="2" fillId="2" borderId="4" xfId="0" applyNumberFormat="1" applyFont="1" applyFill="1" applyBorder="1" applyAlignment="1">
      <alignment horizontal="center"/>
    </xf>
    <xf numFmtId="164" fontId="4" fillId="4" borderId="3" xfId="0" applyNumberFormat="1" applyFont="1" applyFill="1" applyBorder="1"/>
    <xf numFmtId="10" fontId="2" fillId="2" borderId="7" xfId="0" applyNumberFormat="1" applyFont="1" applyFill="1" applyBorder="1" applyAlignment="1">
      <alignment horizontal="center"/>
    </xf>
    <xf numFmtId="0" fontId="3" fillId="3" borderId="1" xfId="0" applyFont="1" applyFill="1" applyBorder="1"/>
    <xf numFmtId="164" fontId="4" fillId="4" borderId="0" xfId="0" applyNumberFormat="1" applyFont="1" applyFill="1"/>
    <xf numFmtId="0" fontId="7" fillId="3" borderId="0" xfId="0" applyFont="1" applyFill="1"/>
    <xf numFmtId="10" fontId="2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/>
    <xf numFmtId="10" fontId="2" fillId="3" borderId="5" xfId="0" applyNumberFormat="1" applyFont="1" applyFill="1" applyBorder="1" applyAlignment="1">
      <alignment horizontal="center"/>
    </xf>
    <xf numFmtId="10" fontId="2" fillId="3" borderId="7" xfId="0" applyNumberFormat="1" applyFont="1" applyFill="1" applyBorder="1" applyAlignment="1">
      <alignment horizontal="center"/>
    </xf>
    <xf numFmtId="166" fontId="4" fillId="3" borderId="3" xfId="0" applyNumberFormat="1" applyFont="1" applyFill="1" applyBorder="1"/>
    <xf numFmtId="0" fontId="8" fillId="3" borderId="0" xfId="0" applyFont="1" applyFill="1"/>
    <xf numFmtId="166" fontId="3" fillId="3" borderId="8" xfId="0" applyNumberFormat="1" applyFont="1" applyFill="1" applyBorder="1"/>
    <xf numFmtId="164" fontId="4" fillId="4" borderId="9" xfId="0" applyNumberFormat="1" applyFon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158</xdr:row>
      <xdr:rowOff>123825</xdr:rowOff>
    </xdr:from>
    <xdr:to>
      <xdr:col>5</xdr:col>
      <xdr:colOff>294363</xdr:colOff>
      <xdr:row>163</xdr:row>
      <xdr:rowOff>85611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B2461AF1-ACA3-4BF9-85F9-398B57302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717875"/>
          <a:ext cx="7804826" cy="866661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163</xdr:row>
      <xdr:rowOff>28575</xdr:rowOff>
    </xdr:from>
    <xdr:to>
      <xdr:col>3</xdr:col>
      <xdr:colOff>66011</xdr:colOff>
      <xdr:row>168</xdr:row>
      <xdr:rowOff>66551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7205DCE6-2CF7-40D2-B0F0-77ECA79C4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9746575"/>
          <a:ext cx="5314286" cy="9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0CC9-6336-41CE-8FB8-39B0D1FA0B67}">
  <dimension ref="A1:Y157"/>
  <sheetViews>
    <sheetView tabSelected="1" workbookViewId="0">
      <selection activeCell="I1" sqref="I1"/>
    </sheetView>
  </sheetViews>
  <sheetFormatPr defaultRowHeight="14.25" x14ac:dyDescent="0.45"/>
  <cols>
    <col min="1" max="1" width="24.1328125" bestFit="1" customWidth="1"/>
    <col min="2" max="2" width="40.1328125" bestFit="1" customWidth="1"/>
    <col min="3" max="3" width="17.73046875" bestFit="1" customWidth="1"/>
    <col min="4" max="4" width="17.3984375" bestFit="1" customWidth="1"/>
    <col min="16" max="16" width="9.1328125" style="34"/>
    <col min="17" max="17" width="11.73046875" bestFit="1" customWidth="1"/>
    <col min="20" max="20" width="11.73046875" bestFit="1" customWidth="1"/>
    <col min="23" max="23" width="11.73046875" bestFit="1" customWidth="1"/>
  </cols>
  <sheetData>
    <row r="1" spans="1:25" x14ac:dyDescent="0.45">
      <c r="A1" s="1" t="s">
        <v>0</v>
      </c>
      <c r="G1" s="43"/>
      <c r="I1" s="43">
        <f>(D3 * E3) + (D3 * H3 * 0.33) + F3</f>
        <v>37.712922660099998</v>
      </c>
      <c r="K1" s="43"/>
      <c r="O1" s="43">
        <f>(O3 / 3)</f>
        <v>25.604359722666661</v>
      </c>
    </row>
    <row r="2" spans="1:25" x14ac:dyDescent="0.4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3" t="s">
        <v>6</v>
      </c>
      <c r="G2" s="5">
        <v>1</v>
      </c>
      <c r="H2" s="5" t="s">
        <v>7</v>
      </c>
      <c r="I2" s="6">
        <v>1.33</v>
      </c>
      <c r="J2" s="5" t="s">
        <v>7</v>
      </c>
      <c r="K2" s="6">
        <v>1.35</v>
      </c>
      <c r="L2" s="4" t="s">
        <v>8</v>
      </c>
      <c r="M2" s="7">
        <v>2</v>
      </c>
      <c r="N2" s="7" t="s">
        <v>8</v>
      </c>
      <c r="O2" s="7">
        <v>3</v>
      </c>
      <c r="P2" s="35"/>
      <c r="Q2" s="7" t="s">
        <v>9</v>
      </c>
      <c r="R2" s="4" t="s">
        <v>10</v>
      </c>
      <c r="S2" s="5">
        <v>1.4</v>
      </c>
      <c r="T2" s="5" t="s">
        <v>9</v>
      </c>
      <c r="U2" s="5" t="s">
        <v>10</v>
      </c>
      <c r="V2" s="5">
        <v>1.8</v>
      </c>
      <c r="W2" s="5" t="s">
        <v>9</v>
      </c>
      <c r="X2" s="5" t="s">
        <v>10</v>
      </c>
      <c r="Y2" s="5">
        <v>2</v>
      </c>
    </row>
    <row r="3" spans="1:25" x14ac:dyDescent="0.45">
      <c r="A3" s="8" t="s">
        <v>11</v>
      </c>
      <c r="B3" s="8" t="s">
        <v>12</v>
      </c>
      <c r="C3" s="32">
        <v>14.06</v>
      </c>
      <c r="D3" s="9">
        <f>C3*1.061</f>
        <v>14.91766</v>
      </c>
      <c r="E3" s="10">
        <v>1.7058</v>
      </c>
      <c r="F3" s="11">
        <v>4.54</v>
      </c>
      <c r="G3" s="12">
        <f>SUM(D3*E3)+F3</f>
        <v>29.986544427999998</v>
      </c>
      <c r="H3" s="10">
        <v>1.5694999999999999</v>
      </c>
      <c r="I3" s="12">
        <f>SUM(G3+(D3*H3*0.33))</f>
        <v>37.712922660099998</v>
      </c>
      <c r="J3" s="10">
        <v>1.5694999999999999</v>
      </c>
      <c r="K3" s="12">
        <f>SUM(G3+(D3*J3*0.35))</f>
        <v>38.181188007499998</v>
      </c>
      <c r="L3" s="10">
        <v>1.5694999999999999</v>
      </c>
      <c r="M3" s="12">
        <f>SUM(G3+(D3*L3*1))</f>
        <v>53.399811797999995</v>
      </c>
      <c r="N3" s="10">
        <v>1.5694999999999999</v>
      </c>
      <c r="O3" s="12">
        <f>SUM(G3+(D3*N3*2))</f>
        <v>76.813079167999987</v>
      </c>
      <c r="P3" s="36"/>
      <c r="Q3" s="9">
        <f>C3*1.4</f>
        <v>19.684000000000001</v>
      </c>
      <c r="R3" s="10">
        <v>1.3842000000000001</v>
      </c>
      <c r="S3" s="12">
        <f>SUM(Q3*R3)</f>
        <v>27.246592800000002</v>
      </c>
      <c r="T3" s="9">
        <f>C3*1.8</f>
        <v>25.308</v>
      </c>
      <c r="U3" s="10">
        <v>1.3842000000000001</v>
      </c>
      <c r="V3" s="12">
        <f>SUM(T3*U3)</f>
        <v>35.031333600000004</v>
      </c>
      <c r="W3" s="9">
        <f>C3*2</f>
        <v>28.12</v>
      </c>
      <c r="X3" s="10">
        <v>1.3842000000000001</v>
      </c>
      <c r="Y3" s="12">
        <f>SUM(W3*X3)</f>
        <v>38.923704000000001</v>
      </c>
    </row>
    <row r="4" spans="1:25" x14ac:dyDescent="0.45">
      <c r="A4" s="8" t="s">
        <v>11</v>
      </c>
      <c r="B4" s="8" t="s">
        <v>13</v>
      </c>
      <c r="C4" s="32">
        <v>14.4</v>
      </c>
      <c r="D4" s="9">
        <f>C4*1.061</f>
        <v>15.2784</v>
      </c>
      <c r="E4" s="10">
        <v>1.7058</v>
      </c>
      <c r="F4" s="11">
        <v>4.54</v>
      </c>
      <c r="G4" s="12">
        <f>SUM(D4*E4)+F4</f>
        <v>30.601894719999997</v>
      </c>
      <c r="H4" s="10">
        <v>1.5694999999999999</v>
      </c>
      <c r="I4" s="12">
        <f>SUM(G4+(D4*H4*0.33))</f>
        <v>38.515112823999999</v>
      </c>
      <c r="J4" s="10">
        <v>1.5694999999999999</v>
      </c>
      <c r="K4" s="12">
        <f>SUM(G4+(D4*J4*0.35))</f>
        <v>38.994701799999994</v>
      </c>
      <c r="L4" s="10">
        <v>1.5694999999999999</v>
      </c>
      <c r="M4" s="12">
        <f>SUM(G4+(D4*L4*1))</f>
        <v>54.58134351999999</v>
      </c>
      <c r="N4" s="10">
        <v>1.5694999999999999</v>
      </c>
      <c r="O4" s="12">
        <f>SUM(G4+(D4*N4*2))</f>
        <v>78.56079231999999</v>
      </c>
      <c r="P4" s="36"/>
      <c r="Q4" s="9">
        <f>C4*1.4</f>
        <v>20.16</v>
      </c>
      <c r="R4" s="10">
        <v>1.3842000000000001</v>
      </c>
      <c r="S4" s="12">
        <f>SUM(Q4*R4)</f>
        <v>27.905472000000003</v>
      </c>
      <c r="T4" s="9">
        <f>C4*1.8</f>
        <v>25.92</v>
      </c>
      <c r="U4" s="10">
        <v>1.3842000000000001</v>
      </c>
      <c r="V4" s="12">
        <f>SUM(T4*U4)</f>
        <v>35.878464000000008</v>
      </c>
      <c r="W4" s="9">
        <f>C4*2</f>
        <v>28.8</v>
      </c>
      <c r="X4" s="10">
        <v>1.3842000000000001</v>
      </c>
      <c r="Y4" s="12">
        <f>SUM(W4*X4)</f>
        <v>39.864960000000004</v>
      </c>
    </row>
    <row r="5" spans="1:25" x14ac:dyDescent="0.45">
      <c r="A5" s="13"/>
      <c r="B5" s="13"/>
      <c r="C5" s="13"/>
      <c r="D5" s="14"/>
      <c r="E5" s="15"/>
      <c r="F5" s="16"/>
      <c r="G5" s="14"/>
      <c r="H5" s="15"/>
      <c r="I5" s="14"/>
      <c r="J5" s="15"/>
      <c r="K5" s="14"/>
      <c r="L5" s="15"/>
      <c r="M5" s="14"/>
      <c r="N5" s="14"/>
      <c r="O5" s="14"/>
      <c r="P5" s="16"/>
      <c r="Q5" s="14"/>
      <c r="R5" s="15"/>
      <c r="S5" s="14"/>
      <c r="T5" s="14"/>
      <c r="U5" s="15"/>
      <c r="V5" s="14"/>
      <c r="W5" s="14"/>
      <c r="X5" s="15"/>
      <c r="Y5" s="14"/>
    </row>
    <row r="6" spans="1:25" x14ac:dyDescent="0.45">
      <c r="A6" s="1" t="s">
        <v>14</v>
      </c>
    </row>
    <row r="7" spans="1:25" x14ac:dyDescent="0.45">
      <c r="A7" s="2" t="s">
        <v>1</v>
      </c>
      <c r="B7" s="2" t="s">
        <v>2</v>
      </c>
      <c r="C7" s="2" t="s">
        <v>3</v>
      </c>
      <c r="D7" s="3" t="s">
        <v>4</v>
      </c>
      <c r="E7" s="4" t="s">
        <v>5</v>
      </c>
      <c r="F7" s="3" t="s">
        <v>6</v>
      </c>
      <c r="G7" s="5">
        <v>1</v>
      </c>
      <c r="H7" s="5" t="s">
        <v>7</v>
      </c>
      <c r="I7" s="6">
        <v>1.33</v>
      </c>
      <c r="J7" s="5" t="s">
        <v>7</v>
      </c>
      <c r="K7" s="6">
        <v>1.35</v>
      </c>
      <c r="L7" s="4" t="s">
        <v>8</v>
      </c>
      <c r="M7" s="7">
        <v>2</v>
      </c>
      <c r="N7" s="7" t="s">
        <v>8</v>
      </c>
      <c r="O7" s="7">
        <v>3</v>
      </c>
      <c r="P7" s="35"/>
      <c r="Q7" s="7" t="s">
        <v>9</v>
      </c>
      <c r="R7" s="4" t="s">
        <v>10</v>
      </c>
      <c r="S7" s="5">
        <v>1.4</v>
      </c>
      <c r="T7" s="7" t="s">
        <v>9</v>
      </c>
      <c r="U7" s="5" t="s">
        <v>10</v>
      </c>
      <c r="V7" s="5">
        <v>1.8</v>
      </c>
      <c r="W7" s="7" t="s">
        <v>9</v>
      </c>
      <c r="X7" s="5" t="s">
        <v>10</v>
      </c>
      <c r="Y7" s="5">
        <v>2</v>
      </c>
    </row>
    <row r="8" spans="1:25" x14ac:dyDescent="0.45">
      <c r="A8" s="8" t="s">
        <v>11</v>
      </c>
      <c r="B8" s="8" t="s">
        <v>15</v>
      </c>
      <c r="C8" s="8">
        <v>14.97</v>
      </c>
      <c r="D8" s="9">
        <f>C8*1.061</f>
        <v>15.88317</v>
      </c>
      <c r="E8" s="10">
        <v>1.7058</v>
      </c>
      <c r="F8" s="11">
        <v>4.54</v>
      </c>
      <c r="G8" s="12">
        <f>SUM(D8*E8)+F8</f>
        <v>31.633511385999999</v>
      </c>
      <c r="H8" s="10">
        <v>1.5694999999999999</v>
      </c>
      <c r="I8" s="12">
        <f>SUM(G8+(D8*H8*0.33))</f>
        <v>39.859961039949994</v>
      </c>
      <c r="J8" s="10">
        <v>1.5694999999999999</v>
      </c>
      <c r="K8" s="12">
        <f>SUM(G8+(D8*J8*0.35))</f>
        <v>40.358533746249996</v>
      </c>
      <c r="L8" s="10">
        <v>1.5694999999999999</v>
      </c>
      <c r="M8" s="12">
        <f>SUM(G8+(D8*L8*1))</f>
        <v>56.562146700999996</v>
      </c>
      <c r="N8" s="10">
        <v>1.5694999999999999</v>
      </c>
      <c r="O8" s="12">
        <f>SUM(G8+(D8*N8*2))</f>
        <v>81.490782015999997</v>
      </c>
      <c r="P8" s="36"/>
      <c r="Q8" s="9">
        <f>C8*1.4</f>
        <v>20.957999999999998</v>
      </c>
      <c r="R8" s="10">
        <v>1.3842000000000001</v>
      </c>
      <c r="S8" s="12">
        <f>SUM(Q8*R8)</f>
        <v>29.010063599999999</v>
      </c>
      <c r="T8" s="9">
        <f>C8*1.8</f>
        <v>26.946000000000002</v>
      </c>
      <c r="U8" s="10">
        <v>1.3842000000000001</v>
      </c>
      <c r="V8" s="12">
        <f>SUM(T8*U8)</f>
        <v>37.298653200000004</v>
      </c>
      <c r="W8" s="9">
        <f>C8*2</f>
        <v>29.94</v>
      </c>
      <c r="X8" s="10">
        <v>1.3842000000000001</v>
      </c>
      <c r="Y8" s="12">
        <f>SUM(W8*X8)</f>
        <v>41.442948000000001</v>
      </c>
    </row>
    <row r="9" spans="1:25" x14ac:dyDescent="0.45">
      <c r="A9" s="8" t="s">
        <v>11</v>
      </c>
      <c r="B9" s="8" t="s">
        <v>16</v>
      </c>
      <c r="C9" s="8">
        <v>14.97</v>
      </c>
      <c r="D9" s="9">
        <f>C9*1.061</f>
        <v>15.88317</v>
      </c>
      <c r="E9" s="10">
        <v>1.629</v>
      </c>
      <c r="F9" s="11">
        <v>4.54</v>
      </c>
      <c r="G9" s="12">
        <f>SUM(D9*E9)+F9</f>
        <v>30.413683929999998</v>
      </c>
      <c r="H9" s="10">
        <v>1.4866999999999999</v>
      </c>
      <c r="I9" s="12">
        <f>SUM(G9+(D9*H9*0.33))</f>
        <v>38.206141846869997</v>
      </c>
      <c r="J9" s="10">
        <v>1.4866999999999999</v>
      </c>
      <c r="K9" s="12">
        <f>SUM(G9+(D9*J9*0.35))</f>
        <v>38.678412023649997</v>
      </c>
      <c r="L9" s="10">
        <v>1.4866999999999999</v>
      </c>
      <c r="M9" s="12">
        <f>SUM(G9+(D9*L9*1))</f>
        <v>54.027192768999996</v>
      </c>
      <c r="N9" s="10">
        <v>1.4866999999999999</v>
      </c>
      <c r="O9" s="12">
        <f>SUM(G9+(D9*N9*2))</f>
        <v>77.640701608000001</v>
      </c>
      <c r="P9" s="36"/>
      <c r="Q9" s="9">
        <f>C9*1.4</f>
        <v>20.957999999999998</v>
      </c>
      <c r="R9" s="10">
        <v>1.3012999999999999</v>
      </c>
      <c r="S9" s="12">
        <f>SUM(Q9*R9)</f>
        <v>27.272645399999995</v>
      </c>
      <c r="T9" s="9">
        <f>C9*1.8</f>
        <v>26.946000000000002</v>
      </c>
      <c r="U9" s="10">
        <v>1.3012999999999999</v>
      </c>
      <c r="V9" s="12">
        <f>SUM(T9*U9)</f>
        <v>35.064829799999998</v>
      </c>
      <c r="W9" s="9">
        <f t="shared" ref="W9:W72" si="0">C9*2</f>
        <v>29.94</v>
      </c>
      <c r="X9" s="10">
        <v>1.3012999999999999</v>
      </c>
      <c r="Y9" s="12">
        <f>SUM(W9*X9)</f>
        <v>38.960921999999997</v>
      </c>
    </row>
    <row r="10" spans="1:25" x14ac:dyDescent="0.45">
      <c r="R10" s="20"/>
      <c r="S10" s="14"/>
      <c r="T10" s="14"/>
      <c r="U10" s="20"/>
      <c r="V10" s="14"/>
      <c r="W10" s="14"/>
      <c r="X10" s="20"/>
      <c r="Y10" s="14"/>
    </row>
    <row r="11" spans="1:25" x14ac:dyDescent="0.45">
      <c r="A11" s="1" t="s">
        <v>17</v>
      </c>
      <c r="R11" s="20"/>
      <c r="S11" s="14"/>
      <c r="T11" s="14"/>
      <c r="U11" s="20"/>
      <c r="V11" s="14"/>
      <c r="W11" s="14"/>
      <c r="X11" s="20"/>
      <c r="Y11" s="14"/>
    </row>
    <row r="12" spans="1:25" x14ac:dyDescent="0.45">
      <c r="A12" s="2" t="s">
        <v>1</v>
      </c>
      <c r="B12" s="2" t="s">
        <v>2</v>
      </c>
      <c r="C12" s="2" t="s">
        <v>3</v>
      </c>
      <c r="D12" s="3" t="s">
        <v>4</v>
      </c>
      <c r="E12" s="4" t="s">
        <v>5</v>
      </c>
      <c r="F12" s="3" t="s">
        <v>6</v>
      </c>
      <c r="G12" s="5">
        <v>1</v>
      </c>
      <c r="H12" s="5" t="s">
        <v>7</v>
      </c>
      <c r="I12" s="6">
        <v>1.33</v>
      </c>
      <c r="J12" s="5" t="s">
        <v>7</v>
      </c>
      <c r="K12" s="6">
        <v>1.35</v>
      </c>
      <c r="L12" s="4" t="s">
        <v>8</v>
      </c>
      <c r="M12" s="7">
        <v>2</v>
      </c>
      <c r="N12" s="7" t="s">
        <v>8</v>
      </c>
      <c r="O12" s="7">
        <v>3</v>
      </c>
      <c r="P12" s="35"/>
      <c r="Q12" s="7" t="s">
        <v>9</v>
      </c>
      <c r="R12" s="25" t="s">
        <v>10</v>
      </c>
      <c r="S12" s="19">
        <v>1.4</v>
      </c>
      <c r="T12" s="7" t="s">
        <v>9</v>
      </c>
      <c r="U12" s="19" t="s">
        <v>10</v>
      </c>
      <c r="V12" s="19">
        <v>1.8</v>
      </c>
      <c r="W12" s="26" t="s">
        <v>9</v>
      </c>
      <c r="X12" s="19" t="s">
        <v>10</v>
      </c>
      <c r="Y12" s="19">
        <v>2</v>
      </c>
    </row>
    <row r="13" spans="1:25" x14ac:dyDescent="0.45">
      <c r="A13" s="8" t="s">
        <v>11</v>
      </c>
      <c r="B13" s="8" t="s">
        <v>18</v>
      </c>
      <c r="C13" s="8">
        <v>15.17</v>
      </c>
      <c r="D13" s="9">
        <f>C13*1.061</f>
        <v>16.095369999999999</v>
      </c>
      <c r="E13" s="10">
        <v>1.7058</v>
      </c>
      <c r="F13" s="11">
        <v>4.54</v>
      </c>
      <c r="G13" s="12">
        <f>SUM(D13*E13)+F13</f>
        <v>31.995482145999997</v>
      </c>
      <c r="H13" s="10">
        <v>1.5694999999999999</v>
      </c>
      <c r="I13" s="12">
        <f>SUM(G13+(D13*H13*0.33))</f>
        <v>40.331837606949996</v>
      </c>
      <c r="J13" s="10">
        <v>1.5694999999999999</v>
      </c>
      <c r="K13" s="12">
        <f>SUM(G13+(D13*J13*0.35))</f>
        <v>40.837071271249997</v>
      </c>
      <c r="L13" s="10">
        <v>1.5694999999999999</v>
      </c>
      <c r="M13" s="12">
        <f>SUM(G13+(D13*L13*1))</f>
        <v>57.257165360999991</v>
      </c>
      <c r="N13" s="10">
        <v>1.5694999999999999</v>
      </c>
      <c r="O13" s="12">
        <f>SUM(G13+(D13*N13*2))</f>
        <v>82.518848575999996</v>
      </c>
      <c r="P13" s="36"/>
      <c r="Q13" s="9">
        <f>C13*1.4</f>
        <v>21.238</v>
      </c>
      <c r="R13" s="10">
        <v>1.3842000000000001</v>
      </c>
      <c r="S13" s="12">
        <f>SUM(Q13*R13)</f>
        <v>29.397639600000002</v>
      </c>
      <c r="T13" s="9">
        <f>C13*1.8</f>
        <v>27.306000000000001</v>
      </c>
      <c r="U13" s="10">
        <v>1.3842000000000001</v>
      </c>
      <c r="V13" s="12">
        <f>SUM(T13*U13)</f>
        <v>37.796965200000002</v>
      </c>
      <c r="W13" s="9">
        <f t="shared" si="0"/>
        <v>30.34</v>
      </c>
      <c r="X13" s="10">
        <v>1.3842000000000001</v>
      </c>
      <c r="Y13" s="12">
        <f>SUM(W13*X13)</f>
        <v>41.996628000000001</v>
      </c>
    </row>
    <row r="14" spans="1:25" x14ac:dyDescent="0.45">
      <c r="A14" s="8" t="s">
        <v>11</v>
      </c>
      <c r="B14" s="8" t="s">
        <v>19</v>
      </c>
      <c r="C14" s="8">
        <v>15.17</v>
      </c>
      <c r="D14" s="9">
        <f>C14*1.061</f>
        <v>16.095369999999999</v>
      </c>
      <c r="E14" s="10">
        <v>1.629</v>
      </c>
      <c r="F14" s="11">
        <v>4.54</v>
      </c>
      <c r="G14" s="12">
        <f>SUM(D14*E14)+F14</f>
        <v>30.759357729999998</v>
      </c>
      <c r="H14" s="10">
        <v>1.4866999999999999</v>
      </c>
      <c r="I14" s="12">
        <f>SUM(G14+(D14*H14*0.33))</f>
        <v>38.655923301069997</v>
      </c>
      <c r="J14" s="10">
        <v>1.4866999999999999</v>
      </c>
      <c r="K14" s="12">
        <f>SUM(G14+(D14*J14*0.35))</f>
        <v>39.134503032649995</v>
      </c>
      <c r="L14" s="10">
        <v>1.4866999999999999</v>
      </c>
      <c r="M14" s="12">
        <f>SUM(G14+(D14*L14*1))</f>
        <v>54.688344308999994</v>
      </c>
      <c r="N14" s="10">
        <v>1.4866999999999999</v>
      </c>
      <c r="O14" s="12">
        <f>SUM(G14+(D14*N14*2))</f>
        <v>78.617330887999998</v>
      </c>
      <c r="P14" s="36"/>
      <c r="Q14" s="9">
        <f>C14*1.4</f>
        <v>21.238</v>
      </c>
      <c r="R14" s="10">
        <v>1.3012999999999999</v>
      </c>
      <c r="S14" s="12">
        <f>SUM(Q14*R14)</f>
        <v>27.637009399999997</v>
      </c>
      <c r="T14" s="9">
        <f>C14*1.8</f>
        <v>27.306000000000001</v>
      </c>
      <c r="U14" s="10">
        <v>1.3012999999999999</v>
      </c>
      <c r="V14" s="12">
        <f>SUM(T14*U14)</f>
        <v>35.5332978</v>
      </c>
      <c r="W14" s="9">
        <f t="shared" si="0"/>
        <v>30.34</v>
      </c>
      <c r="X14" s="10">
        <v>1.3012999999999999</v>
      </c>
      <c r="Y14" s="12">
        <f>SUM(W14*X14)</f>
        <v>39.481441999999994</v>
      </c>
    </row>
    <row r="15" spans="1:25" x14ac:dyDescent="0.45">
      <c r="M15" s="20"/>
      <c r="N15" s="20"/>
      <c r="O15" s="20"/>
      <c r="Q15" s="14"/>
      <c r="R15" s="20"/>
      <c r="S15" s="14"/>
      <c r="T15" s="14"/>
      <c r="U15" s="20"/>
      <c r="V15" s="14"/>
      <c r="W15" s="14"/>
      <c r="X15" s="20"/>
      <c r="Y15" s="14"/>
    </row>
    <row r="16" spans="1:25" x14ac:dyDescent="0.45">
      <c r="A16" s="1" t="s">
        <v>20</v>
      </c>
      <c r="M16" s="20"/>
      <c r="N16" s="20"/>
      <c r="O16" s="20"/>
      <c r="Q16" s="14"/>
      <c r="R16" s="20"/>
      <c r="S16" s="14"/>
      <c r="T16" s="14"/>
      <c r="U16" s="20"/>
      <c r="V16" s="14"/>
      <c r="W16" s="14"/>
      <c r="X16" s="20"/>
      <c r="Y16" s="14"/>
    </row>
    <row r="17" spans="1:25" x14ac:dyDescent="0.45">
      <c r="A17" s="2" t="s">
        <v>1</v>
      </c>
      <c r="B17" s="2" t="s">
        <v>2</v>
      </c>
      <c r="C17" s="2" t="s">
        <v>3</v>
      </c>
      <c r="D17" s="3" t="s">
        <v>4</v>
      </c>
      <c r="E17" s="4" t="s">
        <v>5</v>
      </c>
      <c r="F17" s="3" t="s">
        <v>6</v>
      </c>
      <c r="G17" s="5">
        <v>1</v>
      </c>
      <c r="H17" s="5" t="s">
        <v>7</v>
      </c>
      <c r="I17" s="6">
        <v>1.33</v>
      </c>
      <c r="J17" s="5" t="s">
        <v>7</v>
      </c>
      <c r="K17" s="6">
        <v>1.35</v>
      </c>
      <c r="L17" s="4" t="s">
        <v>8</v>
      </c>
      <c r="M17" s="26">
        <v>2</v>
      </c>
      <c r="N17" s="7" t="s">
        <v>8</v>
      </c>
      <c r="O17" s="26">
        <v>3</v>
      </c>
      <c r="P17" s="37"/>
      <c r="Q17" s="26" t="s">
        <v>9</v>
      </c>
      <c r="R17" s="25" t="s">
        <v>10</v>
      </c>
      <c r="S17" s="19">
        <v>1.4</v>
      </c>
      <c r="T17" s="26" t="s">
        <v>9</v>
      </c>
      <c r="U17" s="19" t="s">
        <v>10</v>
      </c>
      <c r="V17" s="19">
        <v>1.8</v>
      </c>
      <c r="W17" s="26" t="s">
        <v>9</v>
      </c>
      <c r="X17" s="19" t="s">
        <v>10</v>
      </c>
      <c r="Y17" s="19">
        <v>2</v>
      </c>
    </row>
    <row r="18" spans="1:25" x14ac:dyDescent="0.45">
      <c r="A18" s="8" t="s">
        <v>11</v>
      </c>
      <c r="B18" s="8" t="s">
        <v>21</v>
      </c>
      <c r="C18" s="8">
        <v>15.36</v>
      </c>
      <c r="D18" s="9">
        <f>C18*1.061</f>
        <v>16.296959999999999</v>
      </c>
      <c r="E18" s="10">
        <v>1.7058</v>
      </c>
      <c r="F18" s="11">
        <v>4.54</v>
      </c>
      <c r="G18" s="12">
        <f>SUM(D18*E18)+F18</f>
        <v>32.339354367999995</v>
      </c>
      <c r="H18" s="10">
        <v>1.5694999999999999</v>
      </c>
      <c r="I18" s="12">
        <f>SUM(G18+(D18*H18*0.33))</f>
        <v>40.780120345599997</v>
      </c>
      <c r="J18" s="10">
        <v>1.5694999999999999</v>
      </c>
      <c r="K18" s="12">
        <f>SUM(G18+(D18*J18*0.35))</f>
        <v>41.291681919999995</v>
      </c>
      <c r="L18" s="10">
        <v>1.5694999999999999</v>
      </c>
      <c r="M18" s="12">
        <f>SUM(G18+(D18*L18*1))</f>
        <v>57.917433087999996</v>
      </c>
      <c r="N18" s="10">
        <v>1.5694999999999999</v>
      </c>
      <c r="O18" s="12">
        <f>SUM(G18+(D18*N18*2))</f>
        <v>83.495511807999989</v>
      </c>
      <c r="P18" s="36"/>
      <c r="Q18" s="9">
        <f>C18*1.4</f>
        <v>21.503999999999998</v>
      </c>
      <c r="R18" s="10">
        <v>1.3842000000000001</v>
      </c>
      <c r="S18" s="12">
        <f>SUM(Q18*R18)</f>
        <v>29.765836799999999</v>
      </c>
      <c r="T18" s="9">
        <f>C18*1.8</f>
        <v>27.648</v>
      </c>
      <c r="U18" s="10">
        <v>1.3842000000000001</v>
      </c>
      <c r="V18" s="12">
        <f>SUM(T18*U18)</f>
        <v>38.270361600000001</v>
      </c>
      <c r="W18" s="9">
        <f t="shared" ref="W18" si="1">C18*2</f>
        <v>30.72</v>
      </c>
      <c r="X18" s="10">
        <v>1.3842000000000001</v>
      </c>
      <c r="Y18" s="12">
        <f>SUM(W18*X18)</f>
        <v>42.522624</v>
      </c>
    </row>
    <row r="19" spans="1:25" x14ac:dyDescent="0.45">
      <c r="A19" s="8" t="s">
        <v>11</v>
      </c>
      <c r="B19" s="8" t="s">
        <v>22</v>
      </c>
      <c r="C19" s="8">
        <v>15.36</v>
      </c>
      <c r="D19" s="9">
        <f>C19*1.061</f>
        <v>16.296959999999999</v>
      </c>
      <c r="E19" s="10">
        <v>1.629</v>
      </c>
      <c r="F19" s="11">
        <v>4.54</v>
      </c>
      <c r="G19" s="12">
        <f>SUM(D19*E19)+F19</f>
        <v>31.087747839999995</v>
      </c>
      <c r="H19" s="10">
        <v>1.4866999999999999</v>
      </c>
      <c r="I19" s="12">
        <f>SUM(G19+(D19*H19*0.33))</f>
        <v>39.083215682559995</v>
      </c>
      <c r="J19" s="10">
        <v>1.4866999999999999</v>
      </c>
      <c r="K19" s="12">
        <f>SUM(G19+(D19*J19*0.35))</f>
        <v>39.567789491199996</v>
      </c>
      <c r="L19" s="10">
        <v>1.4866999999999999</v>
      </c>
      <c r="M19" s="12">
        <f>SUM(G19+(D19*L19*1))</f>
        <v>55.316438271999992</v>
      </c>
      <c r="N19" s="10">
        <v>1.4866999999999999</v>
      </c>
      <c r="O19" s="12">
        <f>SUM(G19+(D19*N19*2))</f>
        <v>79.545128703999993</v>
      </c>
      <c r="P19" s="36"/>
      <c r="Q19" s="9">
        <f t="shared" ref="Q19:Q80" si="2">C19*1.4</f>
        <v>21.503999999999998</v>
      </c>
      <c r="R19" s="10">
        <v>1.3012999999999999</v>
      </c>
      <c r="S19" s="12">
        <f>SUM(Q19*R19)</f>
        <v>27.983155199999995</v>
      </c>
      <c r="T19" s="9">
        <f t="shared" ref="T19:T80" si="3">C19*1.8</f>
        <v>27.648</v>
      </c>
      <c r="U19" s="10">
        <v>1.3012999999999999</v>
      </c>
      <c r="V19" s="12">
        <f>SUM(T19*U19)</f>
        <v>35.978342399999995</v>
      </c>
      <c r="W19" s="9">
        <f t="shared" si="0"/>
        <v>30.72</v>
      </c>
      <c r="X19" s="10">
        <v>1.3012999999999999</v>
      </c>
      <c r="Y19" s="12">
        <f>SUM(W19*X19)</f>
        <v>39.975935999999997</v>
      </c>
    </row>
    <row r="20" spans="1:25" x14ac:dyDescent="0.45">
      <c r="Q20" s="14"/>
      <c r="R20" s="20"/>
      <c r="S20" s="14"/>
      <c r="T20" s="14"/>
      <c r="U20" s="20"/>
      <c r="V20" s="14"/>
      <c r="W20" s="14"/>
      <c r="X20" s="20"/>
      <c r="Y20" s="14"/>
    </row>
    <row r="21" spans="1:25" x14ac:dyDescent="0.45">
      <c r="A21" s="1" t="s">
        <v>23</v>
      </c>
      <c r="Q21" s="14"/>
      <c r="R21" s="20"/>
      <c r="S21" s="14"/>
      <c r="T21" s="14"/>
      <c r="U21" s="20"/>
      <c r="V21" s="14"/>
      <c r="W21" s="14"/>
      <c r="X21" s="20"/>
      <c r="Y21" s="14"/>
    </row>
    <row r="22" spans="1:25" x14ac:dyDescent="0.45">
      <c r="A22" s="2" t="s">
        <v>1</v>
      </c>
      <c r="B22" s="2" t="s">
        <v>2</v>
      </c>
      <c r="C22" s="2" t="s">
        <v>3</v>
      </c>
      <c r="D22" s="3" t="s">
        <v>4</v>
      </c>
      <c r="E22" s="4" t="s">
        <v>5</v>
      </c>
      <c r="F22" s="3" t="s">
        <v>6</v>
      </c>
      <c r="G22" s="5">
        <v>1</v>
      </c>
      <c r="H22" s="5" t="s">
        <v>7</v>
      </c>
      <c r="I22" s="6">
        <v>1.33</v>
      </c>
      <c r="J22" s="5" t="s">
        <v>7</v>
      </c>
      <c r="K22" s="6">
        <v>1.35</v>
      </c>
      <c r="L22" s="4" t="s">
        <v>8</v>
      </c>
      <c r="M22" s="7">
        <v>2</v>
      </c>
      <c r="N22" s="7" t="s">
        <v>8</v>
      </c>
      <c r="O22" s="26">
        <v>3</v>
      </c>
      <c r="P22" s="37"/>
      <c r="Q22" s="26" t="s">
        <v>9</v>
      </c>
      <c r="R22" s="25" t="s">
        <v>10</v>
      </c>
      <c r="S22" s="19">
        <v>1.4</v>
      </c>
      <c r="T22" s="26" t="s">
        <v>9</v>
      </c>
      <c r="U22" s="19" t="s">
        <v>10</v>
      </c>
      <c r="V22" s="19">
        <v>1.8</v>
      </c>
      <c r="W22" s="26" t="s">
        <v>9</v>
      </c>
      <c r="X22" s="19" t="s">
        <v>10</v>
      </c>
      <c r="Y22" s="19">
        <v>2</v>
      </c>
    </row>
    <row r="23" spans="1:25" x14ac:dyDescent="0.45">
      <c r="A23" s="8" t="s">
        <v>11</v>
      </c>
      <c r="B23" s="8" t="s">
        <v>24</v>
      </c>
      <c r="C23" s="8">
        <v>15.56</v>
      </c>
      <c r="D23" s="9">
        <f>C23*1.061</f>
        <v>16.509160000000001</v>
      </c>
      <c r="E23" s="10">
        <v>1.7058</v>
      </c>
      <c r="F23" s="11">
        <v>4.54</v>
      </c>
      <c r="G23" s="12">
        <f>SUM(D23*E23)+F23</f>
        <v>32.701325128000001</v>
      </c>
      <c r="H23" s="10">
        <v>1.5694999999999999</v>
      </c>
      <c r="I23" s="12">
        <f>SUM(G23+(D23*H23*0.33))</f>
        <v>41.251996912599999</v>
      </c>
      <c r="J23" s="10">
        <v>1.5694999999999999</v>
      </c>
      <c r="K23" s="12">
        <f>SUM(G23+(D23*J23*0.35))</f>
        <v>41.770219445000002</v>
      </c>
      <c r="L23" s="10">
        <v>1.5694999999999999</v>
      </c>
      <c r="M23" s="12">
        <f>SUM(G23+(D23*L23*1))</f>
        <v>58.612451747999998</v>
      </c>
      <c r="N23" s="10">
        <v>1.5694999999999999</v>
      </c>
      <c r="O23" s="12">
        <f>SUM(G23+(D23*N23*2))</f>
        <v>84.523578368000003</v>
      </c>
      <c r="P23" s="36"/>
      <c r="Q23" s="9">
        <f>C23*1.4</f>
        <v>21.783999999999999</v>
      </c>
      <c r="R23" s="10">
        <v>1.3842000000000001</v>
      </c>
      <c r="S23" s="12">
        <f>SUM(Q23*R23)</f>
        <v>30.153412800000002</v>
      </c>
      <c r="T23" s="9">
        <f>C23*1.8</f>
        <v>28.008000000000003</v>
      </c>
      <c r="U23" s="10">
        <v>1.3842000000000001</v>
      </c>
      <c r="V23" s="12">
        <f>SUM(T23*U23)</f>
        <v>38.768673600000007</v>
      </c>
      <c r="W23" s="9">
        <f t="shared" ref="W23" si="4">C23*2</f>
        <v>31.12</v>
      </c>
      <c r="X23" s="10">
        <v>1.3842000000000001</v>
      </c>
      <c r="Y23" s="12">
        <f>SUM(W23*X23)</f>
        <v>43.076304000000007</v>
      </c>
    </row>
    <row r="24" spans="1:25" x14ac:dyDescent="0.45">
      <c r="A24" s="8" t="s">
        <v>11</v>
      </c>
      <c r="B24" s="8" t="s">
        <v>25</v>
      </c>
      <c r="C24" s="8">
        <v>15.56</v>
      </c>
      <c r="D24" s="9">
        <f>C24*1.061</f>
        <v>16.509160000000001</v>
      </c>
      <c r="E24" s="10">
        <v>1.629</v>
      </c>
      <c r="F24" s="11">
        <v>4.54</v>
      </c>
      <c r="G24" s="12">
        <f>SUM(D24*E24)+F24</f>
        <v>31.433421640000002</v>
      </c>
      <c r="H24" s="10">
        <v>1.4866999999999999</v>
      </c>
      <c r="I24" s="12">
        <f>SUM(G24+(D24*H24*0.33))</f>
        <v>39.532997136760002</v>
      </c>
      <c r="J24" s="10">
        <v>1.4866999999999999</v>
      </c>
      <c r="K24" s="12">
        <f>SUM(G24+(D24*J24*0.35))</f>
        <v>40.023880500200001</v>
      </c>
      <c r="L24" s="10">
        <v>1.4866999999999999</v>
      </c>
      <c r="M24" s="12">
        <f>SUM(G24+(D24*L24*1))</f>
        <v>55.977589812000005</v>
      </c>
      <c r="N24" s="10">
        <v>1.4866999999999999</v>
      </c>
      <c r="O24" s="12">
        <f>SUM(G24+(D24*N24*2))</f>
        <v>80.521757984000004</v>
      </c>
      <c r="P24" s="36"/>
      <c r="Q24" s="9">
        <f t="shared" si="2"/>
        <v>21.783999999999999</v>
      </c>
      <c r="R24" s="10">
        <v>1.3012999999999999</v>
      </c>
      <c r="S24" s="12">
        <f>SUM(Q24*R24)</f>
        <v>28.347519199999997</v>
      </c>
      <c r="T24" s="9">
        <f t="shared" si="3"/>
        <v>28.008000000000003</v>
      </c>
      <c r="U24" s="10">
        <v>1.3012999999999999</v>
      </c>
      <c r="V24" s="12">
        <f>SUM(T24*U24)</f>
        <v>36.446810400000004</v>
      </c>
      <c r="W24" s="9">
        <f t="shared" si="0"/>
        <v>31.12</v>
      </c>
      <c r="X24" s="10">
        <v>1.3012999999999999</v>
      </c>
      <c r="Y24" s="12">
        <f>SUM(W24*X24)</f>
        <v>40.496455999999995</v>
      </c>
    </row>
    <row r="25" spans="1:25" x14ac:dyDescent="0.45">
      <c r="Q25" s="14"/>
      <c r="R25" s="20"/>
      <c r="S25" s="14"/>
      <c r="T25" s="14"/>
      <c r="U25" s="20"/>
      <c r="V25" s="14"/>
      <c r="W25" s="14"/>
      <c r="X25" s="20"/>
      <c r="Y25" s="14"/>
    </row>
    <row r="26" spans="1:25" x14ac:dyDescent="0.45">
      <c r="A26" s="1" t="s">
        <v>26</v>
      </c>
      <c r="Q26" s="14"/>
      <c r="R26" s="20"/>
      <c r="S26" s="14"/>
      <c r="T26" s="14"/>
      <c r="U26" s="20"/>
      <c r="V26" s="14"/>
      <c r="W26" s="14"/>
      <c r="X26" s="20"/>
      <c r="Y26" s="14"/>
    </row>
    <row r="27" spans="1:25" x14ac:dyDescent="0.45">
      <c r="A27" s="2" t="s">
        <v>1</v>
      </c>
      <c r="B27" s="2" t="s">
        <v>2</v>
      </c>
      <c r="C27" s="2" t="s">
        <v>3</v>
      </c>
      <c r="D27" s="3" t="s">
        <v>4</v>
      </c>
      <c r="E27" s="4" t="s">
        <v>5</v>
      </c>
      <c r="F27" s="3" t="s">
        <v>6</v>
      </c>
      <c r="G27" s="5">
        <v>1</v>
      </c>
      <c r="H27" s="5" t="s">
        <v>7</v>
      </c>
      <c r="I27" s="6">
        <v>1.33</v>
      </c>
      <c r="J27" s="5" t="s">
        <v>7</v>
      </c>
      <c r="K27" s="6">
        <v>1.35</v>
      </c>
      <c r="L27" s="4" t="s">
        <v>8</v>
      </c>
      <c r="M27" s="7">
        <v>2</v>
      </c>
      <c r="N27" s="7" t="s">
        <v>8</v>
      </c>
      <c r="O27" s="26">
        <v>3</v>
      </c>
      <c r="P27" s="37"/>
      <c r="Q27" s="26" t="s">
        <v>9</v>
      </c>
      <c r="R27" s="25" t="s">
        <v>10</v>
      </c>
      <c r="S27" s="19">
        <v>1.4</v>
      </c>
      <c r="T27" s="26" t="s">
        <v>9</v>
      </c>
      <c r="U27" s="19" t="s">
        <v>10</v>
      </c>
      <c r="V27" s="19">
        <v>1.8</v>
      </c>
      <c r="W27" s="26" t="s">
        <v>9</v>
      </c>
      <c r="X27" s="19" t="s">
        <v>10</v>
      </c>
      <c r="Y27" s="19">
        <v>2</v>
      </c>
    </row>
    <row r="28" spans="1:25" x14ac:dyDescent="0.45">
      <c r="A28" s="8" t="s">
        <v>11</v>
      </c>
      <c r="B28" s="8" t="s">
        <v>27</v>
      </c>
      <c r="C28" s="8">
        <v>15.75</v>
      </c>
      <c r="D28" s="9">
        <f>C28*1.061</f>
        <v>16.710749999999997</v>
      </c>
      <c r="E28" s="10">
        <v>1.629</v>
      </c>
      <c r="F28" s="11">
        <v>4.54</v>
      </c>
      <c r="G28" s="12">
        <f>SUM(D28*E28)+F28</f>
        <v>31.761811749999996</v>
      </c>
      <c r="H28" s="10">
        <v>1.4866999999999999</v>
      </c>
      <c r="I28" s="12">
        <f>SUM(G28+(D28*H28*0.33))</f>
        <v>39.960289518249994</v>
      </c>
      <c r="J28" s="10">
        <v>1.4866999999999999</v>
      </c>
      <c r="K28" s="12">
        <f>SUM(G28+(D28*J28*0.35))</f>
        <v>40.457166958749994</v>
      </c>
      <c r="L28" s="10">
        <v>1.4866999999999999</v>
      </c>
      <c r="M28" s="12">
        <f>SUM(G28+(D28*L28*1))</f>
        <v>56.605683774999989</v>
      </c>
      <c r="N28" s="10">
        <v>1.4866999999999999</v>
      </c>
      <c r="O28" s="12">
        <f>SUM(G28+(D28*N28*2))</f>
        <v>81.449555799999985</v>
      </c>
      <c r="P28" s="36"/>
      <c r="Q28" s="9">
        <f t="shared" si="2"/>
        <v>22.049999999999997</v>
      </c>
      <c r="R28" s="10">
        <v>1.3012999999999999</v>
      </c>
      <c r="S28" s="12">
        <f>SUM(Q28*R28)</f>
        <v>28.693664999999996</v>
      </c>
      <c r="T28" s="9">
        <f t="shared" si="3"/>
        <v>28.35</v>
      </c>
      <c r="U28" s="10">
        <v>1.3012999999999999</v>
      </c>
      <c r="V28" s="12">
        <f>SUM(T28*U28)</f>
        <v>36.891855</v>
      </c>
      <c r="W28" s="9">
        <f t="shared" si="0"/>
        <v>31.5</v>
      </c>
      <c r="X28" s="10">
        <v>1.3012999999999999</v>
      </c>
      <c r="Y28" s="12">
        <f>SUM(W28*X28)</f>
        <v>40.990949999999998</v>
      </c>
    </row>
    <row r="29" spans="1:25" x14ac:dyDescent="0.45">
      <c r="M29" s="20"/>
      <c r="N29" s="20"/>
      <c r="O29" s="20"/>
      <c r="Q29" s="14"/>
      <c r="R29" s="20"/>
      <c r="S29" s="14"/>
      <c r="T29" s="14"/>
      <c r="U29" s="20"/>
      <c r="V29" s="14"/>
      <c r="W29" s="14"/>
      <c r="X29" s="20"/>
      <c r="Y29" s="14"/>
    </row>
    <row r="30" spans="1:25" x14ac:dyDescent="0.45">
      <c r="A30" s="1" t="s">
        <v>28</v>
      </c>
      <c r="M30" s="20"/>
      <c r="N30" s="20"/>
      <c r="O30" s="20"/>
      <c r="Q30" s="14"/>
      <c r="R30" s="20"/>
      <c r="S30" s="14"/>
      <c r="T30" s="14"/>
      <c r="U30" s="20"/>
      <c r="V30" s="14"/>
      <c r="W30" s="14"/>
      <c r="X30" s="20"/>
      <c r="Y30" s="14"/>
    </row>
    <row r="31" spans="1:25" x14ac:dyDescent="0.45">
      <c r="A31" s="2" t="s">
        <v>1</v>
      </c>
      <c r="B31" s="2" t="s">
        <v>2</v>
      </c>
      <c r="C31" s="2" t="s">
        <v>3</v>
      </c>
      <c r="D31" s="3" t="s">
        <v>4</v>
      </c>
      <c r="E31" s="4" t="s">
        <v>5</v>
      </c>
      <c r="F31" s="3" t="s">
        <v>6</v>
      </c>
      <c r="G31" s="5">
        <v>1</v>
      </c>
      <c r="H31" s="5" t="s">
        <v>7</v>
      </c>
      <c r="I31" s="6">
        <v>1.33</v>
      </c>
      <c r="J31" s="5" t="s">
        <v>7</v>
      </c>
      <c r="K31" s="6">
        <v>1.35</v>
      </c>
      <c r="L31" s="4" t="s">
        <v>8</v>
      </c>
      <c r="M31" s="26">
        <v>2</v>
      </c>
      <c r="N31" s="7" t="s">
        <v>8</v>
      </c>
      <c r="O31" s="26">
        <v>3</v>
      </c>
      <c r="P31" s="37"/>
      <c r="Q31" s="26" t="s">
        <v>9</v>
      </c>
      <c r="R31" s="25" t="s">
        <v>10</v>
      </c>
      <c r="S31" s="19">
        <v>1.4</v>
      </c>
      <c r="T31" s="26" t="s">
        <v>9</v>
      </c>
      <c r="U31" s="19" t="s">
        <v>10</v>
      </c>
      <c r="V31" s="19">
        <v>1.8</v>
      </c>
      <c r="W31" s="26" t="s">
        <v>9</v>
      </c>
      <c r="X31" s="19" t="s">
        <v>10</v>
      </c>
      <c r="Y31" s="19">
        <v>2</v>
      </c>
    </row>
    <row r="32" spans="1:25" x14ac:dyDescent="0.45">
      <c r="A32" s="8" t="s">
        <v>11</v>
      </c>
      <c r="B32" s="8" t="s">
        <v>29</v>
      </c>
      <c r="C32" s="8">
        <v>15.95</v>
      </c>
      <c r="D32" s="9">
        <f>C32*1.061</f>
        <v>16.922949999999997</v>
      </c>
      <c r="E32" s="10">
        <v>1.629</v>
      </c>
      <c r="F32" s="11">
        <v>4.54</v>
      </c>
      <c r="G32" s="12">
        <f>SUM(D32*E32)+F32</f>
        <v>32.107485549999993</v>
      </c>
      <c r="H32" s="10">
        <v>1.4866999999999999</v>
      </c>
      <c r="I32" s="12">
        <f>SUM(G32+(D32*H32*0.33))</f>
        <v>40.410070972449994</v>
      </c>
      <c r="J32" s="10">
        <v>1.4866999999999999</v>
      </c>
      <c r="K32" s="12">
        <f>SUM(G32+(D32*J32*0.35))</f>
        <v>40.913257967749992</v>
      </c>
      <c r="L32" s="10">
        <v>1.4866999999999999</v>
      </c>
      <c r="M32" s="12">
        <f>SUM(G32+(D32*L32*1))</f>
        <v>57.266835314999987</v>
      </c>
      <c r="N32" s="10">
        <v>1.4866999999999999</v>
      </c>
      <c r="O32" s="12">
        <f>SUM(G32+(D32*N32*2))</f>
        <v>82.426185079999982</v>
      </c>
      <c r="P32" s="36"/>
      <c r="Q32" s="9">
        <f t="shared" si="2"/>
        <v>22.33</v>
      </c>
      <c r="R32" s="10">
        <v>1.3012999999999999</v>
      </c>
      <c r="S32" s="12">
        <f>SUM(Q32*R32)</f>
        <v>29.058028999999994</v>
      </c>
      <c r="T32" s="9">
        <f t="shared" si="3"/>
        <v>28.71</v>
      </c>
      <c r="U32" s="10">
        <v>1.3012999999999999</v>
      </c>
      <c r="V32" s="12">
        <f>SUM(T32*U32)</f>
        <v>37.360323000000001</v>
      </c>
      <c r="W32" s="9">
        <f t="shared" si="0"/>
        <v>31.9</v>
      </c>
      <c r="X32" s="10">
        <v>1.3012999999999999</v>
      </c>
      <c r="Y32" s="12">
        <f>SUM(W32*X32)</f>
        <v>41.511469999999996</v>
      </c>
    </row>
    <row r="33" spans="1:25" x14ac:dyDescent="0.45">
      <c r="M33" s="20"/>
      <c r="N33" s="20"/>
      <c r="O33" s="20"/>
      <c r="Q33" s="14"/>
      <c r="R33" s="20"/>
      <c r="S33" s="14"/>
      <c r="T33" s="14"/>
      <c r="U33" s="20"/>
      <c r="V33" s="14"/>
      <c r="W33" s="14"/>
      <c r="X33" s="20"/>
      <c r="Y33" s="14"/>
    </row>
    <row r="34" spans="1:25" x14ac:dyDescent="0.45">
      <c r="A34" s="1" t="s">
        <v>30</v>
      </c>
      <c r="Q34" s="14"/>
      <c r="R34" s="20"/>
      <c r="S34" s="14"/>
      <c r="T34" s="14"/>
      <c r="U34" s="20"/>
      <c r="V34" s="14"/>
      <c r="W34" s="14"/>
      <c r="X34" s="20"/>
      <c r="Y34" s="14"/>
    </row>
    <row r="35" spans="1:25" x14ac:dyDescent="0.45">
      <c r="A35" s="2" t="s">
        <v>1</v>
      </c>
      <c r="B35" s="2" t="s">
        <v>2</v>
      </c>
      <c r="C35" s="2" t="s">
        <v>3</v>
      </c>
      <c r="D35" s="3" t="s">
        <v>4</v>
      </c>
      <c r="E35" s="4" t="s">
        <v>5</v>
      </c>
      <c r="F35" s="3" t="s">
        <v>6</v>
      </c>
      <c r="G35" s="5">
        <v>1</v>
      </c>
      <c r="H35" s="5" t="s">
        <v>7</v>
      </c>
      <c r="I35" s="6">
        <v>1.33</v>
      </c>
      <c r="J35" s="5" t="s">
        <v>7</v>
      </c>
      <c r="K35" s="6">
        <v>1.35</v>
      </c>
      <c r="L35" s="4" t="s">
        <v>8</v>
      </c>
      <c r="M35" s="26">
        <v>2</v>
      </c>
      <c r="N35" s="7" t="s">
        <v>8</v>
      </c>
      <c r="O35" s="26">
        <v>3</v>
      </c>
      <c r="P35" s="37"/>
      <c r="Q35" s="26" t="s">
        <v>9</v>
      </c>
      <c r="R35" s="25" t="s">
        <v>10</v>
      </c>
      <c r="S35" s="19">
        <v>1.4</v>
      </c>
      <c r="T35" s="26" t="s">
        <v>9</v>
      </c>
      <c r="U35" s="19" t="s">
        <v>10</v>
      </c>
      <c r="V35" s="19">
        <v>1.8</v>
      </c>
      <c r="W35" s="26" t="s">
        <v>9</v>
      </c>
      <c r="X35" s="19" t="s">
        <v>10</v>
      </c>
      <c r="Y35" s="19">
        <v>2</v>
      </c>
    </row>
    <row r="36" spans="1:25" x14ac:dyDescent="0.45">
      <c r="A36" s="8" t="s">
        <v>11</v>
      </c>
      <c r="B36" s="8" t="s">
        <v>31</v>
      </c>
      <c r="C36" s="8">
        <v>15.59</v>
      </c>
      <c r="D36" s="9">
        <f>C36*1.061</f>
        <v>16.540989999999997</v>
      </c>
      <c r="E36" s="10">
        <v>1.7058</v>
      </c>
      <c r="F36" s="11">
        <v>4.54</v>
      </c>
      <c r="G36" s="12">
        <f>SUM(D36*E36)+F36</f>
        <v>32.755620741999998</v>
      </c>
      <c r="H36" s="10">
        <v>1.5694999999999999</v>
      </c>
      <c r="I36" s="12">
        <f>SUM(G36+(D36*H36*0.33))</f>
        <v>41.322778397649998</v>
      </c>
      <c r="J36" s="10">
        <v>1.5694999999999999</v>
      </c>
      <c r="K36" s="12">
        <f>SUM(G36+(D36*J36*0.35))</f>
        <v>41.842000073749993</v>
      </c>
      <c r="L36" s="10">
        <v>1.5694999999999999</v>
      </c>
      <c r="M36" s="12">
        <f>SUM(G36+(D36*L36*1))</f>
        <v>58.716704546999992</v>
      </c>
      <c r="N36" s="10">
        <v>1.5694999999999999</v>
      </c>
      <c r="O36" s="12">
        <f>SUM(G36+(D36*N36*2))</f>
        <v>84.677788351999993</v>
      </c>
      <c r="P36" s="36"/>
      <c r="Q36" s="9">
        <f t="shared" si="2"/>
        <v>21.825999999999997</v>
      </c>
      <c r="R36" s="10">
        <v>1.3842000000000001</v>
      </c>
      <c r="S36" s="12">
        <f>SUM(Q36*R36)</f>
        <v>30.211549199999997</v>
      </c>
      <c r="T36" s="9">
        <f t="shared" si="3"/>
        <v>28.062000000000001</v>
      </c>
      <c r="U36" s="10">
        <v>1.3842000000000001</v>
      </c>
      <c r="V36" s="12">
        <f>SUM(T36*U36)</f>
        <v>38.843420400000007</v>
      </c>
      <c r="W36" s="9">
        <f t="shared" si="0"/>
        <v>31.18</v>
      </c>
      <c r="X36" s="10">
        <v>1.3842000000000001</v>
      </c>
      <c r="Y36" s="12">
        <f>SUM(W36*X36)</f>
        <v>43.159356000000002</v>
      </c>
    </row>
    <row r="37" spans="1:25" x14ac:dyDescent="0.45">
      <c r="A37" s="8" t="s">
        <v>11</v>
      </c>
      <c r="B37" s="8" t="s">
        <v>32</v>
      </c>
      <c r="C37" s="8">
        <v>15.59</v>
      </c>
      <c r="D37" s="9">
        <f>C37*1.061</f>
        <v>16.540989999999997</v>
      </c>
      <c r="E37" s="10">
        <v>1.629</v>
      </c>
      <c r="F37" s="11">
        <v>4.54</v>
      </c>
      <c r="G37" s="12">
        <f>SUM(D37*E37)+F37</f>
        <v>31.485272709999993</v>
      </c>
      <c r="H37" s="10">
        <v>1.4866999999999999</v>
      </c>
      <c r="I37" s="12">
        <f>SUM(G37+(D37*H37*0.33))</f>
        <v>39.600464354889994</v>
      </c>
      <c r="J37" s="10">
        <v>1.4866999999999999</v>
      </c>
      <c r="K37" s="12">
        <f>SUM(G37+(D37*J37*0.35))</f>
        <v>40.092294151549993</v>
      </c>
      <c r="L37" s="10">
        <v>1.4866999999999999</v>
      </c>
      <c r="M37" s="12">
        <f>SUM(G37+(D37*L37*1))</f>
        <v>56.076762542999987</v>
      </c>
      <c r="N37" s="10">
        <v>1.4866999999999999</v>
      </c>
      <c r="O37" s="12">
        <f>SUM(G37+(D37*N37*2))</f>
        <v>80.668252375999984</v>
      </c>
      <c r="P37" s="36"/>
      <c r="Q37" s="9">
        <f t="shared" si="2"/>
        <v>21.825999999999997</v>
      </c>
      <c r="R37" s="10">
        <v>1.3012999999999999</v>
      </c>
      <c r="S37" s="12">
        <f>SUM(Q37*R37)</f>
        <v>28.402173799999993</v>
      </c>
      <c r="T37" s="9">
        <f t="shared" si="3"/>
        <v>28.062000000000001</v>
      </c>
      <c r="U37" s="10">
        <v>1.3012999999999999</v>
      </c>
      <c r="V37" s="12">
        <f>SUM(T37*U37)</f>
        <v>36.5170806</v>
      </c>
      <c r="W37" s="9">
        <f t="shared" si="0"/>
        <v>31.18</v>
      </c>
      <c r="X37" s="10">
        <v>1.3012999999999999</v>
      </c>
      <c r="Y37" s="12">
        <f>SUM(W37*X37)</f>
        <v>40.574534</v>
      </c>
    </row>
    <row r="38" spans="1:25" x14ac:dyDescent="0.45">
      <c r="Q38" s="14"/>
      <c r="R38" s="20"/>
      <c r="S38" s="14"/>
      <c r="T38" s="14"/>
      <c r="U38" s="20"/>
      <c r="V38" s="14"/>
      <c r="W38" s="14"/>
      <c r="X38" s="20"/>
      <c r="Y38" s="14"/>
    </row>
    <row r="39" spans="1:25" x14ac:dyDescent="0.45">
      <c r="A39" s="1" t="s">
        <v>33</v>
      </c>
      <c r="Q39" s="14"/>
      <c r="R39" s="20"/>
      <c r="S39" s="14"/>
      <c r="T39" s="14"/>
      <c r="U39" s="20"/>
      <c r="V39" s="14"/>
      <c r="W39" s="14"/>
      <c r="X39" s="20"/>
      <c r="Y39" s="14"/>
    </row>
    <row r="40" spans="1:25" x14ac:dyDescent="0.45">
      <c r="A40" s="2" t="s">
        <v>1</v>
      </c>
      <c r="B40" s="2" t="s">
        <v>2</v>
      </c>
      <c r="C40" s="2" t="s">
        <v>3</v>
      </c>
      <c r="D40" s="3" t="s">
        <v>4</v>
      </c>
      <c r="E40" s="4" t="s">
        <v>5</v>
      </c>
      <c r="F40" s="3" t="s">
        <v>6</v>
      </c>
      <c r="G40" s="5">
        <v>1</v>
      </c>
      <c r="H40" s="5" t="s">
        <v>7</v>
      </c>
      <c r="I40" s="6">
        <v>1.33</v>
      </c>
      <c r="J40" s="5" t="s">
        <v>7</v>
      </c>
      <c r="K40" s="6">
        <v>1.35</v>
      </c>
      <c r="L40" s="4" t="s">
        <v>8</v>
      </c>
      <c r="M40" s="26">
        <v>2</v>
      </c>
      <c r="N40" s="7" t="s">
        <v>8</v>
      </c>
      <c r="O40" s="26">
        <v>3</v>
      </c>
      <c r="P40" s="37"/>
      <c r="Q40" s="26" t="s">
        <v>9</v>
      </c>
      <c r="R40" s="25" t="s">
        <v>10</v>
      </c>
      <c r="S40" s="19">
        <v>1.4</v>
      </c>
      <c r="T40" s="26" t="s">
        <v>9</v>
      </c>
      <c r="U40" s="19" t="s">
        <v>10</v>
      </c>
      <c r="V40" s="19">
        <v>1.8</v>
      </c>
      <c r="W40" s="26" t="s">
        <v>9</v>
      </c>
      <c r="X40" s="19" t="s">
        <v>10</v>
      </c>
      <c r="Y40" s="19">
        <v>2</v>
      </c>
    </row>
    <row r="41" spans="1:25" x14ac:dyDescent="0.45">
      <c r="A41" s="8" t="s">
        <v>11</v>
      </c>
      <c r="B41" s="8" t="s">
        <v>34</v>
      </c>
      <c r="C41" s="8">
        <v>15.8</v>
      </c>
      <c r="D41" s="9">
        <f>C41*1.061</f>
        <v>16.7638</v>
      </c>
      <c r="E41" s="10">
        <v>1.629</v>
      </c>
      <c r="F41" s="11">
        <v>4.54</v>
      </c>
      <c r="G41" s="12">
        <f>SUM(D41*E41)+F41</f>
        <v>31.8482302</v>
      </c>
      <c r="H41" s="10">
        <v>1.4866999999999999</v>
      </c>
      <c r="I41" s="12">
        <f>SUM(G41+(D41*H41*0.33))</f>
        <v>40.072734881800002</v>
      </c>
      <c r="J41" s="10">
        <v>1.4866999999999999</v>
      </c>
      <c r="K41" s="12">
        <f>SUM(G41+(D41*J41*0.35))</f>
        <v>40.571189711000002</v>
      </c>
      <c r="L41" s="10">
        <v>1.4866999999999999</v>
      </c>
      <c r="M41" s="12">
        <f>SUM(G41+(D41*L41*1))</f>
        <v>56.770971660000001</v>
      </c>
      <c r="N41" s="10">
        <v>1.4866999999999999</v>
      </c>
      <c r="O41" s="12">
        <f>SUM(G41+(D41*N41*2))</f>
        <v>81.693713119999998</v>
      </c>
      <c r="P41" s="36"/>
      <c r="Q41" s="9">
        <f t="shared" si="2"/>
        <v>22.12</v>
      </c>
      <c r="R41" s="10">
        <v>1.3012999999999999</v>
      </c>
      <c r="S41" s="12">
        <f>SUM(Q41*R41)</f>
        <v>28.784755999999998</v>
      </c>
      <c r="T41" s="9">
        <f t="shared" si="3"/>
        <v>28.44</v>
      </c>
      <c r="U41" s="10">
        <v>1.3012999999999999</v>
      </c>
      <c r="V41" s="12">
        <f>SUM(T41*U41)</f>
        <v>37.008972</v>
      </c>
      <c r="W41" s="9">
        <f t="shared" si="0"/>
        <v>31.6</v>
      </c>
      <c r="X41" s="10">
        <v>1.3012999999999999</v>
      </c>
      <c r="Y41" s="12">
        <f>SUM(W41*X41)</f>
        <v>41.121079999999999</v>
      </c>
    </row>
    <row r="42" spans="1:25" x14ac:dyDescent="0.45">
      <c r="Q42" s="14"/>
      <c r="R42" s="20"/>
      <c r="S42" s="14"/>
      <c r="T42" s="14"/>
      <c r="U42" s="20"/>
      <c r="V42" s="14"/>
      <c r="W42" s="14"/>
      <c r="X42" s="20"/>
      <c r="Y42" s="14"/>
    </row>
    <row r="43" spans="1:25" x14ac:dyDescent="0.45">
      <c r="A43" s="1" t="s">
        <v>35</v>
      </c>
      <c r="Q43" s="14"/>
      <c r="R43" s="20"/>
      <c r="S43" s="14"/>
      <c r="T43" s="14"/>
      <c r="U43" s="20"/>
      <c r="V43" s="14"/>
      <c r="W43" s="14"/>
      <c r="X43" s="20"/>
      <c r="Y43" s="14"/>
    </row>
    <row r="44" spans="1:25" x14ac:dyDescent="0.45">
      <c r="A44" s="2" t="s">
        <v>1</v>
      </c>
      <c r="B44" s="2" t="s">
        <v>2</v>
      </c>
      <c r="C44" s="2" t="s">
        <v>3</v>
      </c>
      <c r="D44" s="3" t="s">
        <v>4</v>
      </c>
      <c r="E44" s="4" t="s">
        <v>5</v>
      </c>
      <c r="F44" s="3" t="s">
        <v>6</v>
      </c>
      <c r="G44" s="5">
        <v>1</v>
      </c>
      <c r="H44" s="5" t="s">
        <v>7</v>
      </c>
      <c r="I44" s="6">
        <v>1.33</v>
      </c>
      <c r="J44" s="5" t="s">
        <v>7</v>
      </c>
      <c r="K44" s="6">
        <v>1.35</v>
      </c>
      <c r="L44" s="4" t="s">
        <v>8</v>
      </c>
      <c r="M44" s="26">
        <v>2</v>
      </c>
      <c r="N44" s="7" t="s">
        <v>8</v>
      </c>
      <c r="O44" s="26">
        <v>3</v>
      </c>
      <c r="P44" s="37"/>
      <c r="Q44" s="26" t="s">
        <v>9</v>
      </c>
      <c r="R44" s="25" t="s">
        <v>10</v>
      </c>
      <c r="S44" s="19">
        <v>1.4</v>
      </c>
      <c r="T44" s="26" t="s">
        <v>9</v>
      </c>
      <c r="U44" s="19" t="s">
        <v>10</v>
      </c>
      <c r="V44" s="19">
        <v>1.8</v>
      </c>
      <c r="W44" s="26" t="s">
        <v>9</v>
      </c>
      <c r="X44" s="19" t="s">
        <v>10</v>
      </c>
      <c r="Y44" s="19">
        <v>2</v>
      </c>
    </row>
    <row r="45" spans="1:25" x14ac:dyDescent="0.45">
      <c r="A45" s="8" t="s">
        <v>11</v>
      </c>
      <c r="B45" s="8" t="s">
        <v>36</v>
      </c>
      <c r="C45" s="8">
        <v>16.010000000000002</v>
      </c>
      <c r="D45" s="9">
        <f>C45*1.061</f>
        <v>16.986610000000002</v>
      </c>
      <c r="E45" s="10">
        <v>1.7058</v>
      </c>
      <c r="F45" s="11">
        <v>4.54</v>
      </c>
      <c r="G45" s="12">
        <f>SUM(D45*E45)+F45</f>
        <v>33.515759338000002</v>
      </c>
      <c r="H45" s="10">
        <v>1.5694999999999999</v>
      </c>
      <c r="I45" s="12">
        <f>SUM(G45+(D45*H45*0.33))</f>
        <v>42.313719188350007</v>
      </c>
      <c r="J45" s="10">
        <v>1.5694999999999999</v>
      </c>
      <c r="K45" s="12">
        <f>SUM(G45+(D45*J45*0.35))</f>
        <v>42.846928876250004</v>
      </c>
      <c r="L45" s="10">
        <v>1.5694999999999999</v>
      </c>
      <c r="M45" s="12">
        <f>SUM(G45+(D45*L45*1))</f>
        <v>60.176243733000007</v>
      </c>
      <c r="N45" s="10">
        <v>1.5694999999999999</v>
      </c>
      <c r="O45" s="12">
        <f>SUM(G45+(D45*N45*2))</f>
        <v>86.836728128000004</v>
      </c>
      <c r="P45" s="36"/>
      <c r="Q45" s="9">
        <f t="shared" si="2"/>
        <v>22.414000000000001</v>
      </c>
      <c r="R45" s="10">
        <v>1.3842000000000001</v>
      </c>
      <c r="S45" s="12">
        <f>SUM(Q45*R45)</f>
        <v>31.025458800000003</v>
      </c>
      <c r="T45" s="9">
        <f t="shared" si="3"/>
        <v>28.818000000000005</v>
      </c>
      <c r="U45" s="10">
        <v>1.3842000000000001</v>
      </c>
      <c r="V45" s="12">
        <f>SUM(T45*U45)</f>
        <v>39.889875600000011</v>
      </c>
      <c r="W45" s="9">
        <f t="shared" si="0"/>
        <v>32.020000000000003</v>
      </c>
      <c r="X45" s="10">
        <v>1.3842000000000001</v>
      </c>
      <c r="Y45" s="12">
        <f>SUM(W45*X45)</f>
        <v>44.322084000000011</v>
      </c>
    </row>
    <row r="46" spans="1:25" x14ac:dyDescent="0.45">
      <c r="A46" s="8" t="s">
        <v>11</v>
      </c>
      <c r="B46" s="8" t="s">
        <v>37</v>
      </c>
      <c r="C46" s="8">
        <v>16.010000000000002</v>
      </c>
      <c r="D46" s="9">
        <f>C46*1.061</f>
        <v>16.986610000000002</v>
      </c>
      <c r="E46" s="10">
        <v>1.629</v>
      </c>
      <c r="F46" s="11">
        <v>4.54</v>
      </c>
      <c r="G46" s="12">
        <f>SUM(D46*E46)+F46</f>
        <v>32.211187690000003</v>
      </c>
      <c r="H46" s="10">
        <v>1.4866999999999999</v>
      </c>
      <c r="I46" s="12">
        <f>SUM(G46+(D46*H46*0.33))</f>
        <v>40.545005408710004</v>
      </c>
      <c r="J46" s="10">
        <v>1.4866999999999999</v>
      </c>
      <c r="K46" s="12">
        <f>SUM(G46+(D46*J46*0.35))</f>
        <v>41.050085270450005</v>
      </c>
      <c r="L46" s="10">
        <v>1.4866999999999999</v>
      </c>
      <c r="M46" s="12">
        <f>SUM(G46+(D46*L46*1))</f>
        <v>57.465180777</v>
      </c>
      <c r="N46" s="10">
        <v>1.4866999999999999</v>
      </c>
      <c r="O46" s="12">
        <f>SUM(G46+(D46*N46*2))</f>
        <v>82.719173863999998</v>
      </c>
      <c r="P46" s="36"/>
      <c r="Q46" s="9">
        <f t="shared" si="2"/>
        <v>22.414000000000001</v>
      </c>
      <c r="R46" s="10">
        <v>1.3012999999999999</v>
      </c>
      <c r="S46" s="12">
        <f>SUM(Q46*R46)</f>
        <v>29.1673382</v>
      </c>
      <c r="T46" s="9">
        <f t="shared" si="3"/>
        <v>28.818000000000005</v>
      </c>
      <c r="U46" s="10">
        <v>1.3012999999999999</v>
      </c>
      <c r="V46" s="12">
        <f>SUM(T46*U46)</f>
        <v>37.5008634</v>
      </c>
      <c r="W46" s="9">
        <f t="shared" si="0"/>
        <v>32.020000000000003</v>
      </c>
      <c r="X46" s="10">
        <v>1.3012999999999999</v>
      </c>
      <c r="Y46" s="12">
        <f>SUM(W46*X46)</f>
        <v>41.667625999999998</v>
      </c>
    </row>
    <row r="47" spans="1:25" x14ac:dyDescent="0.45">
      <c r="M47" s="20"/>
      <c r="N47" s="20"/>
      <c r="O47" s="20"/>
      <c r="Q47" s="14"/>
      <c r="R47" s="20"/>
      <c r="S47" s="14"/>
      <c r="T47" s="14"/>
      <c r="U47" s="20"/>
      <c r="V47" s="14"/>
      <c r="W47" s="14"/>
      <c r="X47" s="20"/>
      <c r="Y47" s="14"/>
    </row>
    <row r="48" spans="1:25" x14ac:dyDescent="0.45">
      <c r="A48" s="1" t="s">
        <v>38</v>
      </c>
      <c r="M48" s="20"/>
      <c r="N48" s="20"/>
      <c r="O48" s="20"/>
      <c r="Q48" s="14"/>
      <c r="R48" s="20"/>
      <c r="S48" s="14"/>
      <c r="T48" s="14"/>
      <c r="U48" s="20"/>
      <c r="V48" s="14"/>
      <c r="W48" s="14"/>
      <c r="X48" s="20"/>
      <c r="Y48" s="14"/>
    </row>
    <row r="49" spans="1:25" x14ac:dyDescent="0.45">
      <c r="A49" s="2" t="s">
        <v>1</v>
      </c>
      <c r="B49" s="2" t="s">
        <v>2</v>
      </c>
      <c r="C49" s="2" t="s">
        <v>3</v>
      </c>
      <c r="D49" s="3" t="s">
        <v>4</v>
      </c>
      <c r="E49" s="4" t="s">
        <v>5</v>
      </c>
      <c r="F49" s="3" t="s">
        <v>6</v>
      </c>
      <c r="G49" s="5">
        <v>1</v>
      </c>
      <c r="H49" s="5" t="s">
        <v>7</v>
      </c>
      <c r="I49" s="6">
        <v>1.33</v>
      </c>
      <c r="J49" s="5" t="s">
        <v>7</v>
      </c>
      <c r="K49" s="6">
        <v>1.35</v>
      </c>
      <c r="L49" s="4" t="s">
        <v>8</v>
      </c>
      <c r="M49" s="26">
        <v>2</v>
      </c>
      <c r="N49" s="7" t="s">
        <v>8</v>
      </c>
      <c r="O49" s="26">
        <v>3</v>
      </c>
      <c r="P49" s="37"/>
      <c r="Q49" s="26" t="s">
        <v>9</v>
      </c>
      <c r="R49" s="25" t="s">
        <v>10</v>
      </c>
      <c r="S49" s="19">
        <v>1.4</v>
      </c>
      <c r="T49" s="26" t="s">
        <v>9</v>
      </c>
      <c r="U49" s="19" t="s">
        <v>10</v>
      </c>
      <c r="V49" s="19">
        <v>1.8</v>
      </c>
      <c r="W49" s="26" t="s">
        <v>9</v>
      </c>
      <c r="X49" s="19" t="s">
        <v>10</v>
      </c>
      <c r="Y49" s="19">
        <v>2</v>
      </c>
    </row>
    <row r="50" spans="1:25" x14ac:dyDescent="0.45">
      <c r="A50" s="8" t="s">
        <v>11</v>
      </c>
      <c r="B50" s="8" t="s">
        <v>39</v>
      </c>
      <c r="C50" s="8">
        <v>16.22</v>
      </c>
      <c r="D50" s="9">
        <f>C50*1.061</f>
        <v>17.209419999999998</v>
      </c>
      <c r="E50" s="10">
        <v>1.629</v>
      </c>
      <c r="F50" s="11">
        <v>4.54</v>
      </c>
      <c r="G50" s="12">
        <f>SUM(D50*E50)+F50</f>
        <v>32.574145179999995</v>
      </c>
      <c r="H50" s="10">
        <v>1.4866999999999999</v>
      </c>
      <c r="I50" s="12">
        <f>SUM(G50+(D50*H50*0.33))</f>
        <v>41.017275935619992</v>
      </c>
      <c r="J50" s="10">
        <v>1.4866999999999999</v>
      </c>
      <c r="K50" s="12">
        <f>SUM(G50+(D50*J50*0.35))</f>
        <v>41.528980829899993</v>
      </c>
      <c r="L50" s="10">
        <v>1.4866999999999999</v>
      </c>
      <c r="M50" s="12">
        <f>SUM(G50+(D50*L50*1))</f>
        <v>58.159389893999986</v>
      </c>
      <c r="N50" s="10">
        <v>1.4866999999999999</v>
      </c>
      <c r="O50" s="12">
        <f>SUM(G50+(D50*N50*2))</f>
        <v>83.744634607999984</v>
      </c>
      <c r="P50" s="36"/>
      <c r="Q50" s="9">
        <f t="shared" si="2"/>
        <v>22.707999999999998</v>
      </c>
      <c r="R50" s="10">
        <v>1.3012999999999999</v>
      </c>
      <c r="S50" s="12">
        <f>SUM(Q50*R50)</f>
        <v>29.549920399999994</v>
      </c>
      <c r="T50" s="9">
        <f t="shared" si="3"/>
        <v>29.195999999999998</v>
      </c>
      <c r="U50" s="10">
        <v>1.3012999999999999</v>
      </c>
      <c r="V50" s="12">
        <f>SUM(T50*U50)</f>
        <v>37.992754799999993</v>
      </c>
      <c r="W50" s="9">
        <f t="shared" si="0"/>
        <v>32.44</v>
      </c>
      <c r="X50" s="10">
        <v>1.3012999999999999</v>
      </c>
      <c r="Y50" s="12">
        <f>SUM(W50*X50)</f>
        <v>42.214171999999991</v>
      </c>
    </row>
    <row r="51" spans="1:25" x14ac:dyDescent="0.45">
      <c r="M51" s="20"/>
      <c r="N51" s="20"/>
      <c r="O51" s="20"/>
      <c r="Q51" s="14"/>
      <c r="R51" s="20"/>
      <c r="S51" s="14"/>
      <c r="T51" s="14"/>
      <c r="U51" s="20"/>
      <c r="V51" s="14"/>
      <c r="W51" s="14"/>
      <c r="X51" s="20"/>
      <c r="Y51" s="14"/>
    </row>
    <row r="52" spans="1:25" x14ac:dyDescent="0.45">
      <c r="A52" s="1" t="s">
        <v>40</v>
      </c>
      <c r="M52" s="20"/>
      <c r="N52" s="20"/>
      <c r="O52" s="20"/>
      <c r="Q52" s="14"/>
      <c r="R52" s="20"/>
      <c r="S52" s="14"/>
      <c r="T52" s="14"/>
      <c r="U52" s="20"/>
      <c r="V52" s="14"/>
      <c r="W52" s="14"/>
      <c r="X52" s="20"/>
      <c r="Y52" s="14"/>
    </row>
    <row r="53" spans="1:25" x14ac:dyDescent="0.45">
      <c r="A53" s="2" t="s">
        <v>1</v>
      </c>
      <c r="B53" s="2" t="s">
        <v>2</v>
      </c>
      <c r="C53" s="2" t="s">
        <v>3</v>
      </c>
      <c r="D53" s="3" t="s">
        <v>4</v>
      </c>
      <c r="E53" s="4" t="s">
        <v>5</v>
      </c>
      <c r="F53" s="3" t="s">
        <v>6</v>
      </c>
      <c r="G53" s="5">
        <v>1</v>
      </c>
      <c r="H53" s="5" t="s">
        <v>7</v>
      </c>
      <c r="I53" s="6">
        <v>1.33</v>
      </c>
      <c r="J53" s="5" t="s">
        <v>7</v>
      </c>
      <c r="K53" s="6">
        <v>1.35</v>
      </c>
      <c r="L53" s="4" t="s">
        <v>8</v>
      </c>
      <c r="M53" s="26">
        <v>2</v>
      </c>
      <c r="N53" s="7" t="s">
        <v>8</v>
      </c>
      <c r="O53" s="26">
        <v>3</v>
      </c>
      <c r="P53" s="37"/>
      <c r="Q53" s="26" t="s">
        <v>9</v>
      </c>
      <c r="R53" s="25" t="s">
        <v>10</v>
      </c>
      <c r="S53" s="19">
        <v>1.4</v>
      </c>
      <c r="T53" s="26" t="s">
        <v>9</v>
      </c>
      <c r="U53" s="19" t="s">
        <v>10</v>
      </c>
      <c r="V53" s="19">
        <v>1.8</v>
      </c>
      <c r="W53" s="26" t="s">
        <v>9</v>
      </c>
      <c r="X53" s="19" t="s">
        <v>10</v>
      </c>
      <c r="Y53" s="19">
        <v>2</v>
      </c>
    </row>
    <row r="54" spans="1:25" x14ac:dyDescent="0.45">
      <c r="A54" s="8" t="s">
        <v>11</v>
      </c>
      <c r="B54" s="8" t="s">
        <v>41</v>
      </c>
      <c r="C54" s="8">
        <v>16.43</v>
      </c>
      <c r="D54" s="9">
        <f>C54*1.061</f>
        <v>17.432229999999997</v>
      </c>
      <c r="E54" s="10">
        <v>1.629</v>
      </c>
      <c r="F54" s="11">
        <v>4.54</v>
      </c>
      <c r="G54" s="12">
        <f>SUM(D54*E54)+F54</f>
        <v>32.937102669999994</v>
      </c>
      <c r="H54" s="10">
        <v>1.4866999999999999</v>
      </c>
      <c r="I54" s="12">
        <f>SUM(G54+(D54*H54*0.33))</f>
        <v>41.489546462529994</v>
      </c>
      <c r="J54" s="10">
        <v>1.4866999999999999</v>
      </c>
      <c r="K54" s="12">
        <f>SUM(G54+(D54*J54*0.35))</f>
        <v>42.007876389349988</v>
      </c>
      <c r="L54" s="10">
        <v>1.4866999999999999</v>
      </c>
      <c r="M54" s="12">
        <f>SUM(G54+(D54*L54*1))</f>
        <v>58.853599010999986</v>
      </c>
      <c r="N54" s="10">
        <v>1.4866999999999999</v>
      </c>
      <c r="O54" s="12">
        <f>SUM(G54+(D54*N54*2))</f>
        <v>84.770095351999984</v>
      </c>
      <c r="P54" s="36"/>
      <c r="Q54" s="9">
        <f t="shared" si="2"/>
        <v>23.001999999999999</v>
      </c>
      <c r="R54" s="10">
        <v>1.3012999999999999</v>
      </c>
      <c r="S54" s="12">
        <f>SUM(Q54*R54)</f>
        <v>29.932502599999996</v>
      </c>
      <c r="T54" s="9">
        <f t="shared" si="3"/>
        <v>29.574000000000002</v>
      </c>
      <c r="U54" s="10">
        <v>1.3012999999999999</v>
      </c>
      <c r="V54" s="12">
        <f>SUM(T54*U54)</f>
        <v>38.4846462</v>
      </c>
      <c r="W54" s="9">
        <f t="shared" si="0"/>
        <v>32.86</v>
      </c>
      <c r="X54" s="10">
        <v>1.3012999999999999</v>
      </c>
      <c r="Y54" s="12">
        <f>SUM(W54*X54)</f>
        <v>42.760717999999997</v>
      </c>
    </row>
    <row r="55" spans="1:25" x14ac:dyDescent="0.45">
      <c r="M55" s="20"/>
      <c r="N55" s="20"/>
      <c r="O55" s="20"/>
      <c r="Q55" s="14"/>
      <c r="R55" s="20"/>
      <c r="S55" s="14"/>
      <c r="T55" s="14"/>
      <c r="U55" s="20"/>
      <c r="V55" s="14"/>
      <c r="W55" s="14"/>
      <c r="X55" s="20"/>
      <c r="Y55" s="14"/>
    </row>
    <row r="56" spans="1:25" x14ac:dyDescent="0.45">
      <c r="A56" s="1" t="s">
        <v>42</v>
      </c>
      <c r="M56" s="20"/>
      <c r="N56" s="20"/>
      <c r="O56" s="20"/>
      <c r="Q56" s="14"/>
      <c r="R56" s="20"/>
      <c r="S56" s="14"/>
      <c r="T56" s="14"/>
      <c r="U56" s="20"/>
      <c r="V56" s="14"/>
      <c r="W56" s="14"/>
      <c r="X56" s="20"/>
      <c r="Y56" s="14"/>
    </row>
    <row r="57" spans="1:25" x14ac:dyDescent="0.45">
      <c r="A57" s="2" t="s">
        <v>1</v>
      </c>
      <c r="B57" s="2" t="s">
        <v>2</v>
      </c>
      <c r="C57" s="2" t="s">
        <v>3</v>
      </c>
      <c r="D57" s="3" t="s">
        <v>4</v>
      </c>
      <c r="E57" s="4" t="s">
        <v>5</v>
      </c>
      <c r="F57" s="3" t="s">
        <v>6</v>
      </c>
      <c r="G57" s="5">
        <v>1</v>
      </c>
      <c r="H57" s="5" t="s">
        <v>7</v>
      </c>
      <c r="I57" s="6">
        <v>1.33</v>
      </c>
      <c r="J57" s="5" t="s">
        <v>7</v>
      </c>
      <c r="K57" s="6">
        <v>1.35</v>
      </c>
      <c r="L57" s="4" t="s">
        <v>8</v>
      </c>
      <c r="M57" s="26">
        <v>2</v>
      </c>
      <c r="N57" s="7" t="s">
        <v>8</v>
      </c>
      <c r="O57" s="26">
        <v>3</v>
      </c>
      <c r="P57" s="37"/>
      <c r="Q57" s="26" t="s">
        <v>9</v>
      </c>
      <c r="R57" s="25" t="s">
        <v>10</v>
      </c>
      <c r="S57" s="19">
        <v>1.4</v>
      </c>
      <c r="T57" s="26" t="s">
        <v>9</v>
      </c>
      <c r="U57" s="19" t="s">
        <v>10</v>
      </c>
      <c r="V57" s="19">
        <v>1.8</v>
      </c>
      <c r="W57" s="26" t="s">
        <v>9</v>
      </c>
      <c r="X57" s="19" t="s">
        <v>10</v>
      </c>
      <c r="Y57" s="19">
        <v>2</v>
      </c>
    </row>
    <row r="58" spans="1:25" x14ac:dyDescent="0.45">
      <c r="A58" s="8" t="s">
        <v>11</v>
      </c>
      <c r="B58" s="8" t="s">
        <v>43</v>
      </c>
      <c r="C58" s="8">
        <v>16.64</v>
      </c>
      <c r="D58" s="9">
        <f>C58*1.061</f>
        <v>17.65504</v>
      </c>
      <c r="E58" s="10">
        <v>1.629</v>
      </c>
      <c r="F58" s="11">
        <v>4.54</v>
      </c>
      <c r="G58" s="12">
        <f>SUM(D58*E58)+F58</f>
        <v>33.300060160000001</v>
      </c>
      <c r="H58" s="10">
        <v>1.4866999999999999</v>
      </c>
      <c r="I58" s="12">
        <f>SUM(G58+(D58*H58*0.33))</f>
        <v>41.961816989440003</v>
      </c>
      <c r="J58" s="10">
        <v>1.4866999999999999</v>
      </c>
      <c r="K58" s="12">
        <f>SUM(G58+(D58*J58*0.35))</f>
        <v>42.486771948799998</v>
      </c>
      <c r="L58" s="10">
        <v>1.4866999999999999</v>
      </c>
      <c r="M58" s="12">
        <f>SUM(G58+(D58*L58*1))</f>
        <v>59.547808128</v>
      </c>
      <c r="N58" s="10">
        <v>1.4866999999999999</v>
      </c>
      <c r="O58" s="12">
        <f>SUM(G58+(D58*N58*2))</f>
        <v>85.795556095999999</v>
      </c>
      <c r="P58" s="36"/>
      <c r="Q58" s="9">
        <f t="shared" si="2"/>
        <v>23.295999999999999</v>
      </c>
      <c r="R58" s="10">
        <v>1.3012999999999999</v>
      </c>
      <c r="S58" s="12">
        <f>SUM(Q58*R58)</f>
        <v>30.315084799999998</v>
      </c>
      <c r="T58" s="9">
        <f t="shared" si="3"/>
        <v>29.952000000000002</v>
      </c>
      <c r="U58" s="10">
        <v>1.3012999999999999</v>
      </c>
      <c r="V58" s="12">
        <f>SUM(T58*U58)</f>
        <v>38.9765376</v>
      </c>
      <c r="W58" s="9">
        <f t="shared" si="0"/>
        <v>33.28</v>
      </c>
      <c r="X58" s="10">
        <v>1.3012999999999999</v>
      </c>
      <c r="Y58" s="12">
        <f>SUM(W58*X58)</f>
        <v>43.307263999999996</v>
      </c>
    </row>
    <row r="59" spans="1:25" x14ac:dyDescent="0.45">
      <c r="Q59" s="14"/>
      <c r="R59" s="20"/>
      <c r="S59" s="14"/>
      <c r="T59" s="14"/>
      <c r="U59" s="20"/>
      <c r="V59" s="14"/>
      <c r="W59" s="14"/>
      <c r="X59" s="20"/>
      <c r="Y59" s="14"/>
    </row>
    <row r="60" spans="1:25" x14ac:dyDescent="0.45">
      <c r="A60" s="1" t="s">
        <v>44</v>
      </c>
      <c r="Q60" s="14"/>
      <c r="R60" s="20"/>
      <c r="S60" s="14"/>
      <c r="T60" s="14"/>
      <c r="U60" s="20"/>
      <c r="V60" s="14"/>
      <c r="W60" s="14"/>
      <c r="X60" s="20"/>
      <c r="Y60" s="14"/>
    </row>
    <row r="61" spans="1:25" x14ac:dyDescent="0.45">
      <c r="A61" s="2" t="s">
        <v>1</v>
      </c>
      <c r="B61" s="2" t="s">
        <v>2</v>
      </c>
      <c r="C61" s="2" t="s">
        <v>3</v>
      </c>
      <c r="D61" s="3" t="s">
        <v>4</v>
      </c>
      <c r="E61" s="4" t="s">
        <v>5</v>
      </c>
      <c r="F61" s="3" t="s">
        <v>6</v>
      </c>
      <c r="G61" s="5">
        <v>1</v>
      </c>
      <c r="H61" s="5" t="s">
        <v>7</v>
      </c>
      <c r="I61" s="6">
        <v>1.33</v>
      </c>
      <c r="J61" s="5" t="s">
        <v>7</v>
      </c>
      <c r="K61" s="6">
        <v>1.35</v>
      </c>
      <c r="L61" s="4" t="s">
        <v>8</v>
      </c>
      <c r="M61" s="26">
        <v>2</v>
      </c>
      <c r="N61" s="7" t="s">
        <v>8</v>
      </c>
      <c r="O61" s="26">
        <v>3</v>
      </c>
      <c r="P61" s="37"/>
      <c r="Q61" s="26" t="s">
        <v>9</v>
      </c>
      <c r="R61" s="25" t="s">
        <v>10</v>
      </c>
      <c r="S61" s="19">
        <v>1.4</v>
      </c>
      <c r="T61" s="26" t="s">
        <v>9</v>
      </c>
      <c r="U61" s="19" t="s">
        <v>10</v>
      </c>
      <c r="V61" s="19">
        <v>1.8</v>
      </c>
      <c r="W61" s="26" t="s">
        <v>9</v>
      </c>
      <c r="X61" s="19" t="s">
        <v>10</v>
      </c>
      <c r="Y61" s="19">
        <v>2</v>
      </c>
    </row>
    <row r="62" spans="1:25" x14ac:dyDescent="0.45">
      <c r="A62" s="8" t="s">
        <v>11</v>
      </c>
      <c r="B62" s="8" t="s">
        <v>45</v>
      </c>
      <c r="C62" s="8">
        <v>16.579999999999998</v>
      </c>
      <c r="D62" s="9">
        <f>C62*1.061</f>
        <v>17.591379999999997</v>
      </c>
      <c r="E62" s="10">
        <v>1.629</v>
      </c>
      <c r="F62" s="11">
        <v>4.54</v>
      </c>
      <c r="G62" s="12">
        <f>SUM(D62*E62)+F62</f>
        <v>33.196358019999998</v>
      </c>
      <c r="H62" s="10">
        <v>1.4866999999999999</v>
      </c>
      <c r="I62" s="12">
        <f>SUM(G62+(D62*H62*0.33))</f>
        <v>41.826882553179999</v>
      </c>
      <c r="J62" s="10">
        <v>1.4866999999999999</v>
      </c>
      <c r="K62" s="12">
        <f>SUM(G62+(D62*J62*0.35))</f>
        <v>42.349944646099999</v>
      </c>
      <c r="L62" s="10">
        <v>1.4866999999999999</v>
      </c>
      <c r="M62" s="12">
        <f>SUM(G62+(D62*L62*1))</f>
        <v>59.349462665999994</v>
      </c>
      <c r="N62" s="10">
        <v>1.4866999999999999</v>
      </c>
      <c r="O62" s="12">
        <f>SUM(G62+(D62*N62*2))</f>
        <v>85.502567311999996</v>
      </c>
      <c r="P62" s="36"/>
      <c r="Q62" s="9">
        <f t="shared" si="2"/>
        <v>23.211999999999996</v>
      </c>
      <c r="R62" s="10">
        <v>1.3012999999999999</v>
      </c>
      <c r="S62" s="12">
        <f>SUM(Q62*R62)</f>
        <v>30.205775599999992</v>
      </c>
      <c r="T62" s="9">
        <f t="shared" si="3"/>
        <v>29.843999999999998</v>
      </c>
      <c r="U62" s="10">
        <v>1.3012999999999999</v>
      </c>
      <c r="V62" s="12">
        <f>SUM(T62*U62)</f>
        <v>38.835997199999994</v>
      </c>
      <c r="W62" s="9">
        <f t="shared" si="0"/>
        <v>33.159999999999997</v>
      </c>
      <c r="X62" s="10">
        <v>1.3012999999999999</v>
      </c>
      <c r="Y62" s="12">
        <f>SUM(W62*X62)</f>
        <v>43.151107999999994</v>
      </c>
    </row>
    <row r="63" spans="1:25" x14ac:dyDescent="0.45">
      <c r="Q63" s="14"/>
      <c r="R63" s="20"/>
      <c r="S63" s="14"/>
      <c r="T63" s="14"/>
      <c r="U63" s="20"/>
      <c r="V63" s="14"/>
      <c r="W63" s="14"/>
      <c r="X63" s="20"/>
      <c r="Y63" s="14"/>
    </row>
    <row r="64" spans="1:25" x14ac:dyDescent="0.45">
      <c r="A64" s="1" t="s">
        <v>46</v>
      </c>
      <c r="Q64" s="14"/>
      <c r="R64" s="20"/>
      <c r="S64" s="14"/>
      <c r="T64" s="14"/>
      <c r="U64" s="20"/>
      <c r="V64" s="14"/>
      <c r="W64" s="14"/>
      <c r="X64" s="20"/>
      <c r="Y64" s="14"/>
    </row>
    <row r="65" spans="1:25" x14ac:dyDescent="0.45">
      <c r="A65" s="2" t="s">
        <v>1</v>
      </c>
      <c r="B65" s="2" t="s">
        <v>2</v>
      </c>
      <c r="C65" s="2" t="s">
        <v>3</v>
      </c>
      <c r="D65" s="3" t="s">
        <v>4</v>
      </c>
      <c r="E65" s="4" t="s">
        <v>5</v>
      </c>
      <c r="F65" s="3" t="s">
        <v>6</v>
      </c>
      <c r="G65" s="5">
        <v>1</v>
      </c>
      <c r="H65" s="5" t="s">
        <v>7</v>
      </c>
      <c r="I65" s="6">
        <v>1.33</v>
      </c>
      <c r="J65" s="5" t="s">
        <v>7</v>
      </c>
      <c r="K65" s="6">
        <v>1.35</v>
      </c>
      <c r="L65" s="4" t="s">
        <v>8</v>
      </c>
      <c r="M65" s="26">
        <v>2</v>
      </c>
      <c r="N65" s="7" t="s">
        <v>8</v>
      </c>
      <c r="O65" s="26">
        <v>3</v>
      </c>
      <c r="P65" s="37"/>
      <c r="Q65" s="26" t="s">
        <v>9</v>
      </c>
      <c r="R65" s="25" t="s">
        <v>10</v>
      </c>
      <c r="S65" s="19">
        <v>1.4</v>
      </c>
      <c r="T65" s="26" t="s">
        <v>9</v>
      </c>
      <c r="U65" s="19" t="s">
        <v>10</v>
      </c>
      <c r="V65" s="19">
        <v>1.8</v>
      </c>
      <c r="W65" s="26" t="s">
        <v>9</v>
      </c>
      <c r="X65" s="19" t="s">
        <v>10</v>
      </c>
      <c r="Y65" s="19">
        <v>2</v>
      </c>
    </row>
    <row r="66" spans="1:25" x14ac:dyDescent="0.45">
      <c r="A66" s="8" t="s">
        <v>11</v>
      </c>
      <c r="B66" s="8" t="s">
        <v>47</v>
      </c>
      <c r="C66" s="8">
        <v>15.94</v>
      </c>
      <c r="D66" s="9">
        <f>C66*1.061</f>
        <v>16.912339999999997</v>
      </c>
      <c r="E66" s="10">
        <v>1.7058</v>
      </c>
      <c r="F66" s="11">
        <v>4.54</v>
      </c>
      <c r="G66" s="12">
        <f>SUM(D66*E66)+F66</f>
        <v>33.389069571999997</v>
      </c>
      <c r="H66" s="10">
        <v>1.5694999999999999</v>
      </c>
      <c r="I66" s="12">
        <f>SUM(G66+(D66*H66*0.33))</f>
        <v>42.148562389899993</v>
      </c>
      <c r="J66" s="10">
        <v>1.5694999999999999</v>
      </c>
      <c r="K66" s="12">
        <f>SUM(G66+(D66*J66*0.35))</f>
        <v>42.679440742499992</v>
      </c>
      <c r="L66" s="10">
        <v>1.5694999999999999</v>
      </c>
      <c r="M66" s="12">
        <f>SUM(G66+(D66*L66*1))</f>
        <v>59.932987201999993</v>
      </c>
      <c r="N66" s="10">
        <v>1.4866999999999999</v>
      </c>
      <c r="O66" s="12">
        <f>SUM(G66+(D66*N66*2))</f>
        <v>83.676221327999983</v>
      </c>
      <c r="P66" s="36"/>
      <c r="Q66" s="9">
        <f t="shared" si="2"/>
        <v>22.315999999999999</v>
      </c>
      <c r="R66" s="10">
        <v>1.3842000000000001</v>
      </c>
      <c r="S66" s="12">
        <f>SUM(Q66*R66)</f>
        <v>30.8898072</v>
      </c>
      <c r="T66" s="9">
        <f t="shared" si="3"/>
        <v>28.692</v>
      </c>
      <c r="U66" s="10">
        <v>1.3842000000000001</v>
      </c>
      <c r="V66" s="12">
        <f>SUM(T66*U66)</f>
        <v>39.715466400000004</v>
      </c>
      <c r="W66" s="9">
        <f t="shared" si="0"/>
        <v>31.88</v>
      </c>
      <c r="X66" s="10">
        <v>1.3842000000000001</v>
      </c>
      <c r="Y66" s="12">
        <f>SUM(W66*X66)</f>
        <v>44.128295999999999</v>
      </c>
    </row>
    <row r="67" spans="1:25" x14ac:dyDescent="0.45">
      <c r="A67" s="8" t="s">
        <v>11</v>
      </c>
      <c r="B67" s="8" t="s">
        <v>48</v>
      </c>
      <c r="C67" s="8">
        <v>15.94</v>
      </c>
      <c r="D67" s="9">
        <f>C67*1.061</f>
        <v>16.912339999999997</v>
      </c>
      <c r="E67" s="10">
        <v>1.629</v>
      </c>
      <c r="F67" s="11">
        <v>4.54</v>
      </c>
      <c r="G67" s="12">
        <f>SUM(D67*E67)+F67</f>
        <v>32.090201859999993</v>
      </c>
      <c r="H67" s="10">
        <v>1.4866999999999999</v>
      </c>
      <c r="I67" s="12">
        <f>SUM(G67+(D67*H67*0.133))</f>
        <v>35.434297451773993</v>
      </c>
      <c r="J67" s="10">
        <v>1.4866999999999999</v>
      </c>
      <c r="K67" s="12">
        <f>SUM(G67+(D67*J67*0.35))</f>
        <v>40.890453417299994</v>
      </c>
      <c r="L67" s="10">
        <v>1.4866999999999999</v>
      </c>
      <c r="M67" s="12">
        <f>SUM(G67+(D67*L67*1))</f>
        <v>57.233777737999986</v>
      </c>
      <c r="N67" s="10">
        <v>1.4866999999999999</v>
      </c>
      <c r="O67" s="12">
        <f>SUM(G67+(D67*N67*2))</f>
        <v>82.377353615999979</v>
      </c>
      <c r="P67" s="36"/>
      <c r="Q67" s="9">
        <f t="shared" ref="Q67" si="5">C67*1.4</f>
        <v>22.315999999999999</v>
      </c>
      <c r="R67" s="10">
        <v>1.3012999999999999</v>
      </c>
      <c r="S67" s="12">
        <f>SUM(Q67*R67)</f>
        <v>29.039810799999998</v>
      </c>
      <c r="T67" s="9">
        <f t="shared" ref="T67" si="6">C67*1.8</f>
        <v>28.692</v>
      </c>
      <c r="U67" s="10">
        <v>1.3012999999999999</v>
      </c>
      <c r="V67" s="12">
        <f>SUM(T67*U67)</f>
        <v>37.336899599999995</v>
      </c>
      <c r="W67" s="9">
        <f t="shared" ref="W67" si="7">C67*2</f>
        <v>31.88</v>
      </c>
      <c r="X67" s="10">
        <v>1.3012999999999999</v>
      </c>
      <c r="Y67" s="12">
        <f>SUM(W67*X67)</f>
        <v>41.485443999999994</v>
      </c>
    </row>
    <row r="68" spans="1:25" x14ac:dyDescent="0.45">
      <c r="Q68" s="14"/>
      <c r="S68" s="14"/>
      <c r="T68" s="14"/>
      <c r="U68" s="20"/>
      <c r="V68" s="14"/>
      <c r="W68" s="14"/>
      <c r="X68" s="20"/>
      <c r="Y68" s="14"/>
    </row>
    <row r="69" spans="1:25" x14ac:dyDescent="0.45">
      <c r="A69" s="1" t="s">
        <v>49</v>
      </c>
      <c r="Q69" s="14"/>
      <c r="S69" s="14"/>
      <c r="T69" s="14"/>
      <c r="U69" s="20"/>
      <c r="V69" s="14"/>
      <c r="W69" s="14"/>
      <c r="X69" s="20"/>
      <c r="Y69" s="14"/>
    </row>
    <row r="70" spans="1:25" x14ac:dyDescent="0.45">
      <c r="A70" s="2" t="s">
        <v>1</v>
      </c>
      <c r="B70" s="2" t="s">
        <v>2</v>
      </c>
      <c r="C70" s="2" t="s">
        <v>3</v>
      </c>
      <c r="D70" s="3" t="s">
        <v>4</v>
      </c>
      <c r="E70" s="4" t="s">
        <v>5</v>
      </c>
      <c r="F70" s="3" t="s">
        <v>6</v>
      </c>
      <c r="G70" s="5">
        <v>1</v>
      </c>
      <c r="H70" s="5" t="s">
        <v>7</v>
      </c>
      <c r="I70" s="6">
        <v>1.33</v>
      </c>
      <c r="J70" s="5" t="s">
        <v>7</v>
      </c>
      <c r="K70" s="6">
        <v>1.35</v>
      </c>
      <c r="L70" s="4" t="s">
        <v>8</v>
      </c>
      <c r="M70" s="26">
        <v>2</v>
      </c>
      <c r="N70" s="7" t="s">
        <v>8</v>
      </c>
      <c r="O70" s="26">
        <v>3</v>
      </c>
      <c r="P70" s="37"/>
      <c r="Q70" s="26" t="s">
        <v>9</v>
      </c>
      <c r="R70" s="25" t="s">
        <v>10</v>
      </c>
      <c r="S70" s="19">
        <v>1.4</v>
      </c>
      <c r="T70" s="26" t="s">
        <v>9</v>
      </c>
      <c r="U70" s="19" t="s">
        <v>10</v>
      </c>
      <c r="V70" s="19">
        <v>1.8</v>
      </c>
      <c r="W70" s="26" t="s">
        <v>9</v>
      </c>
      <c r="X70" s="19" t="s">
        <v>10</v>
      </c>
      <c r="Y70" s="19">
        <v>2</v>
      </c>
    </row>
    <row r="71" spans="1:25" x14ac:dyDescent="0.45">
      <c r="A71" s="8" t="s">
        <v>11</v>
      </c>
      <c r="B71" s="8" t="s">
        <v>50</v>
      </c>
      <c r="C71" s="8">
        <v>16.16</v>
      </c>
      <c r="D71" s="9">
        <f>C71*1.061</f>
        <v>17.145759999999999</v>
      </c>
      <c r="E71" s="10">
        <v>1.7058</v>
      </c>
      <c r="F71" s="11">
        <v>4.54</v>
      </c>
      <c r="G71" s="12">
        <f>SUM(D71*E71)+F71</f>
        <v>33.787237408000003</v>
      </c>
      <c r="H71" s="10">
        <v>1.5694999999999999</v>
      </c>
      <c r="I71" s="12">
        <f>SUM(G71+(D71*H71*0.33))</f>
        <v>42.667626613600007</v>
      </c>
      <c r="J71" s="10">
        <v>1.5694999999999999</v>
      </c>
      <c r="K71" s="12">
        <f>SUM(G71+(D71*J71*0.35))</f>
        <v>43.205832020000003</v>
      </c>
      <c r="L71" s="10">
        <v>1.5694999999999999</v>
      </c>
      <c r="M71" s="12">
        <f>SUM(G71+(D71*L71*1))</f>
        <v>60.697507728000005</v>
      </c>
      <c r="N71" s="10">
        <v>1.5694999999999999</v>
      </c>
      <c r="O71" s="12">
        <f>SUM(G71+(D71*N71*2))</f>
        <v>87.607778048</v>
      </c>
      <c r="P71" s="36"/>
      <c r="Q71" s="9">
        <f t="shared" si="2"/>
        <v>22.623999999999999</v>
      </c>
      <c r="R71" s="10">
        <v>1.3842000000000001</v>
      </c>
      <c r="S71" s="12">
        <f>SUM(Q71*R71)</f>
        <v>31.316140799999999</v>
      </c>
      <c r="T71" s="9">
        <f t="shared" si="3"/>
        <v>29.088000000000001</v>
      </c>
      <c r="U71" s="10">
        <v>1.3842000000000001</v>
      </c>
      <c r="V71" s="12">
        <f>SUM(T71*U71)</f>
        <v>40.263609600000002</v>
      </c>
      <c r="W71" s="9">
        <f t="shared" si="0"/>
        <v>32.32</v>
      </c>
      <c r="X71" s="10">
        <v>1.3842000000000001</v>
      </c>
      <c r="Y71" s="12">
        <f>SUM(W71*X71)</f>
        <v>44.737344</v>
      </c>
    </row>
    <row r="72" spans="1:25" x14ac:dyDescent="0.45">
      <c r="A72" s="8" t="s">
        <v>11</v>
      </c>
      <c r="B72" s="8" t="s">
        <v>51</v>
      </c>
      <c r="C72" s="8">
        <v>16.16</v>
      </c>
      <c r="D72" s="9">
        <f>C72*1.061</f>
        <v>17.145759999999999</v>
      </c>
      <c r="E72" s="10">
        <v>1.629</v>
      </c>
      <c r="F72" s="11">
        <v>4.54</v>
      </c>
      <c r="G72" s="12">
        <f>SUM(D72*E72)+F72</f>
        <v>32.470443039999999</v>
      </c>
      <c r="H72" s="10">
        <v>1.4866999999999999</v>
      </c>
      <c r="I72" s="12">
        <f>SUM(G72+(D72*H72*0.133))</f>
        <v>35.860693025136001</v>
      </c>
      <c r="J72" s="10">
        <v>1.4866999999999999</v>
      </c>
      <c r="K72" s="12">
        <f>SUM(G72+(D72*J72*0.35))</f>
        <v>41.392153527199994</v>
      </c>
      <c r="L72" s="10">
        <v>1.4866999999999999</v>
      </c>
      <c r="M72" s="12">
        <f>SUM(G72+(D72*L72*1))</f>
        <v>57.961044431999994</v>
      </c>
      <c r="N72" s="10">
        <v>1.4866999999999999</v>
      </c>
      <c r="O72" s="12">
        <f>SUM(G72+(D72*N72*2))</f>
        <v>83.451645823999996</v>
      </c>
      <c r="P72" s="36"/>
      <c r="Q72" s="9">
        <f t="shared" si="2"/>
        <v>22.623999999999999</v>
      </c>
      <c r="R72" s="10">
        <v>1.3012999999999999</v>
      </c>
      <c r="S72" s="12">
        <f>SUM(Q72*R72)</f>
        <v>29.440611199999996</v>
      </c>
      <c r="T72" s="9">
        <f t="shared" si="3"/>
        <v>29.088000000000001</v>
      </c>
      <c r="U72" s="10">
        <v>1.3012999999999999</v>
      </c>
      <c r="V72" s="12">
        <f>SUM(T72*U72)</f>
        <v>37.852214400000001</v>
      </c>
      <c r="W72" s="9">
        <f t="shared" si="0"/>
        <v>32.32</v>
      </c>
      <c r="X72" s="10">
        <v>1.3012999999999999</v>
      </c>
      <c r="Y72" s="12">
        <f>SUM(W72*X72)</f>
        <v>42.058015999999995</v>
      </c>
    </row>
    <row r="73" spans="1:25" x14ac:dyDescent="0.45">
      <c r="Q73" s="14"/>
      <c r="R73" s="20"/>
      <c r="S73" s="14"/>
      <c r="T73" s="14"/>
      <c r="U73" s="20"/>
      <c r="V73" s="14"/>
      <c r="W73" s="14"/>
      <c r="X73" s="20"/>
      <c r="Y73" s="14"/>
    </row>
    <row r="74" spans="1:25" x14ac:dyDescent="0.45">
      <c r="A74" s="1" t="s">
        <v>52</v>
      </c>
      <c r="Q74" s="14"/>
      <c r="R74" s="20"/>
      <c r="S74" s="14"/>
      <c r="T74" s="14"/>
      <c r="U74" s="20"/>
      <c r="V74" s="14"/>
      <c r="W74" s="14"/>
      <c r="X74" s="20"/>
      <c r="Y74" s="14"/>
    </row>
    <row r="75" spans="1:25" x14ac:dyDescent="0.45">
      <c r="A75" s="2" t="s">
        <v>1</v>
      </c>
      <c r="B75" s="2" t="s">
        <v>2</v>
      </c>
      <c r="C75" s="2" t="s">
        <v>3</v>
      </c>
      <c r="D75" s="3" t="s">
        <v>4</v>
      </c>
      <c r="E75" s="4" t="s">
        <v>5</v>
      </c>
      <c r="F75" s="3" t="s">
        <v>6</v>
      </c>
      <c r="G75" s="5">
        <v>1</v>
      </c>
      <c r="H75" s="5" t="s">
        <v>7</v>
      </c>
      <c r="I75" s="6">
        <v>1.33</v>
      </c>
      <c r="J75" s="5" t="s">
        <v>7</v>
      </c>
      <c r="K75" s="6">
        <v>1.35</v>
      </c>
      <c r="L75" s="4" t="s">
        <v>8</v>
      </c>
      <c r="M75" s="26">
        <v>2</v>
      </c>
      <c r="N75" s="7" t="s">
        <v>8</v>
      </c>
      <c r="O75" s="26">
        <v>3</v>
      </c>
      <c r="P75" s="37"/>
      <c r="Q75" s="26" t="s">
        <v>9</v>
      </c>
      <c r="R75" s="25" t="s">
        <v>10</v>
      </c>
      <c r="S75" s="19">
        <v>1.4</v>
      </c>
      <c r="T75" s="26" t="s">
        <v>9</v>
      </c>
      <c r="U75" s="19" t="s">
        <v>10</v>
      </c>
      <c r="V75" s="19">
        <v>1.8</v>
      </c>
      <c r="W75" s="26" t="s">
        <v>9</v>
      </c>
      <c r="X75" s="19" t="s">
        <v>10</v>
      </c>
      <c r="Y75" s="19">
        <v>2</v>
      </c>
    </row>
    <row r="76" spans="1:25" x14ac:dyDescent="0.45">
      <c r="A76" s="8" t="s">
        <v>11</v>
      </c>
      <c r="B76" s="8" t="s">
        <v>53</v>
      </c>
      <c r="C76" s="8">
        <v>16.39</v>
      </c>
      <c r="D76" s="9">
        <f>C76*1.061</f>
        <v>17.389790000000001</v>
      </c>
      <c r="E76" s="10">
        <v>1.629</v>
      </c>
      <c r="F76" s="11">
        <v>4.54</v>
      </c>
      <c r="G76" s="12">
        <f>SUM(D76*E76)+F76</f>
        <v>32.867967910000004</v>
      </c>
      <c r="H76" s="10">
        <v>1.4866999999999999</v>
      </c>
      <c r="I76" s="12">
        <f>SUM(G76+(D76*H76*0.33))</f>
        <v>41.399590171690008</v>
      </c>
      <c r="J76" s="10">
        <v>1.4866999999999999</v>
      </c>
      <c r="K76" s="12">
        <f>SUM(G76+(D76*J76*0.35))</f>
        <v>41.916658187550006</v>
      </c>
      <c r="L76" s="10">
        <v>1.4866999999999999</v>
      </c>
      <c r="M76" s="12">
        <f>SUM(G76+(D76*L76*1))</f>
        <v>58.72136870300001</v>
      </c>
      <c r="N76" s="10">
        <v>1.4866999999999999</v>
      </c>
      <c r="O76" s="12">
        <f>SUM(G76+(D76*N76*2))</f>
        <v>84.574769496000016</v>
      </c>
      <c r="P76" s="36"/>
      <c r="Q76" s="9">
        <f t="shared" si="2"/>
        <v>22.945999999999998</v>
      </c>
      <c r="R76" s="10">
        <v>1.3012999999999999</v>
      </c>
      <c r="S76" s="12">
        <f>SUM(Q76*R76)</f>
        <v>29.859629799999993</v>
      </c>
      <c r="T76" s="9">
        <f t="shared" si="3"/>
        <v>29.502000000000002</v>
      </c>
      <c r="U76" s="10">
        <v>1.3012999999999999</v>
      </c>
      <c r="V76" s="12">
        <f>SUM(T76*U76)</f>
        <v>38.390952599999999</v>
      </c>
      <c r="W76" s="9">
        <f t="shared" ref="W76:W147" si="8">C76*2</f>
        <v>32.78</v>
      </c>
      <c r="X76" s="10">
        <v>1.3012999999999999</v>
      </c>
      <c r="Y76" s="12">
        <f>SUM(W76*X76)</f>
        <v>42.656613999999998</v>
      </c>
    </row>
    <row r="77" spans="1:25" x14ac:dyDescent="0.45">
      <c r="Q77" s="14"/>
      <c r="R77" s="20"/>
      <c r="S77" s="14"/>
      <c r="T77" s="14"/>
      <c r="U77" s="20"/>
      <c r="V77" s="14"/>
      <c r="W77" s="14"/>
      <c r="X77" s="20"/>
      <c r="Y77" s="14"/>
    </row>
    <row r="78" spans="1:25" x14ac:dyDescent="0.45">
      <c r="A78" s="1" t="s">
        <v>54</v>
      </c>
      <c r="Q78" s="14"/>
      <c r="R78" s="20"/>
      <c r="S78" s="14"/>
      <c r="T78" s="14"/>
      <c r="U78" s="20"/>
      <c r="V78" s="14"/>
      <c r="W78" s="14"/>
      <c r="X78" s="20"/>
      <c r="Y78" s="14"/>
    </row>
    <row r="79" spans="1:25" x14ac:dyDescent="0.45">
      <c r="A79" s="2" t="s">
        <v>1</v>
      </c>
      <c r="B79" s="2" t="s">
        <v>2</v>
      </c>
      <c r="C79" s="2" t="s">
        <v>3</v>
      </c>
      <c r="D79" s="3" t="s">
        <v>4</v>
      </c>
      <c r="E79" s="4" t="s">
        <v>5</v>
      </c>
      <c r="F79" s="3" t="s">
        <v>6</v>
      </c>
      <c r="G79" s="5">
        <v>1</v>
      </c>
      <c r="H79" s="5" t="s">
        <v>7</v>
      </c>
      <c r="I79" s="6">
        <v>1.33</v>
      </c>
      <c r="J79" s="5" t="s">
        <v>7</v>
      </c>
      <c r="K79" s="6">
        <v>1.35</v>
      </c>
      <c r="L79" s="4" t="s">
        <v>8</v>
      </c>
      <c r="M79" s="26">
        <v>2</v>
      </c>
      <c r="N79" s="7" t="s">
        <v>8</v>
      </c>
      <c r="O79" s="26">
        <v>3</v>
      </c>
      <c r="P79" s="37"/>
      <c r="Q79" s="26" t="s">
        <v>9</v>
      </c>
      <c r="R79" s="25" t="s">
        <v>10</v>
      </c>
      <c r="S79" s="19">
        <v>1.4</v>
      </c>
      <c r="T79" s="26" t="s">
        <v>9</v>
      </c>
      <c r="U79" s="19" t="s">
        <v>10</v>
      </c>
      <c r="V79" s="19">
        <v>1.8</v>
      </c>
      <c r="W79" s="26" t="s">
        <v>9</v>
      </c>
      <c r="X79" s="19" t="s">
        <v>10</v>
      </c>
      <c r="Y79" s="19">
        <v>2</v>
      </c>
    </row>
    <row r="80" spans="1:25" x14ac:dyDescent="0.45">
      <c r="A80" s="8" t="s">
        <v>11</v>
      </c>
      <c r="B80" s="8" t="s">
        <v>55</v>
      </c>
      <c r="C80" s="8">
        <v>16.61</v>
      </c>
      <c r="D80" s="9">
        <f>C80*1.061</f>
        <v>17.623209999999997</v>
      </c>
      <c r="E80" s="10">
        <v>1.629</v>
      </c>
      <c r="F80" s="11">
        <v>4.54</v>
      </c>
      <c r="G80" s="12">
        <f>SUM(D80*E80)+F80</f>
        <v>33.248209089999996</v>
      </c>
      <c r="H80" s="10">
        <v>1.4866999999999999</v>
      </c>
      <c r="I80" s="12">
        <f>SUM(G80+(D80*H80*0.33))</f>
        <v>41.89434977130999</v>
      </c>
      <c r="J80" s="10">
        <v>1.4866999999999999</v>
      </c>
      <c r="K80" s="12">
        <f>SUM(G80+(D80*J80*0.35))</f>
        <v>42.418358297449991</v>
      </c>
      <c r="L80" s="10">
        <v>1.4866999999999999</v>
      </c>
      <c r="M80" s="12">
        <f>SUM(G80+(D80*L80*1))</f>
        <v>59.44863539699999</v>
      </c>
      <c r="N80" s="10">
        <v>1.4866999999999999</v>
      </c>
      <c r="O80" s="12">
        <f>SUM(G80+(D80*N80*2))</f>
        <v>85.64906170399999</v>
      </c>
      <c r="P80" s="36"/>
      <c r="Q80" s="9">
        <f t="shared" si="2"/>
        <v>23.253999999999998</v>
      </c>
      <c r="R80" s="10">
        <v>1.3012999999999999</v>
      </c>
      <c r="S80" s="12">
        <f>SUM(Q80*R80)</f>
        <v>30.260430199999995</v>
      </c>
      <c r="T80" s="9">
        <f t="shared" si="3"/>
        <v>29.898</v>
      </c>
      <c r="U80" s="10">
        <v>1.3012999999999999</v>
      </c>
      <c r="V80" s="12">
        <f>SUM(T80*U80)</f>
        <v>38.906267399999997</v>
      </c>
      <c r="W80" s="9">
        <f t="shared" si="8"/>
        <v>33.22</v>
      </c>
      <c r="X80" s="10">
        <v>1.3012999999999999</v>
      </c>
      <c r="Y80" s="12">
        <f>SUM(W80*X80)</f>
        <v>43.229185999999999</v>
      </c>
    </row>
    <row r="81" spans="1:25" x14ac:dyDescent="0.45">
      <c r="Q81" s="14"/>
      <c r="R81" s="20"/>
      <c r="S81" s="14"/>
      <c r="T81" s="14"/>
      <c r="U81" s="20"/>
      <c r="V81" s="14"/>
      <c r="W81" s="14"/>
      <c r="X81" s="20"/>
      <c r="Y81" s="14"/>
    </row>
    <row r="82" spans="1:25" x14ac:dyDescent="0.45">
      <c r="A82" s="1" t="s">
        <v>56</v>
      </c>
      <c r="Q82" s="14"/>
      <c r="R82" s="20"/>
      <c r="S82" s="14"/>
      <c r="T82" s="14"/>
      <c r="U82" s="20"/>
      <c r="V82" s="14"/>
      <c r="W82" s="14"/>
      <c r="X82" s="20"/>
      <c r="Y82" s="14"/>
    </row>
    <row r="83" spans="1:25" x14ac:dyDescent="0.45">
      <c r="A83" s="2" t="s">
        <v>1</v>
      </c>
      <c r="B83" s="2" t="s">
        <v>2</v>
      </c>
      <c r="C83" s="2" t="s">
        <v>3</v>
      </c>
      <c r="D83" s="3" t="s">
        <v>4</v>
      </c>
      <c r="E83" s="4" t="s">
        <v>5</v>
      </c>
      <c r="F83" s="3" t="s">
        <v>6</v>
      </c>
      <c r="G83" s="5">
        <v>1</v>
      </c>
      <c r="H83" s="5" t="s">
        <v>7</v>
      </c>
      <c r="I83" s="6">
        <v>1.33</v>
      </c>
      <c r="J83" s="5" t="s">
        <v>7</v>
      </c>
      <c r="K83" s="6">
        <v>1.35</v>
      </c>
      <c r="L83" s="4" t="s">
        <v>8</v>
      </c>
      <c r="M83" s="26">
        <v>2</v>
      </c>
      <c r="N83" s="7" t="s">
        <v>8</v>
      </c>
      <c r="O83" s="26">
        <v>3</v>
      </c>
      <c r="P83" s="37"/>
      <c r="Q83" s="26" t="s">
        <v>9</v>
      </c>
      <c r="R83" s="25" t="s">
        <v>10</v>
      </c>
      <c r="S83" s="19">
        <v>1.4</v>
      </c>
      <c r="T83" s="26" t="s">
        <v>9</v>
      </c>
      <c r="U83" s="19" t="s">
        <v>10</v>
      </c>
      <c r="V83" s="19">
        <v>1.8</v>
      </c>
      <c r="W83" s="26" t="s">
        <v>9</v>
      </c>
      <c r="X83" s="19" t="s">
        <v>10</v>
      </c>
      <c r="Y83" s="19">
        <v>2</v>
      </c>
    </row>
    <row r="84" spans="1:25" x14ac:dyDescent="0.45">
      <c r="A84" s="8" t="s">
        <v>11</v>
      </c>
      <c r="B84" s="8" t="s">
        <v>57</v>
      </c>
      <c r="C84" s="8">
        <v>16.84</v>
      </c>
      <c r="D84" s="9">
        <f>C84*1.061</f>
        <v>17.867239999999999</v>
      </c>
      <c r="E84" s="10">
        <v>1.629</v>
      </c>
      <c r="F84" s="11">
        <v>4.54</v>
      </c>
      <c r="G84" s="12">
        <f>SUM(D84*E84)+F84</f>
        <v>33.645733960000001</v>
      </c>
      <c r="H84" s="10">
        <v>1.4866999999999999</v>
      </c>
      <c r="I84" s="12">
        <f>SUM(G84+(D84*H84*0.33))</f>
        <v>42.411598443640003</v>
      </c>
      <c r="J84" s="10">
        <v>1.4866999999999999</v>
      </c>
      <c r="K84" s="12">
        <f>SUM(G84+(D84*J84*0.35))</f>
        <v>42.942862957800003</v>
      </c>
      <c r="L84" s="10">
        <v>1.4866999999999999</v>
      </c>
      <c r="M84" s="12">
        <f>SUM(G84+(D84*L84*1))</f>
        <v>60.208959667999999</v>
      </c>
      <c r="N84" s="10">
        <v>1.4866999999999999</v>
      </c>
      <c r="O84" s="12">
        <f>SUM(G84+(D84*N84*2))</f>
        <v>86.772185375999996</v>
      </c>
      <c r="P84" s="36"/>
      <c r="Q84" s="9">
        <f t="shared" ref="Q84" si="9">C84*1.4</f>
        <v>23.575999999999997</v>
      </c>
      <c r="R84" s="10">
        <v>1.3012999999999999</v>
      </c>
      <c r="S84" s="12">
        <f>SUM(Q84*R84)</f>
        <v>30.679448799999992</v>
      </c>
      <c r="T84" s="9">
        <f t="shared" ref="T84" si="10">C84*1.8</f>
        <v>30.312000000000001</v>
      </c>
      <c r="U84" s="10">
        <v>1.3012999999999999</v>
      </c>
      <c r="V84" s="12">
        <f>SUM(T84*U84)</f>
        <v>39.445005600000002</v>
      </c>
      <c r="W84" s="9">
        <f t="shared" ref="W84" si="11">C84*2</f>
        <v>33.68</v>
      </c>
      <c r="X84" s="10">
        <v>1.3012999999999999</v>
      </c>
      <c r="Y84" s="12">
        <f>SUM(W84*X84)</f>
        <v>43.827783999999994</v>
      </c>
    </row>
    <row r="85" spans="1:25" x14ac:dyDescent="0.45">
      <c r="Q85" s="14"/>
      <c r="R85" s="20"/>
      <c r="S85" s="14"/>
      <c r="T85" s="14"/>
      <c r="U85" s="20"/>
      <c r="V85" s="14"/>
      <c r="W85" s="14"/>
      <c r="X85" s="20"/>
      <c r="Y85" s="14"/>
    </row>
    <row r="86" spans="1:25" x14ac:dyDescent="0.45">
      <c r="A86" s="1" t="s">
        <v>58</v>
      </c>
      <c r="Q86" s="14"/>
      <c r="R86" s="20"/>
      <c r="S86" s="14"/>
      <c r="T86" s="14"/>
      <c r="U86" s="20"/>
      <c r="V86" s="14"/>
      <c r="W86" s="14"/>
      <c r="X86" s="20"/>
      <c r="Y86" s="14"/>
    </row>
    <row r="87" spans="1:25" x14ac:dyDescent="0.45">
      <c r="A87" s="2" t="s">
        <v>1</v>
      </c>
      <c r="B87" s="2" t="s">
        <v>2</v>
      </c>
      <c r="C87" s="2" t="s">
        <v>3</v>
      </c>
      <c r="D87" s="3" t="s">
        <v>4</v>
      </c>
      <c r="E87" s="4" t="s">
        <v>5</v>
      </c>
      <c r="F87" s="3" t="s">
        <v>6</v>
      </c>
      <c r="G87" s="5">
        <v>1</v>
      </c>
      <c r="H87" s="5" t="s">
        <v>7</v>
      </c>
      <c r="I87" s="6">
        <v>1.33</v>
      </c>
      <c r="J87" s="5" t="s">
        <v>7</v>
      </c>
      <c r="K87" s="6">
        <v>1.35</v>
      </c>
      <c r="L87" s="4" t="s">
        <v>8</v>
      </c>
      <c r="M87" s="26">
        <v>2</v>
      </c>
      <c r="N87" s="7" t="s">
        <v>8</v>
      </c>
      <c r="O87" s="26">
        <v>3</v>
      </c>
      <c r="P87" s="37"/>
      <c r="Q87" s="26" t="s">
        <v>9</v>
      </c>
      <c r="R87" s="25" t="s">
        <v>10</v>
      </c>
      <c r="S87" s="19">
        <v>1.4</v>
      </c>
      <c r="T87" s="26" t="s">
        <v>9</v>
      </c>
      <c r="U87" s="19" t="s">
        <v>10</v>
      </c>
      <c r="V87" s="19">
        <v>1.8</v>
      </c>
      <c r="W87" s="26" t="s">
        <v>9</v>
      </c>
      <c r="X87" s="19" t="s">
        <v>10</v>
      </c>
      <c r="Y87" s="19">
        <v>2</v>
      </c>
    </row>
    <row r="88" spans="1:25" x14ac:dyDescent="0.45">
      <c r="A88" s="8" t="s">
        <v>11</v>
      </c>
      <c r="B88" s="8" t="s">
        <v>59</v>
      </c>
      <c r="C88" s="8">
        <v>17.059999999999999</v>
      </c>
      <c r="D88" s="9">
        <f>C88*1.061</f>
        <v>18.100659999999998</v>
      </c>
      <c r="E88" s="10">
        <v>1.629</v>
      </c>
      <c r="F88" s="11">
        <v>4.54</v>
      </c>
      <c r="G88" s="12">
        <f>SUM(D88*E88)+F88</f>
        <v>34.02597514</v>
      </c>
      <c r="H88" s="10">
        <v>1.4866999999999999</v>
      </c>
      <c r="I88" s="12">
        <f>SUM(G88+(D88*H88*0.33))</f>
        <v>42.906358043259999</v>
      </c>
      <c r="J88" s="10">
        <v>1.4866999999999999</v>
      </c>
      <c r="K88" s="12">
        <f>SUM(G88+(D88*J88*0.35))</f>
        <v>43.444563067699995</v>
      </c>
      <c r="L88" s="10">
        <v>1.4866999999999999</v>
      </c>
      <c r="M88" s="12">
        <f>SUM(G88+(D88*L88*1))</f>
        <v>60.936226361999999</v>
      </c>
      <c r="N88" s="10">
        <v>1.4866999999999999</v>
      </c>
      <c r="O88" s="12">
        <f>SUM(G88+(D88*N88*2))</f>
        <v>87.846477583999985</v>
      </c>
      <c r="P88" s="36"/>
      <c r="Q88" s="9">
        <f t="shared" ref="Q88:Q147" si="12">C88*1.4</f>
        <v>23.883999999999997</v>
      </c>
      <c r="R88" s="10">
        <v>1.3012999999999999</v>
      </c>
      <c r="S88" s="12">
        <f>SUM(Q88*R88)</f>
        <v>31.080249199999994</v>
      </c>
      <c r="T88" s="9">
        <f t="shared" ref="T88:T151" si="13">C88*1.8</f>
        <v>30.707999999999998</v>
      </c>
      <c r="U88" s="10">
        <v>1.3012999999999999</v>
      </c>
      <c r="V88" s="12">
        <f>SUM(T88*U88)</f>
        <v>39.960320399999993</v>
      </c>
      <c r="W88" s="9">
        <f t="shared" si="8"/>
        <v>34.119999999999997</v>
      </c>
      <c r="X88" s="10">
        <v>1.3012999999999999</v>
      </c>
      <c r="Y88" s="12">
        <f>SUM(W88*X88)</f>
        <v>44.400355999999995</v>
      </c>
    </row>
    <row r="89" spans="1:25" x14ac:dyDescent="0.45">
      <c r="Q89" s="14"/>
      <c r="R89" s="20"/>
      <c r="S89" s="14"/>
      <c r="T89" s="14"/>
      <c r="U89" s="20"/>
      <c r="V89" s="14"/>
      <c r="W89" s="14"/>
      <c r="X89" s="20"/>
      <c r="Y89" s="14"/>
    </row>
    <row r="90" spans="1:25" x14ac:dyDescent="0.45">
      <c r="A90" s="1" t="s">
        <v>60</v>
      </c>
      <c r="Q90" s="14"/>
      <c r="R90" s="20"/>
      <c r="S90" s="14"/>
      <c r="T90" s="14"/>
      <c r="U90" s="20"/>
      <c r="V90" s="14"/>
      <c r="W90" s="14"/>
      <c r="X90" s="20"/>
      <c r="Y90" s="14"/>
    </row>
    <row r="91" spans="1:25" x14ac:dyDescent="0.45">
      <c r="A91" s="2" t="s">
        <v>1</v>
      </c>
      <c r="B91" s="2" t="s">
        <v>2</v>
      </c>
      <c r="C91" s="2" t="s">
        <v>3</v>
      </c>
      <c r="D91" s="3" t="s">
        <v>4</v>
      </c>
      <c r="E91" s="4" t="s">
        <v>5</v>
      </c>
      <c r="F91" s="3" t="s">
        <v>6</v>
      </c>
      <c r="G91" s="5">
        <v>1</v>
      </c>
      <c r="H91" s="5" t="s">
        <v>7</v>
      </c>
      <c r="I91" s="6">
        <v>1.33</v>
      </c>
      <c r="J91" s="5" t="s">
        <v>7</v>
      </c>
      <c r="K91" s="6">
        <v>1.35</v>
      </c>
      <c r="L91" s="4" t="s">
        <v>8</v>
      </c>
      <c r="M91" s="26">
        <v>2</v>
      </c>
      <c r="N91" s="7" t="s">
        <v>8</v>
      </c>
      <c r="O91" s="26">
        <v>3</v>
      </c>
      <c r="P91" s="37"/>
      <c r="Q91" s="26" t="s">
        <v>9</v>
      </c>
      <c r="R91" s="25" t="s">
        <v>10</v>
      </c>
      <c r="S91" s="19">
        <v>1.4</v>
      </c>
      <c r="T91" s="26" t="s">
        <v>9</v>
      </c>
      <c r="U91" s="19" t="s">
        <v>10</v>
      </c>
      <c r="V91" s="19">
        <v>1.8</v>
      </c>
      <c r="W91" s="26" t="s">
        <v>9</v>
      </c>
      <c r="X91" s="19" t="s">
        <v>10</v>
      </c>
      <c r="Y91" s="19">
        <v>2</v>
      </c>
    </row>
    <row r="92" spans="1:25" x14ac:dyDescent="0.45">
      <c r="A92" s="8" t="s">
        <v>11</v>
      </c>
      <c r="B92" s="8" t="s">
        <v>61</v>
      </c>
      <c r="C92" s="8">
        <v>17.29</v>
      </c>
      <c r="D92" s="9">
        <f>C92*1.061</f>
        <v>18.344689999999996</v>
      </c>
      <c r="E92" s="10">
        <v>1.629</v>
      </c>
      <c r="F92" s="11">
        <v>4.54</v>
      </c>
      <c r="G92" s="12">
        <f>SUM(D92*E92)+F92</f>
        <v>34.423500009999998</v>
      </c>
      <c r="H92" s="10">
        <v>1.4866999999999999</v>
      </c>
      <c r="I92" s="12">
        <f>SUM(G92+(D92*H92*0.33))</f>
        <v>43.423606715589997</v>
      </c>
      <c r="J92" s="10">
        <v>1.4866999999999999</v>
      </c>
      <c r="K92" s="12">
        <f>SUM(G92+(D92*J92*0.35))</f>
        <v>43.969067728049993</v>
      </c>
      <c r="L92" s="10">
        <v>1.4866999999999999</v>
      </c>
      <c r="M92" s="12">
        <f>SUM(G92+(D92*L92*1))</f>
        <v>61.696550632999987</v>
      </c>
      <c r="N92" s="10">
        <v>1.4866999999999999</v>
      </c>
      <c r="O92" s="12">
        <f>SUM(G92+(D92*N92*2))</f>
        <v>88.969601255999976</v>
      </c>
      <c r="P92" s="36"/>
      <c r="Q92" s="9">
        <f t="shared" si="12"/>
        <v>24.205999999999996</v>
      </c>
      <c r="R92" s="10">
        <v>1.3012999999999999</v>
      </c>
      <c r="S92" s="12">
        <f>SUM(Q92*R92)</f>
        <v>31.499267799999991</v>
      </c>
      <c r="T92" s="9">
        <f t="shared" si="13"/>
        <v>31.122</v>
      </c>
      <c r="U92" s="10">
        <v>1.3012999999999999</v>
      </c>
      <c r="V92" s="12">
        <f>SUM(T92*U92)</f>
        <v>40.499058599999998</v>
      </c>
      <c r="W92" s="9">
        <f t="shared" si="8"/>
        <v>34.58</v>
      </c>
      <c r="X92" s="10">
        <v>1.3012999999999999</v>
      </c>
      <c r="Y92" s="12">
        <f>SUM(W92*X92)</f>
        <v>44.998953999999998</v>
      </c>
    </row>
    <row r="93" spans="1:25" x14ac:dyDescent="0.45">
      <c r="M93" s="20"/>
      <c r="N93" s="20"/>
      <c r="O93" s="20"/>
      <c r="Q93" s="14"/>
      <c r="R93" s="20"/>
      <c r="S93" s="14"/>
      <c r="T93" s="14"/>
      <c r="U93" s="20"/>
      <c r="V93" s="14"/>
      <c r="W93" s="14"/>
      <c r="X93" s="20"/>
      <c r="Y93" s="14"/>
    </row>
    <row r="94" spans="1:25" x14ac:dyDescent="0.45">
      <c r="A94" s="1" t="s">
        <v>62</v>
      </c>
      <c r="M94" s="20"/>
      <c r="N94" s="20"/>
      <c r="O94" s="20"/>
      <c r="Q94" s="14"/>
      <c r="R94" s="20"/>
      <c r="S94" s="14"/>
      <c r="T94" s="14"/>
      <c r="U94" s="20"/>
      <c r="V94" s="14"/>
      <c r="W94" s="14"/>
      <c r="X94" s="20"/>
      <c r="Y94" s="14"/>
    </row>
    <row r="95" spans="1:25" x14ac:dyDescent="0.45">
      <c r="A95" s="2" t="s">
        <v>1</v>
      </c>
      <c r="B95" s="2" t="s">
        <v>2</v>
      </c>
      <c r="C95" s="2" t="s">
        <v>3</v>
      </c>
      <c r="D95" s="3" t="s">
        <v>4</v>
      </c>
      <c r="E95" s="4" t="s">
        <v>5</v>
      </c>
      <c r="F95" s="3" t="s">
        <v>6</v>
      </c>
      <c r="G95" s="5">
        <v>1</v>
      </c>
      <c r="H95" s="5" t="s">
        <v>7</v>
      </c>
      <c r="I95" s="6">
        <v>1.33</v>
      </c>
      <c r="J95" s="5" t="s">
        <v>7</v>
      </c>
      <c r="K95" s="6">
        <v>1.35</v>
      </c>
      <c r="L95" s="4" t="s">
        <v>8</v>
      </c>
      <c r="M95" s="26">
        <v>2</v>
      </c>
      <c r="N95" s="7" t="s">
        <v>8</v>
      </c>
      <c r="O95" s="26">
        <v>3</v>
      </c>
      <c r="P95" s="37"/>
      <c r="Q95" s="26" t="s">
        <v>9</v>
      </c>
      <c r="R95" s="25" t="s">
        <v>10</v>
      </c>
      <c r="S95" s="19">
        <v>1.4</v>
      </c>
      <c r="T95" s="26" t="s">
        <v>9</v>
      </c>
      <c r="U95" s="19" t="s">
        <v>10</v>
      </c>
      <c r="V95" s="19">
        <v>1.8</v>
      </c>
      <c r="W95" s="26" t="s">
        <v>9</v>
      </c>
      <c r="X95" s="19" t="s">
        <v>10</v>
      </c>
      <c r="Y95" s="19">
        <v>2</v>
      </c>
    </row>
    <row r="96" spans="1:25" x14ac:dyDescent="0.45">
      <c r="A96" s="8" t="s">
        <v>11</v>
      </c>
      <c r="B96" s="8" t="s">
        <v>63</v>
      </c>
      <c r="C96" s="8">
        <v>17.739999999999998</v>
      </c>
      <c r="D96" s="9">
        <f>C96*1.061</f>
        <v>18.822139999999997</v>
      </c>
      <c r="E96" s="10">
        <v>1.629</v>
      </c>
      <c r="F96" s="11">
        <v>4.54</v>
      </c>
      <c r="G96" s="12">
        <f>SUM(D96*E96)+F96</f>
        <v>35.201266059999995</v>
      </c>
      <c r="H96" s="10">
        <v>1.4866999999999999</v>
      </c>
      <c r="I96" s="12">
        <f>SUM(G96+(D96*H96*0.33))</f>
        <v>44.435614987539992</v>
      </c>
      <c r="J96" s="10">
        <v>1.4866999999999999</v>
      </c>
      <c r="K96" s="12">
        <f>SUM(G96+(D96*J96*0.35))</f>
        <v>44.99527249829999</v>
      </c>
      <c r="L96" s="10">
        <v>1.4866999999999999</v>
      </c>
      <c r="M96" s="12">
        <f>SUM(G96+(D96*L96*1))</f>
        <v>63.184141597999989</v>
      </c>
      <c r="N96" s="10">
        <v>1.4866999999999999</v>
      </c>
      <c r="O96" s="12">
        <f>SUM(G96+(D96*N96*2))</f>
        <v>91.167017135999984</v>
      </c>
      <c r="P96" s="36"/>
      <c r="Q96" s="9">
        <f t="shared" si="12"/>
        <v>24.835999999999995</v>
      </c>
      <c r="R96" s="10">
        <v>1.3012999999999999</v>
      </c>
      <c r="S96" s="12">
        <f>SUM(Q96*R96)</f>
        <v>32.319086799999994</v>
      </c>
      <c r="T96" s="9">
        <f t="shared" si="13"/>
        <v>31.931999999999999</v>
      </c>
      <c r="U96" s="10">
        <v>1.3012999999999999</v>
      </c>
      <c r="V96" s="12">
        <f>SUM(T96*U96)</f>
        <v>41.553111599999994</v>
      </c>
      <c r="W96" s="9">
        <f t="shared" si="8"/>
        <v>35.479999999999997</v>
      </c>
      <c r="X96" s="10">
        <v>1.3012999999999999</v>
      </c>
      <c r="Y96" s="12">
        <f>SUM(W96*X96)</f>
        <v>46.170123999999994</v>
      </c>
    </row>
    <row r="97" spans="1:25" x14ac:dyDescent="0.45">
      <c r="M97" s="20"/>
      <c r="N97" s="20"/>
      <c r="O97" s="20"/>
      <c r="Q97" s="14"/>
      <c r="R97" s="20"/>
      <c r="S97" s="14"/>
      <c r="T97" s="14"/>
      <c r="U97" s="20"/>
      <c r="V97" s="14"/>
      <c r="W97" s="14"/>
      <c r="X97" s="20"/>
      <c r="Y97" s="14"/>
    </row>
    <row r="98" spans="1:25" x14ac:dyDescent="0.45">
      <c r="A98" s="1" t="s">
        <v>64</v>
      </c>
      <c r="M98" s="20"/>
      <c r="N98" s="20"/>
      <c r="O98" s="20"/>
      <c r="Q98" s="14"/>
      <c r="R98" s="20"/>
      <c r="S98" s="14"/>
      <c r="T98" s="14"/>
      <c r="U98" s="20"/>
      <c r="V98" s="14"/>
      <c r="W98" s="14"/>
      <c r="X98" s="20"/>
      <c r="Y98" s="14"/>
    </row>
    <row r="99" spans="1:25" x14ac:dyDescent="0.45">
      <c r="A99" s="2" t="s">
        <v>1</v>
      </c>
      <c r="B99" s="2" t="s">
        <v>2</v>
      </c>
      <c r="C99" s="2" t="s">
        <v>3</v>
      </c>
      <c r="D99" s="3" t="s">
        <v>4</v>
      </c>
      <c r="E99" s="4" t="s">
        <v>5</v>
      </c>
      <c r="F99" s="3" t="s">
        <v>6</v>
      </c>
      <c r="G99" s="5">
        <v>1</v>
      </c>
      <c r="H99" s="5" t="s">
        <v>7</v>
      </c>
      <c r="I99" s="6">
        <v>1.33</v>
      </c>
      <c r="J99" s="5" t="s">
        <v>7</v>
      </c>
      <c r="K99" s="6">
        <v>1.35</v>
      </c>
      <c r="L99" s="4" t="s">
        <v>8</v>
      </c>
      <c r="M99" s="26">
        <v>2</v>
      </c>
      <c r="N99" s="7" t="s">
        <v>8</v>
      </c>
      <c r="O99" s="26">
        <v>3</v>
      </c>
      <c r="P99" s="37"/>
      <c r="Q99" s="26" t="s">
        <v>9</v>
      </c>
      <c r="R99" s="25" t="s">
        <v>10</v>
      </c>
      <c r="S99" s="19">
        <v>1.4</v>
      </c>
      <c r="T99" s="26" t="s">
        <v>9</v>
      </c>
      <c r="U99" s="19" t="s">
        <v>10</v>
      </c>
      <c r="V99" s="19">
        <v>1.8</v>
      </c>
      <c r="W99" s="26" t="s">
        <v>9</v>
      </c>
      <c r="X99" s="19" t="s">
        <v>10</v>
      </c>
      <c r="Y99" s="19">
        <v>2</v>
      </c>
    </row>
    <row r="100" spans="1:25" x14ac:dyDescent="0.45">
      <c r="A100" s="8" t="s">
        <v>11</v>
      </c>
      <c r="B100" s="8" t="s">
        <v>65</v>
      </c>
      <c r="C100" s="8">
        <v>16.38</v>
      </c>
      <c r="D100" s="9">
        <f>C100*1.061</f>
        <v>17.379179999999998</v>
      </c>
      <c r="E100" s="10">
        <v>1.7058</v>
      </c>
      <c r="F100" s="11">
        <v>4.54</v>
      </c>
      <c r="G100" s="12">
        <f>SUM(D100*E100)+F100</f>
        <v>34.185405243999995</v>
      </c>
      <c r="H100" s="10">
        <v>1.5694999999999999</v>
      </c>
      <c r="I100" s="12">
        <f>SUM(G100+(D100*H100*0.33))</f>
        <v>43.186690837299992</v>
      </c>
      <c r="J100" s="10">
        <v>1.5694999999999999</v>
      </c>
      <c r="K100" s="12">
        <f>SUM(G100+(D100*J100*0.35))</f>
        <v>43.732223297499992</v>
      </c>
      <c r="L100" s="10">
        <v>1.5694999999999999</v>
      </c>
      <c r="M100" s="12">
        <f>SUM(G100+(D100*L100*1))</f>
        <v>61.462028253999989</v>
      </c>
      <c r="N100" s="10">
        <v>1.5694999999999999</v>
      </c>
      <c r="O100" s="12">
        <f>SUM(G100+(D100*N100*2))</f>
        <v>88.738651263999984</v>
      </c>
      <c r="P100" s="36"/>
      <c r="Q100" s="9">
        <f t="shared" si="12"/>
        <v>22.931999999999999</v>
      </c>
      <c r="R100" s="10">
        <v>1.3842000000000001</v>
      </c>
      <c r="S100" s="12">
        <f>SUM(Q100*R100)</f>
        <v>31.742474399999999</v>
      </c>
      <c r="T100" s="9">
        <f t="shared" si="13"/>
        <v>29.483999999999998</v>
      </c>
      <c r="U100" s="10">
        <v>1.3842000000000001</v>
      </c>
      <c r="V100" s="12">
        <f>SUM(T100*U100)</f>
        <v>40.811752800000001</v>
      </c>
      <c r="W100" s="9">
        <f t="shared" si="8"/>
        <v>32.76</v>
      </c>
      <c r="X100" s="10">
        <v>1.3842000000000001</v>
      </c>
      <c r="Y100" s="12">
        <f>SUM(W100*X100)</f>
        <v>45.346392000000002</v>
      </c>
    </row>
    <row r="101" spans="1:25" x14ac:dyDescent="0.45">
      <c r="A101" s="8" t="s">
        <v>11</v>
      </c>
      <c r="B101" s="8" t="s">
        <v>66</v>
      </c>
      <c r="C101" s="8">
        <v>16.38</v>
      </c>
      <c r="D101" s="9">
        <f>C101*1.061</f>
        <v>17.379179999999998</v>
      </c>
      <c r="E101" s="10">
        <v>1.629</v>
      </c>
      <c r="F101" s="11">
        <v>4.54</v>
      </c>
      <c r="G101" s="12">
        <f>SUM(D101*E101)+F101</f>
        <v>32.850684219999998</v>
      </c>
      <c r="H101" s="10">
        <v>1.4866999999999999</v>
      </c>
      <c r="I101" s="12">
        <f>SUM(G101+(D101*H101*0.33))</f>
        <v>41.377101098979999</v>
      </c>
      <c r="J101" s="10">
        <v>1.4866999999999999</v>
      </c>
      <c r="K101" s="12">
        <f>SUM(G101+(D101*J101*0.35))</f>
        <v>41.893853637099994</v>
      </c>
      <c r="L101" s="10">
        <v>1.4866999999999999</v>
      </c>
      <c r="M101" s="12">
        <f>SUM(G101+(D101*L101*1))</f>
        <v>58.688311125999995</v>
      </c>
      <c r="N101" s="10">
        <v>1.4866999999999999</v>
      </c>
      <c r="O101" s="12">
        <f>SUM(G101+(D101*N101*2))</f>
        <v>84.525938031999999</v>
      </c>
      <c r="P101" s="36"/>
      <c r="Q101" s="9">
        <f t="shared" si="12"/>
        <v>22.931999999999999</v>
      </c>
      <c r="R101" s="10">
        <v>1.3012999999999999</v>
      </c>
      <c r="S101" s="12">
        <f>SUM(Q101*R101)</f>
        <v>29.841411599999997</v>
      </c>
      <c r="T101" s="9">
        <f t="shared" si="13"/>
        <v>29.483999999999998</v>
      </c>
      <c r="U101" s="10">
        <v>1.3012999999999999</v>
      </c>
      <c r="V101" s="12">
        <f>SUM(T101*U101)</f>
        <v>38.367529199999993</v>
      </c>
      <c r="W101" s="9">
        <f t="shared" si="8"/>
        <v>32.76</v>
      </c>
      <c r="X101" s="10">
        <v>1.3012999999999999</v>
      </c>
      <c r="Y101" s="12">
        <f>SUM(W101*X101)</f>
        <v>42.630587999999996</v>
      </c>
    </row>
    <row r="102" spans="1:25" x14ac:dyDescent="0.45">
      <c r="M102" s="20"/>
      <c r="N102" s="20"/>
      <c r="O102" s="20"/>
      <c r="Q102" s="14"/>
      <c r="R102" s="20"/>
      <c r="S102" s="14"/>
      <c r="T102" s="14"/>
      <c r="U102" s="20"/>
      <c r="V102" s="14"/>
      <c r="W102" s="14"/>
      <c r="X102" s="20"/>
      <c r="Y102" s="14"/>
    </row>
    <row r="103" spans="1:25" x14ac:dyDescent="0.45">
      <c r="A103" s="1" t="s">
        <v>67</v>
      </c>
      <c r="M103" s="20"/>
      <c r="N103" s="20"/>
      <c r="O103" s="20"/>
      <c r="Q103" s="14"/>
      <c r="R103" s="20"/>
      <c r="S103" s="14"/>
      <c r="T103" s="14"/>
      <c r="U103" s="20"/>
      <c r="V103" s="14"/>
      <c r="W103" s="14"/>
      <c r="X103" s="20"/>
      <c r="Y103" s="14"/>
    </row>
    <row r="104" spans="1:25" x14ac:dyDescent="0.45">
      <c r="A104" s="2" t="s">
        <v>1</v>
      </c>
      <c r="B104" s="2" t="s">
        <v>2</v>
      </c>
      <c r="C104" s="2" t="s">
        <v>3</v>
      </c>
      <c r="D104" s="3" t="s">
        <v>4</v>
      </c>
      <c r="E104" s="4" t="s">
        <v>5</v>
      </c>
      <c r="F104" s="3" t="s">
        <v>6</v>
      </c>
      <c r="G104" s="5">
        <v>1</v>
      </c>
      <c r="H104" s="5" t="s">
        <v>7</v>
      </c>
      <c r="I104" s="6">
        <v>1.33</v>
      </c>
      <c r="J104" s="5" t="s">
        <v>7</v>
      </c>
      <c r="K104" s="6">
        <v>1.35</v>
      </c>
      <c r="L104" s="4" t="s">
        <v>8</v>
      </c>
      <c r="M104" s="26">
        <v>2</v>
      </c>
      <c r="N104" s="7" t="s">
        <v>8</v>
      </c>
      <c r="O104" s="26">
        <v>3</v>
      </c>
      <c r="P104" s="37"/>
      <c r="Q104" s="26" t="s">
        <v>9</v>
      </c>
      <c r="R104" s="25" t="s">
        <v>10</v>
      </c>
      <c r="S104" s="19">
        <v>1.4</v>
      </c>
      <c r="T104" s="26" t="s">
        <v>9</v>
      </c>
      <c r="U104" s="19" t="s">
        <v>10</v>
      </c>
      <c r="V104" s="19">
        <v>1.8</v>
      </c>
      <c r="W104" s="26" t="s">
        <v>9</v>
      </c>
      <c r="X104" s="19" t="s">
        <v>10</v>
      </c>
      <c r="Y104" s="19">
        <v>2</v>
      </c>
    </row>
    <row r="105" spans="1:25" x14ac:dyDescent="0.45">
      <c r="A105" s="8" t="s">
        <v>11</v>
      </c>
      <c r="B105" s="8" t="s">
        <v>68</v>
      </c>
      <c r="C105" s="8">
        <v>16.62</v>
      </c>
      <c r="D105" s="9">
        <f>C105*1.061</f>
        <v>17.63382</v>
      </c>
      <c r="E105" s="10">
        <v>1.629</v>
      </c>
      <c r="F105" s="11">
        <v>4.54</v>
      </c>
      <c r="G105" s="12">
        <f>SUM(D105*E105)+F105</f>
        <v>33.265492780000002</v>
      </c>
      <c r="H105" s="10">
        <v>1.4866999999999999</v>
      </c>
      <c r="I105" s="12">
        <f>SUM(G105+(D105*H105*0.33))</f>
        <v>41.916838844020006</v>
      </c>
      <c r="J105" s="10">
        <v>1.4866999999999999</v>
      </c>
      <c r="K105" s="12">
        <f>SUM(G105+(D105*J105*0.35))</f>
        <v>42.441162847900003</v>
      </c>
      <c r="L105" s="10">
        <v>1.4866999999999999</v>
      </c>
      <c r="M105" s="12">
        <f>SUM(G105+(D105*L105*1))</f>
        <v>59.481692973999998</v>
      </c>
      <c r="N105" s="10">
        <v>1.4866999999999999</v>
      </c>
      <c r="O105" s="12">
        <f>SUM(G105+(D105*N105*2))</f>
        <v>85.697893168000007</v>
      </c>
      <c r="P105" s="36"/>
      <c r="Q105" s="9">
        <f t="shared" si="12"/>
        <v>23.268000000000001</v>
      </c>
      <c r="R105" s="10">
        <v>1.3012999999999999</v>
      </c>
      <c r="S105" s="12">
        <f>SUM(Q105*R105)</f>
        <v>30.278648399999998</v>
      </c>
      <c r="T105" s="9">
        <f t="shared" si="13"/>
        <v>29.916000000000004</v>
      </c>
      <c r="U105" s="10">
        <v>1.3012999999999999</v>
      </c>
      <c r="V105" s="12">
        <f>SUM(T105*U105)</f>
        <v>38.929690800000003</v>
      </c>
      <c r="W105" s="9">
        <f t="shared" si="8"/>
        <v>33.24</v>
      </c>
      <c r="X105" s="10">
        <v>1.3012999999999999</v>
      </c>
      <c r="Y105" s="12">
        <f>SUM(W105*X105)</f>
        <v>43.255212</v>
      </c>
    </row>
    <row r="106" spans="1:25" x14ac:dyDescent="0.45">
      <c r="M106" s="20"/>
      <c r="N106" s="20"/>
      <c r="O106" s="20"/>
      <c r="Q106" s="14"/>
      <c r="R106" s="20"/>
      <c r="S106" s="14"/>
      <c r="T106" s="14"/>
      <c r="U106" s="20"/>
      <c r="V106" s="14"/>
      <c r="W106" s="14"/>
      <c r="X106" s="20"/>
      <c r="Y106" s="14"/>
    </row>
    <row r="107" spans="1:25" x14ac:dyDescent="0.45">
      <c r="A107" s="1" t="s">
        <v>69</v>
      </c>
      <c r="M107" s="20"/>
      <c r="N107" s="20"/>
      <c r="O107" s="20"/>
      <c r="Q107" s="14"/>
      <c r="R107" s="20"/>
      <c r="S107" s="14"/>
      <c r="T107" s="14"/>
      <c r="U107" s="20"/>
      <c r="V107" s="14"/>
      <c r="W107" s="14"/>
      <c r="X107" s="20"/>
      <c r="Y107" s="14"/>
    </row>
    <row r="108" spans="1:25" x14ac:dyDescent="0.45">
      <c r="A108" s="2" t="s">
        <v>1</v>
      </c>
      <c r="B108" s="2" t="s">
        <v>2</v>
      </c>
      <c r="C108" s="2" t="s">
        <v>3</v>
      </c>
      <c r="D108" s="3" t="s">
        <v>4</v>
      </c>
      <c r="E108" s="4" t="s">
        <v>5</v>
      </c>
      <c r="F108" s="3" t="s">
        <v>6</v>
      </c>
      <c r="G108" s="5">
        <v>1</v>
      </c>
      <c r="H108" s="5" t="s">
        <v>7</v>
      </c>
      <c r="I108" s="6">
        <v>1.33</v>
      </c>
      <c r="J108" s="5" t="s">
        <v>7</v>
      </c>
      <c r="K108" s="6">
        <v>1.35</v>
      </c>
      <c r="L108" s="4" t="s">
        <v>8</v>
      </c>
      <c r="M108" s="26">
        <v>2</v>
      </c>
      <c r="N108" s="7" t="s">
        <v>8</v>
      </c>
      <c r="O108" s="26">
        <v>3</v>
      </c>
      <c r="P108" s="37"/>
      <c r="Q108" s="26" t="s">
        <v>9</v>
      </c>
      <c r="R108" s="25" t="s">
        <v>10</v>
      </c>
      <c r="S108" s="19">
        <v>1.4</v>
      </c>
      <c r="T108" s="26" t="s">
        <v>9</v>
      </c>
      <c r="U108" s="19" t="s">
        <v>10</v>
      </c>
      <c r="V108" s="19">
        <v>1.8</v>
      </c>
      <c r="W108" s="26" t="s">
        <v>9</v>
      </c>
      <c r="X108" s="19" t="s">
        <v>10</v>
      </c>
      <c r="Y108" s="19">
        <v>2</v>
      </c>
    </row>
    <row r="109" spans="1:25" x14ac:dyDescent="0.45">
      <c r="A109" s="8" t="s">
        <v>11</v>
      </c>
      <c r="B109" s="8" t="s">
        <v>70</v>
      </c>
      <c r="C109" s="8">
        <v>16.86</v>
      </c>
      <c r="D109" s="9">
        <f>C109*1.061</f>
        <v>17.888459999999998</v>
      </c>
      <c r="E109" s="10">
        <v>1.629</v>
      </c>
      <c r="F109" s="11">
        <v>4.54</v>
      </c>
      <c r="G109" s="12">
        <f>SUM(D109*E109)+F109</f>
        <v>33.68030134</v>
      </c>
      <c r="H109" s="10">
        <v>1.4866999999999999</v>
      </c>
      <c r="I109" s="12">
        <f>SUM(G109+(D109*H109*0.33))</f>
        <v>42.456576589059999</v>
      </c>
      <c r="J109" s="10">
        <v>1.4866999999999999</v>
      </c>
      <c r="K109" s="12">
        <f>SUM(G109+(D109*J109*0.35))</f>
        <v>42.988472058699998</v>
      </c>
      <c r="L109" s="10">
        <v>1.4866999999999999</v>
      </c>
      <c r="M109" s="12">
        <f>SUM(G109+(D109*L109*1))</f>
        <v>60.275074821999993</v>
      </c>
      <c r="N109" s="10">
        <v>1.4866999999999999</v>
      </c>
      <c r="O109" s="12">
        <f>SUM(G109+(D109*N109*2))</f>
        <v>86.869848303999987</v>
      </c>
      <c r="P109" s="36"/>
      <c r="Q109" s="9">
        <f t="shared" si="12"/>
        <v>23.603999999999999</v>
      </c>
      <c r="R109" s="10">
        <v>1.3012999999999999</v>
      </c>
      <c r="S109" s="12">
        <f>SUM(Q109*R109)</f>
        <v>30.715885199999995</v>
      </c>
      <c r="T109" s="9">
        <f t="shared" si="13"/>
        <v>30.347999999999999</v>
      </c>
      <c r="U109" s="10">
        <v>1.3012999999999999</v>
      </c>
      <c r="V109" s="12">
        <f>SUM(T109*U109)</f>
        <v>39.491852399999999</v>
      </c>
      <c r="W109" s="9">
        <f t="shared" si="8"/>
        <v>33.72</v>
      </c>
      <c r="X109" s="10">
        <v>1.3012999999999999</v>
      </c>
      <c r="Y109" s="12">
        <f>SUM(W109*X109)</f>
        <v>43.879835999999997</v>
      </c>
    </row>
    <row r="110" spans="1:25" x14ac:dyDescent="0.45">
      <c r="Q110" s="14"/>
      <c r="R110" s="20"/>
      <c r="S110" s="14"/>
      <c r="T110" s="14"/>
      <c r="U110" s="20"/>
      <c r="V110" s="14"/>
      <c r="W110" s="14"/>
      <c r="X110" s="20"/>
      <c r="Y110" s="14"/>
    </row>
    <row r="111" spans="1:25" x14ac:dyDescent="0.45">
      <c r="A111" s="1" t="s">
        <v>71</v>
      </c>
      <c r="Q111" s="14"/>
      <c r="R111" s="20"/>
      <c r="S111" s="14"/>
      <c r="T111" s="14"/>
      <c r="U111" s="20"/>
      <c r="V111" s="14"/>
      <c r="W111" s="14"/>
      <c r="X111" s="20"/>
      <c r="Y111" s="14"/>
    </row>
    <row r="112" spans="1:25" x14ac:dyDescent="0.45">
      <c r="A112" s="2" t="s">
        <v>1</v>
      </c>
      <c r="B112" s="2" t="s">
        <v>2</v>
      </c>
      <c r="C112" s="2" t="s">
        <v>3</v>
      </c>
      <c r="D112" s="3" t="s">
        <v>4</v>
      </c>
      <c r="E112" s="4" t="s">
        <v>5</v>
      </c>
      <c r="F112" s="3" t="s">
        <v>6</v>
      </c>
      <c r="G112" s="5">
        <v>1</v>
      </c>
      <c r="H112" s="5" t="s">
        <v>7</v>
      </c>
      <c r="I112" s="6">
        <v>1.33</v>
      </c>
      <c r="J112" s="5" t="s">
        <v>7</v>
      </c>
      <c r="K112" s="6">
        <v>1.35</v>
      </c>
      <c r="L112" s="29" t="s">
        <v>8</v>
      </c>
      <c r="M112" s="31">
        <v>2</v>
      </c>
      <c r="N112" s="7" t="s">
        <v>8</v>
      </c>
      <c r="O112" s="31">
        <v>3</v>
      </c>
      <c r="P112" s="38"/>
      <c r="Q112" s="31" t="s">
        <v>9</v>
      </c>
      <c r="R112" s="27" t="s">
        <v>10</v>
      </c>
      <c r="S112" s="22">
        <v>1.4</v>
      </c>
      <c r="T112" s="31" t="s">
        <v>9</v>
      </c>
      <c r="U112" s="22" t="s">
        <v>10</v>
      </c>
      <c r="V112" s="22">
        <v>1.8</v>
      </c>
      <c r="W112" s="31" t="s">
        <v>9</v>
      </c>
      <c r="X112" s="22" t="s">
        <v>10</v>
      </c>
      <c r="Y112" s="19">
        <v>2</v>
      </c>
    </row>
    <row r="113" spans="1:25" x14ac:dyDescent="0.45">
      <c r="A113" s="8" t="s">
        <v>11</v>
      </c>
      <c r="B113" s="8" t="s">
        <v>72</v>
      </c>
      <c r="C113" s="8">
        <v>17.100000000000001</v>
      </c>
      <c r="D113" s="9">
        <f>C113*1.061</f>
        <v>18.1431</v>
      </c>
      <c r="E113" s="10">
        <v>1.629</v>
      </c>
      <c r="F113" s="11">
        <v>4.54</v>
      </c>
      <c r="G113" s="12">
        <f>SUM(D113*E113)+F113</f>
        <v>34.095109900000004</v>
      </c>
      <c r="H113" s="10">
        <v>1.4866999999999999</v>
      </c>
      <c r="I113" s="12">
        <f>SUM(G113+(D113*H113*0.33))</f>
        <v>42.996314334100006</v>
      </c>
      <c r="J113" s="10">
        <v>1.4866999999999999</v>
      </c>
      <c r="K113" s="12">
        <f>SUM(G113+(D113*J113*0.35))</f>
        <v>43.535781269500006</v>
      </c>
      <c r="L113" s="30">
        <v>1.4866999999999999</v>
      </c>
      <c r="M113" s="12">
        <f>SUM(G113+(D113*L113*1))</f>
        <v>61.068456670000003</v>
      </c>
      <c r="N113" s="10">
        <v>1.4866999999999999</v>
      </c>
      <c r="O113" s="12">
        <f>SUM(G113+(D113*N113*2))</f>
        <v>88.041803439999995</v>
      </c>
      <c r="P113" s="39"/>
      <c r="Q113" s="28">
        <f t="shared" si="12"/>
        <v>23.94</v>
      </c>
      <c r="R113" s="30">
        <v>1.3012999999999999</v>
      </c>
      <c r="S113" s="12">
        <f>SUM(Q113*R113)</f>
        <v>31.153122</v>
      </c>
      <c r="T113" s="28">
        <f t="shared" si="13"/>
        <v>30.780000000000005</v>
      </c>
      <c r="U113" s="30">
        <v>1.3012999999999999</v>
      </c>
      <c r="V113" s="12">
        <f>SUM(T113*U113)</f>
        <v>40.054014000000002</v>
      </c>
      <c r="W113" s="28">
        <f t="shared" si="8"/>
        <v>34.200000000000003</v>
      </c>
      <c r="X113" s="30">
        <v>1.3012999999999999</v>
      </c>
      <c r="Y113" s="12">
        <f>SUM(W113*X113)</f>
        <v>44.504460000000002</v>
      </c>
    </row>
    <row r="114" spans="1:25" x14ac:dyDescent="0.45">
      <c r="Q114" s="14"/>
      <c r="R114" s="20"/>
      <c r="S114" s="14"/>
      <c r="T114" s="14"/>
      <c r="U114" s="20"/>
      <c r="V114" s="14"/>
      <c r="W114" s="14"/>
      <c r="X114" s="20"/>
      <c r="Y114" s="14"/>
    </row>
    <row r="115" spans="1:25" x14ac:dyDescent="0.45">
      <c r="A115" s="1" t="s">
        <v>73</v>
      </c>
      <c r="Q115" s="14"/>
      <c r="R115" s="20"/>
      <c r="S115" s="14"/>
      <c r="T115" s="14"/>
      <c r="U115" s="20"/>
      <c r="V115" s="14"/>
      <c r="W115" s="14"/>
      <c r="X115" s="20"/>
      <c r="Y115" s="14"/>
    </row>
    <row r="116" spans="1:25" x14ac:dyDescent="0.45">
      <c r="A116" s="2" t="s">
        <v>1</v>
      </c>
      <c r="B116" s="2" t="s">
        <v>2</v>
      </c>
      <c r="C116" s="2" t="s">
        <v>3</v>
      </c>
      <c r="D116" s="3" t="s">
        <v>4</v>
      </c>
      <c r="E116" s="4" t="s">
        <v>5</v>
      </c>
      <c r="F116" s="3" t="s">
        <v>6</v>
      </c>
      <c r="G116" s="5">
        <v>1</v>
      </c>
      <c r="H116" s="5" t="s">
        <v>7</v>
      </c>
      <c r="I116" s="6">
        <v>1.33</v>
      </c>
      <c r="J116" s="5" t="s">
        <v>7</v>
      </c>
      <c r="K116" s="6">
        <v>1.35</v>
      </c>
      <c r="L116" s="4" t="s">
        <v>8</v>
      </c>
      <c r="M116" s="26">
        <v>2</v>
      </c>
      <c r="N116" s="7" t="s">
        <v>8</v>
      </c>
      <c r="O116" s="26">
        <v>3</v>
      </c>
      <c r="P116" s="37"/>
      <c r="Q116" s="26" t="s">
        <v>9</v>
      </c>
      <c r="R116" s="25" t="s">
        <v>10</v>
      </c>
      <c r="S116" s="19">
        <v>1.4</v>
      </c>
      <c r="T116" s="26" t="s">
        <v>9</v>
      </c>
      <c r="U116" s="19" t="s">
        <v>10</v>
      </c>
      <c r="V116" s="19">
        <v>1.8</v>
      </c>
      <c r="W116" s="26" t="s">
        <v>9</v>
      </c>
      <c r="X116" s="19" t="s">
        <v>10</v>
      </c>
      <c r="Y116" s="19">
        <v>2</v>
      </c>
    </row>
    <row r="117" spans="1:25" x14ac:dyDescent="0.45">
      <c r="A117" s="8" t="s">
        <v>11</v>
      </c>
      <c r="B117" s="8" t="s">
        <v>74</v>
      </c>
      <c r="C117" s="8">
        <v>17.34</v>
      </c>
      <c r="D117" s="9">
        <f>C117*1.061</f>
        <v>18.397739999999999</v>
      </c>
      <c r="E117" s="10">
        <v>1.629</v>
      </c>
      <c r="F117" s="11">
        <v>4.54</v>
      </c>
      <c r="G117" s="12">
        <f>SUM(D117*E117)+F117</f>
        <v>34.509918460000002</v>
      </c>
      <c r="H117" s="10">
        <v>1.4866999999999999</v>
      </c>
      <c r="I117" s="12">
        <f>SUM(G117+(D117*H117*0.33))</f>
        <v>43.536052079139999</v>
      </c>
      <c r="J117" s="10">
        <v>1.4866999999999999</v>
      </c>
      <c r="K117" s="12">
        <f>SUM(G117+(D117*J117*0.35))</f>
        <v>44.083090480300001</v>
      </c>
      <c r="L117" s="10">
        <v>1.4866999999999999</v>
      </c>
      <c r="M117" s="12">
        <f>SUM(G117+(D117*L117*1))</f>
        <v>61.861838517999999</v>
      </c>
      <c r="N117" s="10">
        <v>1.4866999999999999</v>
      </c>
      <c r="O117" s="12">
        <f>SUM(G117+(D117*N117*2))</f>
        <v>89.213758576000004</v>
      </c>
      <c r="P117" s="36"/>
      <c r="Q117" s="9">
        <f t="shared" si="12"/>
        <v>24.276</v>
      </c>
      <c r="R117" s="10">
        <v>1.3012999999999999</v>
      </c>
      <c r="S117" s="12">
        <f>SUM(Q117*R117)</f>
        <v>31.590358799999997</v>
      </c>
      <c r="T117" s="9">
        <f t="shared" si="13"/>
        <v>31.212</v>
      </c>
      <c r="U117" s="10">
        <v>1.3012999999999999</v>
      </c>
      <c r="V117" s="12">
        <f>SUM(T117*U117)</f>
        <v>40.616175599999998</v>
      </c>
      <c r="W117" s="9">
        <f t="shared" si="8"/>
        <v>34.68</v>
      </c>
      <c r="X117" s="10">
        <v>1.3012999999999999</v>
      </c>
      <c r="Y117" s="12">
        <f>SUM(W117*X117)</f>
        <v>45.129083999999999</v>
      </c>
    </row>
    <row r="118" spans="1:25" x14ac:dyDescent="0.45">
      <c r="Q118" s="14"/>
      <c r="R118" s="20"/>
      <c r="S118" s="14"/>
      <c r="T118" s="14"/>
      <c r="U118" s="20"/>
      <c r="V118" s="14"/>
      <c r="W118" s="14"/>
      <c r="X118" s="20"/>
      <c r="Y118" s="14"/>
    </row>
    <row r="119" spans="1:25" x14ac:dyDescent="0.45">
      <c r="A119" s="1" t="s">
        <v>75</v>
      </c>
      <c r="Q119" s="14"/>
      <c r="R119" s="20"/>
      <c r="S119" s="14"/>
      <c r="T119" s="14"/>
      <c r="U119" s="20"/>
      <c r="V119" s="14"/>
      <c r="W119" s="14"/>
      <c r="X119" s="20"/>
      <c r="Y119" s="14"/>
    </row>
    <row r="120" spans="1:25" x14ac:dyDescent="0.45">
      <c r="A120" s="2" t="s">
        <v>1</v>
      </c>
      <c r="B120" s="2" t="s">
        <v>2</v>
      </c>
      <c r="C120" s="2" t="s">
        <v>3</v>
      </c>
      <c r="D120" s="3" t="s">
        <v>4</v>
      </c>
      <c r="E120" s="4" t="s">
        <v>5</v>
      </c>
      <c r="F120" s="3" t="s">
        <v>6</v>
      </c>
      <c r="G120" s="5">
        <v>1</v>
      </c>
      <c r="H120" s="5" t="s">
        <v>7</v>
      </c>
      <c r="I120" s="6">
        <v>1.33</v>
      </c>
      <c r="J120" s="5" t="s">
        <v>7</v>
      </c>
      <c r="K120" s="6">
        <v>1.35</v>
      </c>
      <c r="L120" s="4" t="s">
        <v>8</v>
      </c>
      <c r="M120" s="26">
        <v>2</v>
      </c>
      <c r="N120" s="7" t="s">
        <v>8</v>
      </c>
      <c r="O120" s="26">
        <v>3</v>
      </c>
      <c r="P120" s="37"/>
      <c r="Q120" s="26" t="s">
        <v>9</v>
      </c>
      <c r="R120" s="25" t="s">
        <v>10</v>
      </c>
      <c r="S120" s="19">
        <v>1.4</v>
      </c>
      <c r="T120" s="26" t="s">
        <v>9</v>
      </c>
      <c r="U120" s="19" t="s">
        <v>10</v>
      </c>
      <c r="V120" s="19">
        <v>1.8</v>
      </c>
      <c r="W120" s="26" t="s">
        <v>9</v>
      </c>
      <c r="X120" s="19" t="s">
        <v>10</v>
      </c>
      <c r="Y120" s="19">
        <v>2</v>
      </c>
    </row>
    <row r="121" spans="1:25" x14ac:dyDescent="0.45">
      <c r="A121" s="8" t="s">
        <v>11</v>
      </c>
      <c r="B121" s="8" t="s">
        <v>76</v>
      </c>
      <c r="C121" s="8">
        <v>17.579999999999998</v>
      </c>
      <c r="D121" s="9">
        <f>C121*1.061</f>
        <v>18.652379999999997</v>
      </c>
      <c r="E121" s="10">
        <v>1.629</v>
      </c>
      <c r="F121" s="11">
        <v>4.54</v>
      </c>
      <c r="G121" s="12">
        <f>SUM(D121*E121)+F121</f>
        <v>34.924727019999999</v>
      </c>
      <c r="H121" s="10">
        <v>1.4866999999999999</v>
      </c>
      <c r="I121" s="12">
        <f>SUM(G121+(D121*H121*0.33))</f>
        <v>44.075789824179999</v>
      </c>
      <c r="J121" s="10">
        <v>1.4866999999999999</v>
      </c>
      <c r="K121" s="12">
        <f>SUM(G121+(D121*J121*0.35))</f>
        <v>44.630399691099996</v>
      </c>
      <c r="L121" s="10">
        <v>1.4866999999999999</v>
      </c>
      <c r="M121" s="12">
        <f>SUM(G121+(D121*L121*1))</f>
        <v>62.655220365999995</v>
      </c>
      <c r="N121" s="10">
        <v>1.4866999999999999</v>
      </c>
      <c r="O121" s="12">
        <f>SUM(G121+(D121*N121*2))</f>
        <v>90.385713711999983</v>
      </c>
      <c r="P121" s="36"/>
      <c r="Q121" s="9">
        <f t="shared" si="12"/>
        <v>24.611999999999995</v>
      </c>
      <c r="R121" s="10">
        <v>1.3012999999999999</v>
      </c>
      <c r="S121" s="12">
        <f>SUM(Q121*R121)</f>
        <v>32.027595599999991</v>
      </c>
      <c r="T121" s="9">
        <f t="shared" si="13"/>
        <v>31.643999999999998</v>
      </c>
      <c r="U121" s="10">
        <v>1.3012999999999999</v>
      </c>
      <c r="V121" s="12">
        <f>SUM(T121*U121)</f>
        <v>41.178337199999994</v>
      </c>
      <c r="W121" s="9">
        <f t="shared" si="8"/>
        <v>35.159999999999997</v>
      </c>
      <c r="X121" s="10">
        <v>1.3012999999999999</v>
      </c>
      <c r="Y121" s="12">
        <f>SUM(W121*X121)</f>
        <v>45.753707999999989</v>
      </c>
    </row>
    <row r="122" spans="1:25" x14ac:dyDescent="0.45">
      <c r="Q122" s="14"/>
      <c r="R122" s="20"/>
      <c r="S122" s="14"/>
      <c r="T122" s="14"/>
      <c r="U122" s="20"/>
      <c r="V122" s="14"/>
      <c r="W122" s="14"/>
      <c r="X122" s="20"/>
      <c r="Y122" s="14"/>
    </row>
    <row r="123" spans="1:25" x14ac:dyDescent="0.45">
      <c r="A123" s="1" t="s">
        <v>77</v>
      </c>
      <c r="Q123" s="14"/>
      <c r="R123" s="20"/>
      <c r="S123" s="14"/>
      <c r="T123" s="14"/>
      <c r="U123" s="20"/>
      <c r="V123" s="14"/>
      <c r="W123" s="14"/>
      <c r="X123" s="20"/>
      <c r="Y123" s="14"/>
    </row>
    <row r="124" spans="1:25" x14ac:dyDescent="0.45">
      <c r="A124" s="2" t="s">
        <v>1</v>
      </c>
      <c r="B124" s="2" t="s">
        <v>2</v>
      </c>
      <c r="C124" s="2" t="s">
        <v>3</v>
      </c>
      <c r="D124" s="3" t="s">
        <v>4</v>
      </c>
      <c r="E124" s="4" t="s">
        <v>5</v>
      </c>
      <c r="F124" s="3" t="s">
        <v>6</v>
      </c>
      <c r="G124" s="5">
        <v>1</v>
      </c>
      <c r="H124" s="5" t="s">
        <v>7</v>
      </c>
      <c r="I124" s="6">
        <v>1.33</v>
      </c>
      <c r="J124" s="5" t="s">
        <v>7</v>
      </c>
      <c r="K124" s="6">
        <v>1.35</v>
      </c>
      <c r="L124" s="4" t="s">
        <v>8</v>
      </c>
      <c r="M124" s="26">
        <v>2</v>
      </c>
      <c r="N124" s="7" t="s">
        <v>8</v>
      </c>
      <c r="O124" s="26">
        <v>3</v>
      </c>
      <c r="P124" s="37"/>
      <c r="Q124" s="26" t="s">
        <v>9</v>
      </c>
      <c r="R124" s="25" t="s">
        <v>10</v>
      </c>
      <c r="S124" s="19">
        <v>1.4</v>
      </c>
      <c r="T124" s="26" t="s">
        <v>9</v>
      </c>
      <c r="U124" s="19" t="s">
        <v>10</v>
      </c>
      <c r="V124" s="19">
        <v>1.8</v>
      </c>
      <c r="W124" s="26" t="s">
        <v>9</v>
      </c>
      <c r="X124" s="19" t="s">
        <v>10</v>
      </c>
      <c r="Y124" s="19">
        <v>2</v>
      </c>
    </row>
    <row r="125" spans="1:25" x14ac:dyDescent="0.45">
      <c r="A125" s="8" t="s">
        <v>11</v>
      </c>
      <c r="B125" s="8" t="s">
        <v>78</v>
      </c>
      <c r="C125" s="8">
        <v>17.78</v>
      </c>
      <c r="D125" s="9">
        <f>C125*1.061</f>
        <v>18.86458</v>
      </c>
      <c r="E125" s="10">
        <v>1.629</v>
      </c>
      <c r="F125" s="11">
        <v>4.54</v>
      </c>
      <c r="G125" s="12">
        <f>SUM(D125*E125)+F125</f>
        <v>35.270400819999999</v>
      </c>
      <c r="H125" s="10">
        <v>1.4866999999999999</v>
      </c>
      <c r="I125" s="12">
        <f>SUM(G125+(D125*H125*0.33))</f>
        <v>44.525571278379999</v>
      </c>
      <c r="J125" s="10">
        <v>1.4866999999999999</v>
      </c>
      <c r="K125" s="12">
        <f>SUM(G125+(D125*J125*0.35))</f>
        <v>45.086490700100001</v>
      </c>
      <c r="L125" s="10">
        <v>1.4866999999999999</v>
      </c>
      <c r="M125" s="12">
        <f>SUM(G125+(D125*L125*1))</f>
        <v>63.316371906000001</v>
      </c>
      <c r="N125" s="10">
        <v>1.5694999999999999</v>
      </c>
      <c r="O125" s="12">
        <f>SUM(G125+(D125*N125*2))</f>
        <v>94.486317439999993</v>
      </c>
      <c r="P125" s="36"/>
      <c r="Q125" s="9">
        <f t="shared" si="12"/>
        <v>24.891999999999999</v>
      </c>
      <c r="R125" s="10">
        <v>1.3012999999999999</v>
      </c>
      <c r="S125" s="12">
        <f>SUM(Q125*R125)</f>
        <v>32.3919596</v>
      </c>
      <c r="T125" s="9">
        <f t="shared" si="13"/>
        <v>32.004000000000005</v>
      </c>
      <c r="U125" s="10">
        <v>1.3012999999999999</v>
      </c>
      <c r="V125" s="12">
        <f>SUM(T125*U125)</f>
        <v>41.646805200000003</v>
      </c>
      <c r="W125" s="9">
        <f t="shared" si="8"/>
        <v>35.56</v>
      </c>
      <c r="X125" s="10">
        <v>1.3012999999999999</v>
      </c>
      <c r="Y125" s="12">
        <f>SUM(W125*X125)</f>
        <v>46.274228000000001</v>
      </c>
    </row>
    <row r="126" spans="1:25" x14ac:dyDescent="0.45">
      <c r="A126" s="8" t="s">
        <v>11</v>
      </c>
      <c r="B126" s="8" t="s">
        <v>79</v>
      </c>
      <c r="C126" s="8">
        <v>17.78</v>
      </c>
      <c r="D126" s="9">
        <f>C126*1.061</f>
        <v>18.86458</v>
      </c>
      <c r="E126" s="33">
        <v>1.6914</v>
      </c>
      <c r="F126" s="11">
        <v>4.54</v>
      </c>
      <c r="G126" s="12">
        <f>SUM(D126*E126)+F126</f>
        <v>36.447550612000001</v>
      </c>
      <c r="H126" s="33">
        <v>1.5415000000000001</v>
      </c>
      <c r="I126" s="12">
        <f>SUM(G126+(D126*H126*0.33))</f>
        <v>46.043868135099999</v>
      </c>
      <c r="J126" s="33">
        <v>1.5415000000000001</v>
      </c>
      <c r="K126" s="12">
        <f>SUM(G126+(D126*J126*0.35))</f>
        <v>46.625463136500002</v>
      </c>
      <c r="L126" s="33">
        <v>1.5415000000000001</v>
      </c>
      <c r="M126" s="12">
        <f>SUM(G126+(D126*L126*1))</f>
        <v>65.527300682000003</v>
      </c>
      <c r="N126" s="10">
        <v>1.4866999999999999</v>
      </c>
      <c r="O126" s="12">
        <f>SUM(G126+(D126*N126*2))</f>
        <v>92.539492784000004</v>
      </c>
      <c r="P126" s="36"/>
      <c r="Q126" s="41">
        <f t="shared" si="12"/>
        <v>24.891999999999999</v>
      </c>
      <c r="R126" s="42">
        <v>1.3439000000000001</v>
      </c>
      <c r="S126" s="12">
        <f>SUM(Q126*R126)</f>
        <v>33.452358799999999</v>
      </c>
      <c r="T126" s="41">
        <f t="shared" ref="T126" si="14">C126*1.8</f>
        <v>32.004000000000005</v>
      </c>
      <c r="U126" s="42">
        <v>1.3439000000000001</v>
      </c>
      <c r="V126" s="12">
        <f>SUM(T126*U126)</f>
        <v>43.010175600000011</v>
      </c>
      <c r="W126" s="41">
        <f t="shared" ref="W126" si="15">C126*2</f>
        <v>35.56</v>
      </c>
      <c r="X126" s="42">
        <v>1.3439000000000001</v>
      </c>
      <c r="Y126" s="12">
        <f>SUM(W126*X126)</f>
        <v>47.78908400000001</v>
      </c>
    </row>
    <row r="127" spans="1:25" x14ac:dyDescent="0.45">
      <c r="A127" s="8" t="s">
        <v>11</v>
      </c>
      <c r="B127" s="8" t="s">
        <v>80</v>
      </c>
      <c r="C127" s="8">
        <v>17.78</v>
      </c>
      <c r="D127" s="9">
        <f>C127*1.061</f>
        <v>18.86458</v>
      </c>
      <c r="E127" s="33">
        <v>1.6914</v>
      </c>
      <c r="F127" s="11">
        <v>4.54</v>
      </c>
      <c r="G127" s="12">
        <f>SUM(D127*E127)+F127</f>
        <v>36.447550612000001</v>
      </c>
      <c r="H127" s="33">
        <v>1.5415000000000001</v>
      </c>
      <c r="I127" s="12">
        <f>SUM(G127+(D127*H127*0.33))</f>
        <v>46.043868135099999</v>
      </c>
      <c r="J127" s="33">
        <v>1.5415000000000001</v>
      </c>
      <c r="K127" s="12">
        <f>SUM(G127+(D127*J127*0.35))</f>
        <v>46.625463136500002</v>
      </c>
      <c r="L127" s="33">
        <v>1.5415000000000001</v>
      </c>
      <c r="M127" s="12">
        <f>SUM(G127+(D127*L127*1))</f>
        <v>65.527300682000003</v>
      </c>
      <c r="N127" s="10">
        <v>1.4866999999999999</v>
      </c>
      <c r="O127" s="12">
        <f>SUM(G127+(D127*N127*2))</f>
        <v>92.539492784000004</v>
      </c>
      <c r="P127" s="36"/>
      <c r="Q127" s="41">
        <f t="shared" ref="Q127" si="16">C127*1.4</f>
        <v>24.891999999999999</v>
      </c>
      <c r="R127" s="42">
        <v>1.3439000000000001</v>
      </c>
      <c r="S127" s="12">
        <f>SUM(Q127*R127)</f>
        <v>33.452358799999999</v>
      </c>
      <c r="T127" s="41">
        <f t="shared" ref="T127" si="17">C127*1.8</f>
        <v>32.004000000000005</v>
      </c>
      <c r="U127" s="42">
        <v>1.3439000000000001</v>
      </c>
      <c r="V127" s="12">
        <f>SUM(T127*U127)</f>
        <v>43.010175600000011</v>
      </c>
      <c r="W127" s="41">
        <f t="shared" ref="W127" si="18">C127*2</f>
        <v>35.56</v>
      </c>
      <c r="X127" s="42">
        <v>1.3439000000000001</v>
      </c>
      <c r="Y127" s="12">
        <f>SUM(W127*X127)</f>
        <v>47.78908400000001</v>
      </c>
    </row>
    <row r="128" spans="1:25" x14ac:dyDescent="0.45">
      <c r="A128" s="13"/>
      <c r="B128" s="13"/>
      <c r="C128" s="13"/>
      <c r="D128" s="14"/>
      <c r="Q128" s="14"/>
      <c r="R128" s="20"/>
      <c r="S128" s="14"/>
      <c r="T128" s="14"/>
      <c r="U128" s="20"/>
      <c r="V128" s="14"/>
      <c r="W128" s="14"/>
      <c r="X128" s="20"/>
      <c r="Y128" s="14"/>
    </row>
    <row r="129" spans="1:25" x14ac:dyDescent="0.45">
      <c r="A129" s="1" t="s">
        <v>81</v>
      </c>
      <c r="Q129" s="14"/>
      <c r="R129" s="20"/>
      <c r="S129" s="14"/>
      <c r="T129" s="14"/>
      <c r="U129" s="20"/>
      <c r="V129" s="14"/>
      <c r="W129" s="14"/>
      <c r="X129" s="20"/>
      <c r="Y129" s="14"/>
    </row>
    <row r="130" spans="1:25" x14ac:dyDescent="0.45">
      <c r="A130" s="2" t="s">
        <v>1</v>
      </c>
      <c r="B130" s="2" t="s">
        <v>2</v>
      </c>
      <c r="C130" s="2" t="s">
        <v>3</v>
      </c>
      <c r="D130" s="3" t="s">
        <v>4</v>
      </c>
      <c r="E130" s="4" t="s">
        <v>5</v>
      </c>
      <c r="F130" s="3" t="s">
        <v>6</v>
      </c>
      <c r="G130" s="5">
        <v>1</v>
      </c>
      <c r="H130" s="5" t="s">
        <v>7</v>
      </c>
      <c r="I130" s="6">
        <v>1.33</v>
      </c>
      <c r="J130" s="5" t="s">
        <v>7</v>
      </c>
      <c r="K130" s="6">
        <v>1.35</v>
      </c>
      <c r="L130" s="4" t="s">
        <v>8</v>
      </c>
      <c r="M130" s="26">
        <v>2</v>
      </c>
      <c r="N130" s="7" t="s">
        <v>8</v>
      </c>
      <c r="O130" s="26">
        <v>3</v>
      </c>
      <c r="P130" s="37"/>
      <c r="Q130" s="26" t="s">
        <v>9</v>
      </c>
      <c r="R130" s="25" t="s">
        <v>10</v>
      </c>
      <c r="S130" s="19">
        <v>1.4</v>
      </c>
      <c r="T130" s="26" t="s">
        <v>9</v>
      </c>
      <c r="U130" s="19" t="s">
        <v>10</v>
      </c>
      <c r="V130" s="19">
        <v>1.8</v>
      </c>
      <c r="W130" s="26" t="s">
        <v>9</v>
      </c>
      <c r="X130" s="19" t="s">
        <v>10</v>
      </c>
      <c r="Y130" s="19">
        <v>2</v>
      </c>
    </row>
    <row r="131" spans="1:25" x14ac:dyDescent="0.45">
      <c r="A131" s="8" t="s">
        <v>11</v>
      </c>
      <c r="B131" s="8" t="s">
        <v>82</v>
      </c>
      <c r="C131" s="8">
        <v>18.03</v>
      </c>
      <c r="D131" s="9">
        <f>C131*1.061</f>
        <v>19.129830000000002</v>
      </c>
      <c r="E131" s="10">
        <v>1.629</v>
      </c>
      <c r="F131" s="11">
        <v>4.54</v>
      </c>
      <c r="G131" s="12">
        <f>SUM(D131*E131)+F131</f>
        <v>35.702493070000003</v>
      </c>
      <c r="H131" s="10">
        <v>1.4866999999999999</v>
      </c>
      <c r="I131" s="12">
        <f>SUM(G131+(D131*H131*0.33))</f>
        <v>45.087798096130001</v>
      </c>
      <c r="J131" s="10">
        <v>1.4866999999999999</v>
      </c>
      <c r="K131" s="12">
        <f>SUM(G131+(D131*J131*0.35))</f>
        <v>45.65660446135</v>
      </c>
      <c r="L131" s="10">
        <v>1.4866999999999999</v>
      </c>
      <c r="M131" s="12">
        <f>SUM(G131+(D131*L131*1))</f>
        <v>64.142811331000004</v>
      </c>
      <c r="N131" s="10">
        <v>1.4866999999999999</v>
      </c>
      <c r="O131" s="12">
        <f>SUM(G131+(D131*N131*2))</f>
        <v>92.583129592000006</v>
      </c>
      <c r="P131" s="36"/>
      <c r="Q131" s="9">
        <f t="shared" ref="Q131" si="19">C131*1.4</f>
        <v>25.242000000000001</v>
      </c>
      <c r="R131" s="10">
        <v>1.3012999999999999</v>
      </c>
      <c r="S131" s="12">
        <f>SUM(Q131*R131)</f>
        <v>32.8474146</v>
      </c>
      <c r="T131" s="9">
        <f t="shared" ref="T131" si="20">C131*1.8</f>
        <v>32.454000000000001</v>
      </c>
      <c r="U131" s="10">
        <v>1.3012999999999999</v>
      </c>
      <c r="V131" s="12">
        <f>SUM(T131*U131)</f>
        <v>42.232390199999998</v>
      </c>
      <c r="W131" s="9">
        <f t="shared" ref="W131" si="21">C131*2</f>
        <v>36.06</v>
      </c>
      <c r="X131" s="10">
        <v>1.3012999999999999</v>
      </c>
      <c r="Y131" s="12">
        <f>SUM(W131*X131)</f>
        <v>46.924878</v>
      </c>
    </row>
    <row r="132" spans="1:25" x14ac:dyDescent="0.4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40"/>
      <c r="Q132" s="14"/>
      <c r="R132" s="18"/>
      <c r="S132" s="14"/>
      <c r="T132" s="14"/>
      <c r="U132" s="24"/>
      <c r="V132" s="14"/>
      <c r="W132" s="14"/>
      <c r="X132" s="24"/>
      <c r="Y132" s="14"/>
    </row>
    <row r="133" spans="1:25" x14ac:dyDescent="0.45">
      <c r="A133" s="1" t="s">
        <v>83</v>
      </c>
      <c r="Q133" s="14"/>
      <c r="S133" s="14"/>
      <c r="T133" s="14"/>
      <c r="U133" s="20"/>
      <c r="V133" s="14"/>
      <c r="W133" s="14"/>
      <c r="X133" s="20"/>
      <c r="Y133" s="14"/>
    </row>
    <row r="134" spans="1:25" x14ac:dyDescent="0.45">
      <c r="A134" s="2" t="s">
        <v>1</v>
      </c>
      <c r="B134" s="2" t="s">
        <v>2</v>
      </c>
      <c r="C134" s="2" t="s">
        <v>3</v>
      </c>
      <c r="D134" s="3" t="s">
        <v>4</v>
      </c>
      <c r="E134" s="4" t="s">
        <v>5</v>
      </c>
      <c r="F134" s="3" t="s">
        <v>6</v>
      </c>
      <c r="G134" s="5">
        <v>1</v>
      </c>
      <c r="H134" s="5" t="s">
        <v>7</v>
      </c>
      <c r="I134" s="6">
        <v>1.33</v>
      </c>
      <c r="J134" s="5" t="s">
        <v>7</v>
      </c>
      <c r="K134" s="6">
        <v>1.35</v>
      </c>
      <c r="L134" s="25" t="s">
        <v>8</v>
      </c>
      <c r="M134" s="26">
        <v>2</v>
      </c>
      <c r="N134" s="7" t="s">
        <v>8</v>
      </c>
      <c r="O134" s="26">
        <v>3</v>
      </c>
      <c r="P134" s="37"/>
      <c r="Q134" s="26" t="s">
        <v>9</v>
      </c>
      <c r="R134" s="25" t="s">
        <v>10</v>
      </c>
      <c r="S134" s="22">
        <v>1.4</v>
      </c>
      <c r="T134" s="26" t="s">
        <v>9</v>
      </c>
      <c r="U134" s="22" t="s">
        <v>10</v>
      </c>
      <c r="V134" s="19">
        <v>1.8</v>
      </c>
      <c r="W134" s="26" t="s">
        <v>9</v>
      </c>
      <c r="X134" s="19" t="s">
        <v>10</v>
      </c>
      <c r="Y134" s="19">
        <v>2</v>
      </c>
    </row>
    <row r="135" spans="1:25" x14ac:dyDescent="0.45">
      <c r="A135" s="8" t="s">
        <v>11</v>
      </c>
      <c r="B135" s="8" t="s">
        <v>84</v>
      </c>
      <c r="C135" s="8">
        <v>18.329999999999998</v>
      </c>
      <c r="D135" s="9">
        <f>C135*1.061</f>
        <v>19.448129999999995</v>
      </c>
      <c r="E135" s="10">
        <v>1.629</v>
      </c>
      <c r="F135" s="11">
        <v>4.54</v>
      </c>
      <c r="G135" s="12">
        <f>SUM(D135*E135)+F135</f>
        <v>36.221003769999996</v>
      </c>
      <c r="H135" s="10">
        <v>1.4866999999999999</v>
      </c>
      <c r="I135" s="12">
        <f>SUM(G135+(D135*H135*0.33))</f>
        <v>45.762470277429998</v>
      </c>
      <c r="J135" s="10">
        <v>1.4866999999999999</v>
      </c>
      <c r="K135" s="12">
        <f>SUM(G135+(D135*J135*0.35))</f>
        <v>46.340740974849993</v>
      </c>
      <c r="L135" s="10">
        <v>1.4866999999999999</v>
      </c>
      <c r="M135" s="12">
        <f>SUM(G135+(D135*L135*1))</f>
        <v>65.134538640999992</v>
      </c>
      <c r="N135" s="10">
        <v>1.4866999999999999</v>
      </c>
      <c r="O135" s="12">
        <f>SUM(G135+(D135*N135*2))</f>
        <v>94.048073511999974</v>
      </c>
      <c r="P135" s="36"/>
      <c r="Q135" s="9">
        <f t="shared" si="12"/>
        <v>25.661999999999995</v>
      </c>
      <c r="R135" s="21">
        <v>1.3012999999999999</v>
      </c>
      <c r="S135" s="12">
        <f>SUM(Q135*R135)</f>
        <v>33.393960599999993</v>
      </c>
      <c r="T135" s="9">
        <f t="shared" si="13"/>
        <v>32.994</v>
      </c>
      <c r="U135" s="23">
        <v>1.3012999999999999</v>
      </c>
      <c r="V135" s="12">
        <f>SUM(T135*U135)</f>
        <v>42.9350922</v>
      </c>
      <c r="W135" s="9">
        <f t="shared" si="8"/>
        <v>36.659999999999997</v>
      </c>
      <c r="X135" s="10">
        <v>1.3012999999999999</v>
      </c>
      <c r="Y135" s="12">
        <f>SUM(W135*X135)</f>
        <v>47.705657999999993</v>
      </c>
    </row>
    <row r="136" spans="1:25" x14ac:dyDescent="0.4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40"/>
      <c r="Q136" s="14"/>
      <c r="R136" s="18"/>
      <c r="S136" s="14"/>
      <c r="T136" s="14"/>
      <c r="U136" s="24"/>
      <c r="V136" s="14"/>
      <c r="W136" s="14"/>
      <c r="X136" s="24"/>
      <c r="Y136" s="14"/>
    </row>
    <row r="137" spans="1:25" x14ac:dyDescent="0.45">
      <c r="A137" s="1" t="s">
        <v>85</v>
      </c>
      <c r="Q137" s="14"/>
      <c r="S137" s="14"/>
      <c r="T137" s="14"/>
      <c r="U137" s="20"/>
      <c r="V137" s="14"/>
      <c r="W137" s="14"/>
      <c r="X137" s="20"/>
      <c r="Y137" s="14"/>
    </row>
    <row r="138" spans="1:25" x14ac:dyDescent="0.45">
      <c r="A138" s="2" t="s">
        <v>1</v>
      </c>
      <c r="B138" s="2" t="s">
        <v>2</v>
      </c>
      <c r="C138" s="2" t="s">
        <v>3</v>
      </c>
      <c r="D138" s="3" t="s">
        <v>4</v>
      </c>
      <c r="E138" s="4" t="s">
        <v>5</v>
      </c>
      <c r="F138" s="3" t="s">
        <v>6</v>
      </c>
      <c r="G138" s="5">
        <v>1</v>
      </c>
      <c r="H138" s="5" t="s">
        <v>7</v>
      </c>
      <c r="I138" s="6">
        <v>1.33</v>
      </c>
      <c r="J138" s="5" t="s">
        <v>7</v>
      </c>
      <c r="K138" s="6">
        <v>1.35</v>
      </c>
      <c r="L138" s="4" t="s">
        <v>8</v>
      </c>
      <c r="M138" s="26">
        <v>2</v>
      </c>
      <c r="N138" s="7" t="s">
        <v>8</v>
      </c>
      <c r="O138" s="26">
        <v>3</v>
      </c>
      <c r="P138" s="37"/>
      <c r="Q138" s="26" t="s">
        <v>9</v>
      </c>
      <c r="R138" s="25" t="s">
        <v>10</v>
      </c>
      <c r="S138" s="22">
        <v>1.4</v>
      </c>
      <c r="T138" s="26" t="s">
        <v>9</v>
      </c>
      <c r="U138" s="22" t="s">
        <v>10</v>
      </c>
      <c r="V138" s="19">
        <v>1.8</v>
      </c>
      <c r="W138" s="26" t="s">
        <v>9</v>
      </c>
      <c r="X138" s="19" t="s">
        <v>10</v>
      </c>
      <c r="Y138" s="19">
        <v>2</v>
      </c>
    </row>
    <row r="139" spans="1:25" x14ac:dyDescent="0.45">
      <c r="A139" s="8" t="s">
        <v>11</v>
      </c>
      <c r="B139" s="8" t="s">
        <v>86</v>
      </c>
      <c r="C139" s="8">
        <v>18.61</v>
      </c>
      <c r="D139" s="9">
        <f>C139*1.061</f>
        <v>19.745209999999997</v>
      </c>
      <c r="E139" s="10">
        <v>1.629</v>
      </c>
      <c r="F139" s="11">
        <v>4.54</v>
      </c>
      <c r="G139" s="12">
        <f>SUM(D139*E139)+F139</f>
        <v>36.70494708999999</v>
      </c>
      <c r="H139" s="10">
        <v>1.4866999999999999</v>
      </c>
      <c r="I139" s="12">
        <f>SUM(G139+(D139*H139*0.33))</f>
        <v>46.392164313309991</v>
      </c>
      <c r="J139" s="10">
        <v>1.4866999999999999</v>
      </c>
      <c r="K139" s="12">
        <f>SUM(G139+(D139*J139*0.35))</f>
        <v>46.979268387449991</v>
      </c>
      <c r="L139" s="10">
        <v>1.4866999999999999</v>
      </c>
      <c r="M139" s="12">
        <f>SUM(G139+(D139*L139*1))</f>
        <v>66.060150796999977</v>
      </c>
      <c r="N139" s="10">
        <v>1.4866999999999999</v>
      </c>
      <c r="O139" s="12">
        <f>SUM(G139+(D139*N139*2))</f>
        <v>95.415354503999978</v>
      </c>
      <c r="P139" s="36"/>
      <c r="Q139" s="9">
        <f t="shared" si="12"/>
        <v>26.053999999999998</v>
      </c>
      <c r="R139" s="21">
        <v>1.3012999999999999</v>
      </c>
      <c r="S139" s="12">
        <f>SUM(Q139*R139)</f>
        <v>33.904070199999992</v>
      </c>
      <c r="T139" s="9">
        <f t="shared" si="13"/>
        <v>33.497999999999998</v>
      </c>
      <c r="U139" s="23">
        <v>1.3012999999999999</v>
      </c>
      <c r="V139" s="12">
        <f>SUM(T139*U139)</f>
        <v>43.59094739999999</v>
      </c>
      <c r="W139" s="9">
        <f t="shared" si="8"/>
        <v>37.22</v>
      </c>
      <c r="X139" s="10">
        <v>1.3012999999999999</v>
      </c>
      <c r="Y139" s="12">
        <f>SUM(W139*X139)</f>
        <v>48.434385999999996</v>
      </c>
    </row>
    <row r="140" spans="1:25" x14ac:dyDescent="0.45">
      <c r="Q140" s="14"/>
      <c r="S140" s="14"/>
      <c r="T140" s="14"/>
      <c r="U140" s="20"/>
      <c r="V140" s="14"/>
      <c r="W140" s="14"/>
      <c r="X140" s="20"/>
      <c r="Y140" s="14"/>
    </row>
    <row r="141" spans="1:25" x14ac:dyDescent="0.45">
      <c r="A141" s="1" t="s">
        <v>87</v>
      </c>
      <c r="Q141" s="14"/>
      <c r="S141" s="14"/>
      <c r="T141" s="14"/>
      <c r="U141" s="20"/>
      <c r="V141" s="14"/>
      <c r="W141" s="14"/>
      <c r="X141" s="20"/>
      <c r="Y141" s="14"/>
    </row>
    <row r="142" spans="1:25" x14ac:dyDescent="0.45">
      <c r="A142" s="2" t="s">
        <v>1</v>
      </c>
      <c r="B142" s="2" t="s">
        <v>2</v>
      </c>
      <c r="C142" s="2" t="s">
        <v>3</v>
      </c>
      <c r="D142" s="3" t="s">
        <v>4</v>
      </c>
      <c r="E142" s="4" t="s">
        <v>5</v>
      </c>
      <c r="F142" s="3" t="s">
        <v>6</v>
      </c>
      <c r="G142" s="5">
        <v>1</v>
      </c>
      <c r="H142" s="5" t="s">
        <v>7</v>
      </c>
      <c r="I142" s="6">
        <v>1.33</v>
      </c>
      <c r="J142" s="5" t="s">
        <v>7</v>
      </c>
      <c r="K142" s="6">
        <v>1.35</v>
      </c>
      <c r="L142" s="4" t="s">
        <v>8</v>
      </c>
      <c r="M142" s="26">
        <v>2</v>
      </c>
      <c r="N142" s="7" t="s">
        <v>8</v>
      </c>
      <c r="O142" s="26">
        <v>3</v>
      </c>
      <c r="P142" s="37"/>
      <c r="Q142" s="26" t="s">
        <v>9</v>
      </c>
      <c r="R142" s="25" t="s">
        <v>10</v>
      </c>
      <c r="S142" s="19">
        <v>1.4</v>
      </c>
      <c r="T142" s="26" t="s">
        <v>9</v>
      </c>
      <c r="U142" s="19" t="s">
        <v>10</v>
      </c>
      <c r="V142" s="19">
        <v>1.8</v>
      </c>
      <c r="W142" s="26" t="s">
        <v>9</v>
      </c>
      <c r="X142" s="19" t="s">
        <v>10</v>
      </c>
      <c r="Y142" s="5">
        <v>2</v>
      </c>
    </row>
    <row r="143" spans="1:25" x14ac:dyDescent="0.45">
      <c r="A143" s="8" t="s">
        <v>11</v>
      </c>
      <c r="B143" s="8" t="s">
        <v>88</v>
      </c>
      <c r="C143" s="8">
        <v>18.55</v>
      </c>
      <c r="D143" s="9">
        <f>C143*1.061</f>
        <v>19.681550000000001</v>
      </c>
      <c r="E143" s="10">
        <v>1.629</v>
      </c>
      <c r="F143" s="11">
        <v>4.54</v>
      </c>
      <c r="G143" s="12">
        <f>SUM(D143*E143)+F143</f>
        <v>36.601244950000002</v>
      </c>
      <c r="H143" s="10">
        <v>1.4866999999999999</v>
      </c>
      <c r="I143" s="12">
        <f>SUM(G143+(D143*H143*0.33))</f>
        <v>46.257229877050001</v>
      </c>
      <c r="J143" s="10">
        <v>1.4866999999999999</v>
      </c>
      <c r="K143" s="12">
        <f>SUM(G143+(D143*J143*0.35))</f>
        <v>46.84244108475</v>
      </c>
      <c r="L143" s="10">
        <v>1.4866999999999999</v>
      </c>
      <c r="M143" s="12">
        <f>SUM(G143+(D143*L143*1))</f>
        <v>65.861805335</v>
      </c>
      <c r="N143" s="10">
        <v>1.4866999999999999</v>
      </c>
      <c r="O143" s="12">
        <f>SUM(G143+(D143*N143*2))</f>
        <v>95.122365720000005</v>
      </c>
      <c r="P143" s="36"/>
      <c r="Q143" s="9">
        <f t="shared" si="12"/>
        <v>25.97</v>
      </c>
      <c r="R143" s="10">
        <v>1.3012999999999999</v>
      </c>
      <c r="S143" s="12">
        <f>SUM(Q143*R143)</f>
        <v>33.794760999999994</v>
      </c>
      <c r="T143" s="9">
        <f t="shared" si="13"/>
        <v>33.39</v>
      </c>
      <c r="U143" s="10">
        <v>1.3012999999999999</v>
      </c>
      <c r="V143" s="12">
        <f>SUM(T143*U143)</f>
        <v>43.450406999999998</v>
      </c>
      <c r="W143" s="9">
        <f t="shared" si="8"/>
        <v>37.1</v>
      </c>
      <c r="X143" s="10">
        <v>1.3012999999999999</v>
      </c>
      <c r="Y143" s="12">
        <f>SUM(W143*X143)</f>
        <v>48.278230000000001</v>
      </c>
    </row>
    <row r="144" spans="1:25" x14ac:dyDescent="0.45">
      <c r="Q144" s="14"/>
      <c r="S144" s="14"/>
      <c r="T144" s="14"/>
      <c r="U144" s="20"/>
      <c r="V144" s="14"/>
      <c r="W144" s="14"/>
      <c r="X144" s="20"/>
      <c r="Y144" s="14"/>
    </row>
    <row r="145" spans="1:25" x14ac:dyDescent="0.45">
      <c r="A145" s="1" t="s">
        <v>89</v>
      </c>
      <c r="Q145" s="14"/>
      <c r="S145" s="14"/>
      <c r="T145" s="14"/>
      <c r="U145" s="20"/>
      <c r="V145" s="14"/>
      <c r="W145" s="14"/>
      <c r="X145" s="20"/>
      <c r="Y145" s="14"/>
    </row>
    <row r="146" spans="1:25" x14ac:dyDescent="0.45">
      <c r="A146" s="2" t="s">
        <v>1</v>
      </c>
      <c r="B146" s="2" t="s">
        <v>2</v>
      </c>
      <c r="C146" s="2" t="s">
        <v>3</v>
      </c>
      <c r="D146" s="3" t="s">
        <v>4</v>
      </c>
      <c r="E146" s="4" t="s">
        <v>5</v>
      </c>
      <c r="F146" s="3" t="s">
        <v>6</v>
      </c>
      <c r="G146" s="5">
        <v>1</v>
      </c>
      <c r="H146" s="5" t="s">
        <v>7</v>
      </c>
      <c r="I146" s="6">
        <v>1.33</v>
      </c>
      <c r="J146" s="5" t="s">
        <v>7</v>
      </c>
      <c r="K146" s="6">
        <v>1.35</v>
      </c>
      <c r="L146" s="4" t="s">
        <v>8</v>
      </c>
      <c r="M146" s="7">
        <v>2</v>
      </c>
      <c r="N146" s="7" t="s">
        <v>8</v>
      </c>
      <c r="O146" s="26">
        <v>3</v>
      </c>
      <c r="P146" s="37"/>
      <c r="Q146" s="26" t="s">
        <v>9</v>
      </c>
      <c r="R146" s="25" t="s">
        <v>10</v>
      </c>
      <c r="S146" s="19">
        <v>1.4</v>
      </c>
      <c r="T146" s="26" t="s">
        <v>9</v>
      </c>
      <c r="U146" s="19" t="s">
        <v>10</v>
      </c>
      <c r="V146" s="19">
        <v>1.8</v>
      </c>
      <c r="W146" s="26" t="s">
        <v>9</v>
      </c>
      <c r="X146" s="19" t="s">
        <v>10</v>
      </c>
      <c r="Y146" s="19">
        <v>2</v>
      </c>
    </row>
    <row r="147" spans="1:25" x14ac:dyDescent="0.45">
      <c r="A147" s="8" t="s">
        <v>11</v>
      </c>
      <c r="B147" s="8" t="s">
        <v>90</v>
      </c>
      <c r="C147" s="8">
        <v>19.18</v>
      </c>
      <c r="D147" s="9">
        <f>C147*1.061</f>
        <v>20.349979999999999</v>
      </c>
      <c r="E147" s="10">
        <v>1.629</v>
      </c>
      <c r="F147" s="11">
        <v>4.54</v>
      </c>
      <c r="G147" s="12">
        <f>SUM(D147*E147)+F147</f>
        <v>37.69011742</v>
      </c>
      <c r="H147" s="10">
        <v>1.4866999999999999</v>
      </c>
      <c r="I147" s="12">
        <f>SUM(G147+(D147*H147*0.33))</f>
        <v>47.67404145778</v>
      </c>
      <c r="J147" s="10">
        <v>1.4866999999999999</v>
      </c>
      <c r="K147" s="12">
        <f>SUM(G147+(D147*J147*0.35))</f>
        <v>48.2791277631</v>
      </c>
      <c r="L147" s="10">
        <v>1.4866999999999999</v>
      </c>
      <c r="M147" s="12">
        <f>SUM(G147+(D147*L147*1))</f>
        <v>67.944432685999999</v>
      </c>
      <c r="N147" s="10">
        <v>1.4866999999999999</v>
      </c>
      <c r="O147" s="12">
        <f>SUM(G147+(D147*N147*2))</f>
        <v>98.198747951999991</v>
      </c>
      <c r="P147" s="36"/>
      <c r="Q147" s="9">
        <f t="shared" si="12"/>
        <v>26.851999999999997</v>
      </c>
      <c r="R147" s="10">
        <v>1.3012999999999999</v>
      </c>
      <c r="S147" s="12">
        <f>SUM(Q147*R147)</f>
        <v>34.942507599999992</v>
      </c>
      <c r="T147" s="9">
        <f t="shared" si="13"/>
        <v>34.524000000000001</v>
      </c>
      <c r="U147" s="10">
        <v>1.3012999999999999</v>
      </c>
      <c r="V147" s="12">
        <f>SUM(T147*U147)</f>
        <v>44.926081199999999</v>
      </c>
      <c r="W147" s="9">
        <f t="shared" si="8"/>
        <v>38.36</v>
      </c>
      <c r="X147" s="10">
        <v>1.3012999999999999</v>
      </c>
      <c r="Y147" s="12">
        <f>SUM(W147*X147)</f>
        <v>49.917867999999999</v>
      </c>
    </row>
    <row r="148" spans="1:25" x14ac:dyDescent="0.45">
      <c r="Q148" s="14"/>
      <c r="T148" s="14"/>
      <c r="W148" s="14"/>
    </row>
    <row r="149" spans="1:25" x14ac:dyDescent="0.45">
      <c r="A149" s="1" t="s">
        <v>91</v>
      </c>
      <c r="Q149" s="14"/>
      <c r="S149" s="14"/>
      <c r="T149" s="14"/>
      <c r="U149" s="20"/>
      <c r="V149" s="14"/>
      <c r="W149" s="14"/>
      <c r="X149" s="20"/>
      <c r="Y149" s="14"/>
    </row>
    <row r="150" spans="1:25" x14ac:dyDescent="0.45">
      <c r="A150" s="2" t="s">
        <v>1</v>
      </c>
      <c r="B150" s="2" t="s">
        <v>2</v>
      </c>
      <c r="C150" s="2" t="s">
        <v>3</v>
      </c>
      <c r="D150" s="3" t="s">
        <v>4</v>
      </c>
      <c r="E150" s="4" t="s">
        <v>5</v>
      </c>
      <c r="F150" s="3" t="s">
        <v>6</v>
      </c>
      <c r="G150" s="5">
        <v>1</v>
      </c>
      <c r="H150" s="5" t="s">
        <v>7</v>
      </c>
      <c r="I150" s="6">
        <v>1.33</v>
      </c>
      <c r="J150" s="5" t="s">
        <v>7</v>
      </c>
      <c r="K150" s="6">
        <v>1.35</v>
      </c>
      <c r="L150" s="4" t="s">
        <v>8</v>
      </c>
      <c r="M150" s="26">
        <v>2</v>
      </c>
      <c r="N150" s="7" t="s">
        <v>8</v>
      </c>
      <c r="O150" s="26">
        <v>3</v>
      </c>
      <c r="P150" s="37"/>
      <c r="Q150" s="26" t="s">
        <v>9</v>
      </c>
      <c r="R150" s="25" t="s">
        <v>10</v>
      </c>
      <c r="S150" s="19">
        <v>1.4</v>
      </c>
      <c r="T150" s="26" t="s">
        <v>9</v>
      </c>
      <c r="U150" s="19" t="s">
        <v>10</v>
      </c>
      <c r="V150" s="19">
        <v>1.8</v>
      </c>
      <c r="W150" s="26" t="s">
        <v>9</v>
      </c>
      <c r="X150" s="19" t="s">
        <v>10</v>
      </c>
      <c r="Y150" s="19">
        <v>2</v>
      </c>
    </row>
    <row r="151" spans="1:25" x14ac:dyDescent="0.45">
      <c r="A151" s="8" t="s">
        <v>11</v>
      </c>
      <c r="B151" s="8" t="s">
        <v>92</v>
      </c>
      <c r="C151" s="8">
        <v>19.46</v>
      </c>
      <c r="D151" s="9">
        <f>C151*1.061</f>
        <v>20.64706</v>
      </c>
      <c r="E151" s="10">
        <v>1.629</v>
      </c>
      <c r="F151" s="11">
        <v>4.54</v>
      </c>
      <c r="G151" s="12">
        <f>SUM(D151*E151)+F151</f>
        <v>38.174060740000002</v>
      </c>
      <c r="H151" s="10">
        <v>1.4866999999999999</v>
      </c>
      <c r="I151" s="12">
        <f>SUM(G151+(D151*H151*0.33))</f>
        <v>48.30373549366</v>
      </c>
      <c r="J151" s="10">
        <v>1.4866999999999999</v>
      </c>
      <c r="K151" s="12">
        <f>SUM(G151+(D151*J151*0.35))</f>
        <v>48.917655175699998</v>
      </c>
      <c r="L151" s="10">
        <v>1.4866999999999999</v>
      </c>
      <c r="M151" s="12">
        <f>SUM(G151+(D151*L151*1))</f>
        <v>68.870044841999999</v>
      </c>
      <c r="N151" s="10">
        <v>1.4866999999999999</v>
      </c>
      <c r="O151" s="12">
        <f>SUM(G151+(D151*N151*2))</f>
        <v>99.566028943999996</v>
      </c>
      <c r="P151" s="36"/>
      <c r="Q151" s="9">
        <f>C151*1.4</f>
        <v>27.244</v>
      </c>
      <c r="R151" s="10">
        <v>1.3012999999999999</v>
      </c>
      <c r="S151" s="12">
        <f>SUM(Q151*R151)</f>
        <v>35.452617199999999</v>
      </c>
      <c r="T151" s="9">
        <f t="shared" si="13"/>
        <v>35.028000000000006</v>
      </c>
      <c r="U151" s="10">
        <v>1.3012999999999999</v>
      </c>
      <c r="V151" s="12">
        <f>SUM(T151*U151)</f>
        <v>45.581936400000004</v>
      </c>
      <c r="W151" s="9">
        <f t="shared" ref="W151" si="22">C151*2</f>
        <v>38.92</v>
      </c>
      <c r="X151" s="10">
        <v>1.3012999999999999</v>
      </c>
      <c r="Y151" s="12">
        <f>SUM(W151*X151)</f>
        <v>50.646595999999995</v>
      </c>
    </row>
    <row r="153" spans="1:25" x14ac:dyDescent="0.45">
      <c r="A153" s="1" t="s">
        <v>93</v>
      </c>
      <c r="M153" s="20"/>
      <c r="N153" s="20"/>
      <c r="O153" s="20"/>
      <c r="Q153" s="14"/>
      <c r="R153" s="20"/>
      <c r="S153" s="14"/>
      <c r="T153" s="14"/>
      <c r="U153" s="20"/>
      <c r="V153" s="14"/>
      <c r="W153" s="14"/>
      <c r="X153" s="20"/>
      <c r="Y153" s="14"/>
    </row>
    <row r="154" spans="1:25" x14ac:dyDescent="0.45">
      <c r="A154" s="2" t="s">
        <v>1</v>
      </c>
      <c r="B154" s="2" t="s">
        <v>2</v>
      </c>
      <c r="C154" s="2" t="s">
        <v>3</v>
      </c>
      <c r="D154" s="3" t="s">
        <v>94</v>
      </c>
      <c r="E154" s="4" t="s">
        <v>5</v>
      </c>
      <c r="F154" s="3" t="s">
        <v>6</v>
      </c>
      <c r="G154" s="5">
        <v>1</v>
      </c>
      <c r="H154" s="5" t="s">
        <v>7</v>
      </c>
      <c r="I154" s="6">
        <v>1.33</v>
      </c>
      <c r="J154" s="5" t="s">
        <v>7</v>
      </c>
      <c r="K154" s="6">
        <v>1.35</v>
      </c>
      <c r="L154" s="4" t="s">
        <v>8</v>
      </c>
      <c r="M154" s="26">
        <v>2</v>
      </c>
      <c r="N154" s="7" t="s">
        <v>8</v>
      </c>
      <c r="O154" s="26">
        <v>3</v>
      </c>
      <c r="P154" s="37"/>
      <c r="Q154" s="26" t="s">
        <v>9</v>
      </c>
      <c r="R154" s="25" t="s">
        <v>10</v>
      </c>
      <c r="S154" s="19">
        <v>1.4</v>
      </c>
      <c r="T154" s="26" t="s">
        <v>9</v>
      </c>
      <c r="U154" s="19" t="s">
        <v>10</v>
      </c>
      <c r="V154" s="19">
        <v>1.8</v>
      </c>
      <c r="W154" s="26" t="s">
        <v>9</v>
      </c>
      <c r="X154" s="19" t="s">
        <v>10</v>
      </c>
      <c r="Y154" s="19">
        <v>2</v>
      </c>
    </row>
    <row r="155" spans="1:25" x14ac:dyDescent="0.45">
      <c r="A155" s="8" t="s">
        <v>11</v>
      </c>
      <c r="B155" s="8" t="s">
        <v>95</v>
      </c>
      <c r="C155" s="8">
        <v>16.84</v>
      </c>
      <c r="D155" s="9">
        <f>C155+0.81</f>
        <v>17.649999999999999</v>
      </c>
      <c r="E155" s="10">
        <v>1.629</v>
      </c>
      <c r="F155" s="11">
        <v>4.54</v>
      </c>
      <c r="G155" s="12">
        <f>SUM(D155*E155)+F155</f>
        <v>33.291849999999997</v>
      </c>
      <c r="H155" s="10">
        <v>1.4866999999999999</v>
      </c>
      <c r="I155" s="12">
        <f>SUM(G155+(D155*H155*0.33))</f>
        <v>41.951134149999994</v>
      </c>
      <c r="J155" s="10">
        <v>1.4866999999999999</v>
      </c>
      <c r="K155" s="12">
        <f>SUM(G155+(D155*J155*0.35))</f>
        <v>42.475939249999996</v>
      </c>
      <c r="L155" s="10">
        <v>1.4866999999999999</v>
      </c>
      <c r="M155" s="12">
        <f>SUM(G155+(D155*L155*1))</f>
        <v>59.532104999999994</v>
      </c>
      <c r="N155" s="10">
        <v>1.4866999999999999</v>
      </c>
      <c r="O155" s="12">
        <f>SUM(G155+(D155*N155*2))</f>
        <v>85.772359999999992</v>
      </c>
      <c r="P155" s="36"/>
      <c r="Q155" s="9">
        <f t="shared" ref="Q155" si="23">C155*1.4</f>
        <v>23.575999999999997</v>
      </c>
      <c r="R155" s="10">
        <v>1.3012999999999999</v>
      </c>
      <c r="S155" s="12">
        <f>SUM(Q155*R155)</f>
        <v>30.679448799999992</v>
      </c>
      <c r="T155" s="9">
        <f>C155*1.8</f>
        <v>30.312000000000001</v>
      </c>
      <c r="U155" s="10">
        <v>1.3012999999999999</v>
      </c>
      <c r="V155" s="12">
        <f>SUM(T155*U155)</f>
        <v>39.445005600000002</v>
      </c>
      <c r="W155" s="9">
        <f t="shared" ref="W155" si="24">C155*2</f>
        <v>33.68</v>
      </c>
      <c r="X155" s="10">
        <v>1.3012999999999999</v>
      </c>
      <c r="Y155" s="12">
        <f>SUM(W155*X155)</f>
        <v>43.827783999999994</v>
      </c>
    </row>
    <row r="157" spans="1:25" x14ac:dyDescent="0.45">
      <c r="A157" s="17" t="s">
        <v>96</v>
      </c>
    </row>
  </sheetData>
  <pageMargins left="0.7" right="0.7" top="0.75" bottom="0.75" header="0.3" footer="0.3"/>
  <pageSetup paperSize="9" scale="57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682D-E6D6-40A0-BFC0-1339B5C80C6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e24b04-d356-44d5-9eb5-201cfa4fc256">
      <Terms xmlns="http://schemas.microsoft.com/office/infopath/2007/PartnerControls"/>
    </lcf76f155ced4ddcb4097134ff3c332f>
    <TaxCatchAll xmlns="bf41cf06-3f38-47d2-b3db-ee42d871b2cc" xsi:nil="true"/>
    <Title0 xmlns="f3e24b04-d356-44d5-9eb5-201cfa4fc256" xsi:nil="true"/>
  </documentManagement>
</p:properties>
</file>

<file path=customXml/itemProps1.xml><?xml version="1.0" encoding="utf-8"?>
<ds:datastoreItem xmlns:ds="http://schemas.openxmlformats.org/officeDocument/2006/customXml" ds:itemID="{280F16B4-C7ED-409D-AA42-97862FA87C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B11F1F-E4BE-46CD-AA7D-79000CE93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18AD0-8B1B-41E1-BB60-C9C89B0D286E}">
  <ds:schemaRefs>
    <ds:schemaRef ds:uri="http://schemas.microsoft.com/office/2006/metadata/properties"/>
    <ds:schemaRef ds:uri="http://schemas.microsoft.com/office/infopath/2007/PartnerControls"/>
    <ds:schemaRef ds:uri="f3e24b04-d356-44d5-9eb5-201cfa4fc256"/>
    <ds:schemaRef ds:uri="bf41cf06-3f38-47d2-b3db-ee42d871b2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januari 2025</vt:lpstr>
      <vt:lpstr>Blad1</vt:lpstr>
    </vt:vector>
  </TitlesOfParts>
  <Manager/>
  <Company>Flexspecialisten B.V.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 Swinkels</dc:creator>
  <cp:keywords/>
  <dc:description/>
  <cp:lastModifiedBy>Tom Beckers</cp:lastModifiedBy>
  <cp:revision/>
  <dcterms:created xsi:type="dcterms:W3CDTF">2024-01-15T10:37:04Z</dcterms:created>
  <dcterms:modified xsi:type="dcterms:W3CDTF">2026-02-18T10:28:25Z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  <property fmtid="{D5CDD505-2E9C-101B-9397-08002B2CF9AE}" pid="3" name="MediaServiceImageTags">
    <vt:lpwstr/>
  </property>
</Properties>
</file>