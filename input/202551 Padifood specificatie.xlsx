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ttoworkforcebv.sharepoint.com/sites/Facturatie/Documents/02. Operationeel/04. Facturen/Urenlijsten/Padifood/2025/week 51/Specificatie/"/>
    </mc:Choice>
  </mc:AlternateContent>
  <xr:revisionPtr revIDLastSave="0" documentId="8_{A8D168DC-13D8-45D7-9C35-39C3036D28AE}" xr6:coauthVersionLast="47" xr6:coauthVersionMax="47" xr10:uidLastSave="{00000000-0000-0000-0000-000000000000}"/>
  <bookViews>
    <workbookView xWindow="28680" yWindow="-120" windowWidth="29040" windowHeight="15720" activeTab="1" xr2:uid="{D2464379-BABC-493E-BF41-8DD8418CA9C5}"/>
  </bookViews>
  <sheets>
    <sheet name="Export Factuur" sheetId="1" r:id="rId1"/>
    <sheet name="Tarievensheet per persoon" sheetId="2" r:id="rId2"/>
  </sheets>
  <calcPr calcId="191029"/>
  <pivotCaches>
    <pivotCache cacheId="99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812" i="2" l="1"/>
  <c r="T812" i="2"/>
  <c r="Q812" i="2"/>
  <c r="P812" i="2"/>
  <c r="AC812" i="2" s="1"/>
  <c r="O812" i="2"/>
  <c r="N812" i="2"/>
  <c r="L812" i="2"/>
  <c r="AC811" i="2"/>
  <c r="AA811" i="2"/>
  <c r="Q811" i="2"/>
  <c r="P811" i="2"/>
  <c r="AB811" i="2" s="1"/>
  <c r="O811" i="2"/>
  <c r="N811" i="2"/>
  <c r="T811" i="2" s="1"/>
  <c r="L811" i="2"/>
  <c r="AB810" i="2"/>
  <c r="Z810" i="2"/>
  <c r="T810" i="2"/>
  <c r="Q810" i="2"/>
  <c r="P810" i="2"/>
  <c r="O810" i="2"/>
  <c r="N810" i="2"/>
  <c r="L810" i="2"/>
  <c r="AC809" i="2"/>
  <c r="AA809" i="2"/>
  <c r="Q809" i="2"/>
  <c r="P809" i="2"/>
  <c r="Z809" i="2" s="1"/>
  <c r="O809" i="2"/>
  <c r="N809" i="2"/>
  <c r="T809" i="2" s="1"/>
  <c r="Y809" i="2" s="1"/>
  <c r="L809" i="2"/>
  <c r="Q808" i="2"/>
  <c r="P808" i="2"/>
  <c r="AB808" i="2" s="1"/>
  <c r="O808" i="2"/>
  <c r="N808" i="2"/>
  <c r="T808" i="2" s="1"/>
  <c r="L808" i="2"/>
  <c r="AC807" i="2"/>
  <c r="AB807" i="2"/>
  <c r="AA807" i="2"/>
  <c r="Q807" i="2"/>
  <c r="P807" i="2"/>
  <c r="Z807" i="2" s="1"/>
  <c r="O807" i="2"/>
  <c r="N807" i="2"/>
  <c r="L807" i="2"/>
  <c r="X806" i="2"/>
  <c r="V806" i="2"/>
  <c r="Q806" i="2"/>
  <c r="P806" i="2"/>
  <c r="O806" i="2"/>
  <c r="N806" i="2"/>
  <c r="T806" i="2" s="1"/>
  <c r="L806" i="2"/>
  <c r="AC805" i="2"/>
  <c r="Q805" i="2"/>
  <c r="T805" i="2" s="1"/>
  <c r="P805" i="2"/>
  <c r="AB805" i="2" s="1"/>
  <c r="O805" i="2"/>
  <c r="N805" i="2"/>
  <c r="L805" i="2"/>
  <c r="AC804" i="2"/>
  <c r="AB804" i="2"/>
  <c r="Q804" i="2"/>
  <c r="P804" i="2"/>
  <c r="AA804" i="2" s="1"/>
  <c r="O804" i="2"/>
  <c r="N804" i="2"/>
  <c r="T804" i="2" s="1"/>
  <c r="L804" i="2"/>
  <c r="AC803" i="2"/>
  <c r="AA803" i="2"/>
  <c r="Q803" i="2"/>
  <c r="P803" i="2"/>
  <c r="AB803" i="2" s="1"/>
  <c r="O803" i="2"/>
  <c r="N803" i="2"/>
  <c r="T803" i="2" s="1"/>
  <c r="W803" i="2" s="1"/>
  <c r="L803" i="2"/>
  <c r="AB802" i="2"/>
  <c r="T802" i="2"/>
  <c r="Q802" i="2"/>
  <c r="P802" i="2"/>
  <c r="O802" i="2"/>
  <c r="N802" i="2"/>
  <c r="L802" i="2"/>
  <c r="AC801" i="2"/>
  <c r="AA801" i="2"/>
  <c r="Q801" i="2"/>
  <c r="P801" i="2"/>
  <c r="Z801" i="2" s="1"/>
  <c r="O801" i="2"/>
  <c r="N801" i="2"/>
  <c r="T801" i="2" s="1"/>
  <c r="L801" i="2"/>
  <c r="T800" i="2"/>
  <c r="Q800" i="2"/>
  <c r="P800" i="2"/>
  <c r="O800" i="2"/>
  <c r="N800" i="2"/>
  <c r="L800" i="2"/>
  <c r="AC799" i="2"/>
  <c r="AB799" i="2"/>
  <c r="AA799" i="2"/>
  <c r="W799" i="2"/>
  <c r="Q799" i="2"/>
  <c r="T799" i="2" s="1"/>
  <c r="P799" i="2"/>
  <c r="Z799" i="2" s="1"/>
  <c r="O799" i="2"/>
  <c r="N799" i="2"/>
  <c r="L799" i="2"/>
  <c r="Z798" i="2"/>
  <c r="X798" i="2"/>
  <c r="V798" i="2"/>
  <c r="Q798" i="2"/>
  <c r="P798" i="2"/>
  <c r="O798" i="2"/>
  <c r="N798" i="2"/>
  <c r="T798" i="2" s="1"/>
  <c r="L798" i="2"/>
  <c r="AC797" i="2"/>
  <c r="W797" i="2"/>
  <c r="U797" i="2"/>
  <c r="Q797" i="2"/>
  <c r="P797" i="2"/>
  <c r="AB797" i="2" s="1"/>
  <c r="O797" i="2"/>
  <c r="T797" i="2" s="1"/>
  <c r="N797" i="2"/>
  <c r="L797" i="2"/>
  <c r="AB796" i="2"/>
  <c r="V796" i="2"/>
  <c r="Q796" i="2"/>
  <c r="P796" i="2"/>
  <c r="AC796" i="2" s="1"/>
  <c r="O796" i="2"/>
  <c r="N796" i="2"/>
  <c r="T796" i="2" s="1"/>
  <c r="X796" i="2" s="1"/>
  <c r="L796" i="2"/>
  <c r="AC795" i="2"/>
  <c r="AA795" i="2"/>
  <c r="Q795" i="2"/>
  <c r="P795" i="2"/>
  <c r="AB795" i="2" s="1"/>
  <c r="O795" i="2"/>
  <c r="N795" i="2"/>
  <c r="L795" i="2"/>
  <c r="T794" i="2"/>
  <c r="Q794" i="2"/>
  <c r="P794" i="2"/>
  <c r="O794" i="2"/>
  <c r="N794" i="2"/>
  <c r="L794" i="2"/>
  <c r="AC793" i="2"/>
  <c r="AA793" i="2"/>
  <c r="Q793" i="2"/>
  <c r="P793" i="2"/>
  <c r="Z793" i="2" s="1"/>
  <c r="O793" i="2"/>
  <c r="N793" i="2"/>
  <c r="L793" i="2"/>
  <c r="T792" i="2"/>
  <c r="Q792" i="2"/>
  <c r="P792" i="2"/>
  <c r="O792" i="2"/>
  <c r="N792" i="2"/>
  <c r="L792" i="2"/>
  <c r="AC791" i="2"/>
  <c r="AB791" i="2"/>
  <c r="AA791" i="2"/>
  <c r="Q791" i="2"/>
  <c r="T791" i="2" s="1"/>
  <c r="P791" i="2"/>
  <c r="Z791" i="2" s="1"/>
  <c r="O791" i="2"/>
  <c r="N791" i="2"/>
  <c r="L791" i="2"/>
  <c r="Z790" i="2"/>
  <c r="V790" i="2"/>
  <c r="Q790" i="2"/>
  <c r="P790" i="2"/>
  <c r="O790" i="2"/>
  <c r="N790" i="2"/>
  <c r="T790" i="2" s="1"/>
  <c r="L790" i="2"/>
  <c r="AC789" i="2"/>
  <c r="Q789" i="2"/>
  <c r="P789" i="2"/>
  <c r="AB789" i="2" s="1"/>
  <c r="O789" i="2"/>
  <c r="N789" i="2"/>
  <c r="L789" i="2"/>
  <c r="AB788" i="2"/>
  <c r="X788" i="2"/>
  <c r="V788" i="2"/>
  <c r="Q788" i="2"/>
  <c r="P788" i="2"/>
  <c r="AC788" i="2" s="1"/>
  <c r="O788" i="2"/>
  <c r="N788" i="2"/>
  <c r="T788" i="2" s="1"/>
  <c r="L788" i="2"/>
  <c r="AC787" i="2"/>
  <c r="AA787" i="2"/>
  <c r="Q787" i="2"/>
  <c r="P787" i="2"/>
  <c r="AB787" i="2" s="1"/>
  <c r="O787" i="2"/>
  <c r="N787" i="2"/>
  <c r="L787" i="2"/>
  <c r="AB786" i="2"/>
  <c r="T786" i="2"/>
  <c r="Q786" i="2"/>
  <c r="P786" i="2"/>
  <c r="O786" i="2"/>
  <c r="N786" i="2"/>
  <c r="L786" i="2"/>
  <c r="AC785" i="2"/>
  <c r="AA785" i="2"/>
  <c r="Q785" i="2"/>
  <c r="P785" i="2"/>
  <c r="Z785" i="2" s="1"/>
  <c r="O785" i="2"/>
  <c r="N785" i="2"/>
  <c r="L785" i="2"/>
  <c r="T784" i="2"/>
  <c r="Q784" i="2"/>
  <c r="P784" i="2"/>
  <c r="O784" i="2"/>
  <c r="N784" i="2"/>
  <c r="L784" i="2"/>
  <c r="AC783" i="2"/>
  <c r="AB783" i="2"/>
  <c r="AA783" i="2"/>
  <c r="Q783" i="2"/>
  <c r="T783" i="2" s="1"/>
  <c r="P783" i="2"/>
  <c r="Z783" i="2" s="1"/>
  <c r="O783" i="2"/>
  <c r="N783" i="2"/>
  <c r="L783" i="2"/>
  <c r="Z782" i="2"/>
  <c r="V782" i="2"/>
  <c r="Q782" i="2"/>
  <c r="P782" i="2"/>
  <c r="O782" i="2"/>
  <c r="N782" i="2"/>
  <c r="T782" i="2" s="1"/>
  <c r="L782" i="2"/>
  <c r="AC781" i="2"/>
  <c r="Q781" i="2"/>
  <c r="P781" i="2"/>
  <c r="AB781" i="2" s="1"/>
  <c r="O781" i="2"/>
  <c r="N781" i="2"/>
  <c r="L781" i="2"/>
  <c r="AB780" i="2"/>
  <c r="X780" i="2"/>
  <c r="Q780" i="2"/>
  <c r="P780" i="2"/>
  <c r="AC780" i="2" s="1"/>
  <c r="O780" i="2"/>
  <c r="N780" i="2"/>
  <c r="T780" i="2" s="1"/>
  <c r="V780" i="2" s="1"/>
  <c r="L780" i="2"/>
  <c r="AC779" i="2"/>
  <c r="AA779" i="2"/>
  <c r="Q779" i="2"/>
  <c r="P779" i="2"/>
  <c r="AB779" i="2" s="1"/>
  <c r="O779" i="2"/>
  <c r="N779" i="2"/>
  <c r="L779" i="2"/>
  <c r="AB778" i="2"/>
  <c r="T778" i="2"/>
  <c r="Q778" i="2"/>
  <c r="P778" i="2"/>
  <c r="O778" i="2"/>
  <c r="N778" i="2"/>
  <c r="L778" i="2"/>
  <c r="AC777" i="2"/>
  <c r="AA777" i="2"/>
  <c r="Q777" i="2"/>
  <c r="P777" i="2"/>
  <c r="Z777" i="2" s="1"/>
  <c r="O777" i="2"/>
  <c r="N777" i="2"/>
  <c r="L777" i="2"/>
  <c r="T776" i="2"/>
  <c r="Q776" i="2"/>
  <c r="P776" i="2"/>
  <c r="O776" i="2"/>
  <c r="N776" i="2"/>
  <c r="L776" i="2"/>
  <c r="AC775" i="2"/>
  <c r="AB775" i="2"/>
  <c r="AA775" i="2"/>
  <c r="Q775" i="2"/>
  <c r="P775" i="2"/>
  <c r="Z775" i="2" s="1"/>
  <c r="O775" i="2"/>
  <c r="N775" i="2"/>
  <c r="L775" i="2"/>
  <c r="Z774" i="2"/>
  <c r="V774" i="2"/>
  <c r="Q774" i="2"/>
  <c r="P774" i="2"/>
  <c r="O774" i="2"/>
  <c r="N774" i="2"/>
  <c r="T774" i="2" s="1"/>
  <c r="L774" i="2"/>
  <c r="AC773" i="2"/>
  <c r="Q773" i="2"/>
  <c r="P773" i="2"/>
  <c r="AB773" i="2" s="1"/>
  <c r="O773" i="2"/>
  <c r="N773" i="2"/>
  <c r="L773" i="2"/>
  <c r="AB772" i="2"/>
  <c r="X772" i="2"/>
  <c r="V772" i="2"/>
  <c r="Q772" i="2"/>
  <c r="P772" i="2"/>
  <c r="AC772" i="2" s="1"/>
  <c r="O772" i="2"/>
  <c r="N772" i="2"/>
  <c r="T772" i="2" s="1"/>
  <c r="L772" i="2"/>
  <c r="AC771" i="2"/>
  <c r="AB771" i="2"/>
  <c r="AA771" i="2"/>
  <c r="Q771" i="2"/>
  <c r="P771" i="2"/>
  <c r="Z771" i="2" s="1"/>
  <c r="O771" i="2"/>
  <c r="N771" i="2"/>
  <c r="T771" i="2" s="1"/>
  <c r="L771" i="2"/>
  <c r="V770" i="2"/>
  <c r="T770" i="2"/>
  <c r="Q770" i="2"/>
  <c r="P770" i="2"/>
  <c r="AB770" i="2" s="1"/>
  <c r="O770" i="2"/>
  <c r="N770" i="2"/>
  <c r="L770" i="2"/>
  <c r="AC769" i="2"/>
  <c r="AA769" i="2"/>
  <c r="Q769" i="2"/>
  <c r="P769" i="2"/>
  <c r="Z769" i="2" s="1"/>
  <c r="O769" i="2"/>
  <c r="N769" i="2"/>
  <c r="L769" i="2"/>
  <c r="X768" i="2"/>
  <c r="T768" i="2"/>
  <c r="Q768" i="2"/>
  <c r="P768" i="2"/>
  <c r="O768" i="2"/>
  <c r="N768" i="2"/>
  <c r="L768" i="2"/>
  <c r="AC767" i="2"/>
  <c r="AB767" i="2"/>
  <c r="AA767" i="2"/>
  <c r="Q767" i="2"/>
  <c r="P767" i="2"/>
  <c r="Z767" i="2" s="1"/>
  <c r="O767" i="2"/>
  <c r="N767" i="2"/>
  <c r="L767" i="2"/>
  <c r="Z766" i="2"/>
  <c r="X766" i="2"/>
  <c r="V766" i="2"/>
  <c r="Q766" i="2"/>
  <c r="P766" i="2"/>
  <c r="O766" i="2"/>
  <c r="N766" i="2"/>
  <c r="T766" i="2" s="1"/>
  <c r="L766" i="2"/>
  <c r="AC765" i="2"/>
  <c r="Y765" i="2"/>
  <c r="W765" i="2"/>
  <c r="Q765" i="2"/>
  <c r="P765" i="2"/>
  <c r="AB765" i="2" s="1"/>
  <c r="O765" i="2"/>
  <c r="N765" i="2"/>
  <c r="T765" i="2" s="1"/>
  <c r="L765" i="2"/>
  <c r="AB764" i="2"/>
  <c r="X764" i="2"/>
  <c r="Q764" i="2"/>
  <c r="P764" i="2"/>
  <c r="AC764" i="2" s="1"/>
  <c r="O764" i="2"/>
  <c r="N764" i="2"/>
  <c r="T764" i="2" s="1"/>
  <c r="L764" i="2"/>
  <c r="AC763" i="2"/>
  <c r="AB763" i="2"/>
  <c r="AA763" i="2"/>
  <c r="Q763" i="2"/>
  <c r="P763" i="2"/>
  <c r="Z763" i="2" s="1"/>
  <c r="O763" i="2"/>
  <c r="N763" i="2"/>
  <c r="L763" i="2"/>
  <c r="T762" i="2"/>
  <c r="Q762" i="2"/>
  <c r="P762" i="2"/>
  <c r="O762" i="2"/>
  <c r="N762" i="2"/>
  <c r="L762" i="2"/>
  <c r="AC761" i="2"/>
  <c r="AA761" i="2"/>
  <c r="Q761" i="2"/>
  <c r="P761" i="2"/>
  <c r="Z761" i="2" s="1"/>
  <c r="O761" i="2"/>
  <c r="N761" i="2"/>
  <c r="L761" i="2"/>
  <c r="Z760" i="2"/>
  <c r="T760" i="2"/>
  <c r="Q760" i="2"/>
  <c r="P760" i="2"/>
  <c r="AB760" i="2" s="1"/>
  <c r="O760" i="2"/>
  <c r="N760" i="2"/>
  <c r="L760" i="2"/>
  <c r="AC759" i="2"/>
  <c r="AB759" i="2"/>
  <c r="AA759" i="2"/>
  <c r="Q759" i="2"/>
  <c r="P759" i="2"/>
  <c r="Z759" i="2" s="1"/>
  <c r="O759" i="2"/>
  <c r="N759" i="2"/>
  <c r="T759" i="2" s="1"/>
  <c r="Y759" i="2" s="1"/>
  <c r="L759" i="2"/>
  <c r="Z758" i="2"/>
  <c r="Q758" i="2"/>
  <c r="P758" i="2"/>
  <c r="O758" i="2"/>
  <c r="N758" i="2"/>
  <c r="T758" i="2" s="1"/>
  <c r="X758" i="2" s="1"/>
  <c r="L758" i="2"/>
  <c r="AC757" i="2"/>
  <c r="Q757" i="2"/>
  <c r="P757" i="2"/>
  <c r="AB757" i="2" s="1"/>
  <c r="O757" i="2"/>
  <c r="N757" i="2"/>
  <c r="L757" i="2"/>
  <c r="AB756" i="2"/>
  <c r="Q756" i="2"/>
  <c r="P756" i="2"/>
  <c r="AC756" i="2" s="1"/>
  <c r="O756" i="2"/>
  <c r="N756" i="2"/>
  <c r="T756" i="2" s="1"/>
  <c r="L756" i="2"/>
  <c r="AC755" i="2"/>
  <c r="AB755" i="2"/>
  <c r="AA755" i="2"/>
  <c r="Q755" i="2"/>
  <c r="P755" i="2"/>
  <c r="Z755" i="2" s="1"/>
  <c r="O755" i="2"/>
  <c r="N755" i="2"/>
  <c r="L755" i="2"/>
  <c r="V754" i="2"/>
  <c r="T754" i="2"/>
  <c r="Q754" i="2"/>
  <c r="P754" i="2"/>
  <c r="O754" i="2"/>
  <c r="N754" i="2"/>
  <c r="L754" i="2"/>
  <c r="AC753" i="2"/>
  <c r="AA753" i="2"/>
  <c r="Q753" i="2"/>
  <c r="P753" i="2"/>
  <c r="Z753" i="2" s="1"/>
  <c r="O753" i="2"/>
  <c r="N753" i="2"/>
  <c r="L753" i="2"/>
  <c r="AB752" i="2"/>
  <c r="Z752" i="2"/>
  <c r="X752" i="2"/>
  <c r="Q752" i="2"/>
  <c r="P752" i="2"/>
  <c r="O752" i="2"/>
  <c r="N752" i="2"/>
  <c r="T752" i="2" s="1"/>
  <c r="L752" i="2"/>
  <c r="AC751" i="2"/>
  <c r="AB751" i="2"/>
  <c r="AA751" i="2"/>
  <c r="Q751" i="2"/>
  <c r="P751" i="2"/>
  <c r="Z751" i="2" s="1"/>
  <c r="O751" i="2"/>
  <c r="N751" i="2"/>
  <c r="L751" i="2"/>
  <c r="AB750" i="2"/>
  <c r="X750" i="2"/>
  <c r="T750" i="2"/>
  <c r="Q750" i="2"/>
  <c r="P750" i="2"/>
  <c r="Z750" i="2" s="1"/>
  <c r="O750" i="2"/>
  <c r="N750" i="2"/>
  <c r="L750" i="2"/>
  <c r="AC749" i="2"/>
  <c r="AA749" i="2"/>
  <c r="Z749" i="2"/>
  <c r="Q749" i="2"/>
  <c r="P749" i="2"/>
  <c r="AB749" i="2" s="1"/>
  <c r="O749" i="2"/>
  <c r="N749" i="2"/>
  <c r="L749" i="2"/>
  <c r="AB748" i="2"/>
  <c r="Q748" i="2"/>
  <c r="P748" i="2"/>
  <c r="O748" i="2"/>
  <c r="T748" i="2" s="1"/>
  <c r="N748" i="2"/>
  <c r="L748" i="2"/>
  <c r="AC747" i="2"/>
  <c r="AB747" i="2"/>
  <c r="AA747" i="2"/>
  <c r="Q747" i="2"/>
  <c r="P747" i="2"/>
  <c r="Z747" i="2" s="1"/>
  <c r="O747" i="2"/>
  <c r="N747" i="2"/>
  <c r="L747" i="2"/>
  <c r="V746" i="2"/>
  <c r="Q746" i="2"/>
  <c r="T746" i="2" s="1"/>
  <c r="P746" i="2"/>
  <c r="O746" i="2"/>
  <c r="N746" i="2"/>
  <c r="L746" i="2"/>
  <c r="AA745" i="2"/>
  <c r="Q745" i="2"/>
  <c r="P745" i="2"/>
  <c r="AB745" i="2" s="1"/>
  <c r="O745" i="2"/>
  <c r="N745" i="2"/>
  <c r="L745" i="2"/>
  <c r="Z744" i="2"/>
  <c r="Q744" i="2"/>
  <c r="P744" i="2"/>
  <c r="O744" i="2"/>
  <c r="N744" i="2"/>
  <c r="T744" i="2" s="1"/>
  <c r="X744" i="2" s="1"/>
  <c r="L744" i="2"/>
  <c r="AC743" i="2"/>
  <c r="AA743" i="2"/>
  <c r="Q743" i="2"/>
  <c r="P743" i="2"/>
  <c r="AB743" i="2" s="1"/>
  <c r="O743" i="2"/>
  <c r="N743" i="2"/>
  <c r="T743" i="2" s="1"/>
  <c r="Y743" i="2" s="1"/>
  <c r="L743" i="2"/>
  <c r="AC742" i="2"/>
  <c r="V742" i="2"/>
  <c r="U742" i="2"/>
  <c r="Q742" i="2"/>
  <c r="P742" i="2"/>
  <c r="AB742" i="2" s="1"/>
  <c r="O742" i="2"/>
  <c r="N742" i="2"/>
  <c r="T742" i="2" s="1"/>
  <c r="X742" i="2" s="1"/>
  <c r="L742" i="2"/>
  <c r="AC741" i="2"/>
  <c r="AB741" i="2"/>
  <c r="AA741" i="2"/>
  <c r="W741" i="2"/>
  <c r="T741" i="2"/>
  <c r="Q741" i="2"/>
  <c r="P741" i="2"/>
  <c r="Z741" i="2" s="1"/>
  <c r="O741" i="2"/>
  <c r="N741" i="2"/>
  <c r="L741" i="2"/>
  <c r="AC740" i="2"/>
  <c r="AB740" i="2"/>
  <c r="AA740" i="2"/>
  <c r="T740" i="2"/>
  <c r="Q740" i="2"/>
  <c r="P740" i="2"/>
  <c r="Z740" i="2" s="1"/>
  <c r="O740" i="2"/>
  <c r="N740" i="2"/>
  <c r="L740" i="2"/>
  <c r="Q739" i="2"/>
  <c r="T739" i="2" s="1"/>
  <c r="P739" i="2"/>
  <c r="O739" i="2"/>
  <c r="N739" i="2"/>
  <c r="L739" i="2"/>
  <c r="Q738" i="2"/>
  <c r="P738" i="2"/>
  <c r="AB738" i="2" s="1"/>
  <c r="O738" i="2"/>
  <c r="T738" i="2" s="1"/>
  <c r="N738" i="2"/>
  <c r="L738" i="2"/>
  <c r="AC737" i="2"/>
  <c r="AA737" i="2"/>
  <c r="Q737" i="2"/>
  <c r="P737" i="2"/>
  <c r="Z737" i="2" s="1"/>
  <c r="O737" i="2"/>
  <c r="N737" i="2"/>
  <c r="L737" i="2"/>
  <c r="W736" i="2"/>
  <c r="Q736" i="2"/>
  <c r="P736" i="2"/>
  <c r="Z736" i="2" s="1"/>
  <c r="O736" i="2"/>
  <c r="N736" i="2"/>
  <c r="T736" i="2" s="1"/>
  <c r="X736" i="2" s="1"/>
  <c r="L736" i="2"/>
  <c r="AC735" i="2"/>
  <c r="AB735" i="2"/>
  <c r="AA735" i="2"/>
  <c r="Q735" i="2"/>
  <c r="P735" i="2"/>
  <c r="Z735" i="2" s="1"/>
  <c r="O735" i="2"/>
  <c r="N735" i="2"/>
  <c r="L735" i="2"/>
  <c r="AC734" i="2"/>
  <c r="Q734" i="2"/>
  <c r="P734" i="2"/>
  <c r="AB734" i="2" s="1"/>
  <c r="O734" i="2"/>
  <c r="N734" i="2"/>
  <c r="T734" i="2" s="1"/>
  <c r="L734" i="2"/>
  <c r="AC733" i="2"/>
  <c r="AB733" i="2"/>
  <c r="AA733" i="2"/>
  <c r="W733" i="2"/>
  <c r="U733" i="2"/>
  <c r="T733" i="2"/>
  <c r="Q733" i="2"/>
  <c r="P733" i="2"/>
  <c r="Z733" i="2" s="1"/>
  <c r="O733" i="2"/>
  <c r="N733" i="2"/>
  <c r="L733" i="2"/>
  <c r="AC732" i="2"/>
  <c r="AB732" i="2"/>
  <c r="AA732" i="2"/>
  <c r="V732" i="2"/>
  <c r="T732" i="2"/>
  <c r="Q732" i="2"/>
  <c r="P732" i="2"/>
  <c r="Z732" i="2" s="1"/>
  <c r="O732" i="2"/>
  <c r="N732" i="2"/>
  <c r="L732" i="2"/>
  <c r="AA731" i="2"/>
  <c r="Z731" i="2"/>
  <c r="Q731" i="2"/>
  <c r="T731" i="2" s="1"/>
  <c r="P731" i="2"/>
  <c r="AB731" i="2" s="1"/>
  <c r="O731" i="2"/>
  <c r="N731" i="2"/>
  <c r="L731" i="2"/>
  <c r="AB730" i="2"/>
  <c r="Z730" i="2"/>
  <c r="T730" i="2"/>
  <c r="Q730" i="2"/>
  <c r="P730" i="2"/>
  <c r="O730" i="2"/>
  <c r="N730" i="2"/>
  <c r="L730" i="2"/>
  <c r="AC729" i="2"/>
  <c r="AA729" i="2"/>
  <c r="Q729" i="2"/>
  <c r="P729" i="2"/>
  <c r="Z729" i="2" s="1"/>
  <c r="O729" i="2"/>
  <c r="N729" i="2"/>
  <c r="T729" i="2" s="1"/>
  <c r="L729" i="2"/>
  <c r="Z728" i="2"/>
  <c r="Q728" i="2"/>
  <c r="P728" i="2"/>
  <c r="O728" i="2"/>
  <c r="N728" i="2"/>
  <c r="T728" i="2" s="1"/>
  <c r="L728" i="2"/>
  <c r="AC727" i="2"/>
  <c r="AB727" i="2"/>
  <c r="AA727" i="2"/>
  <c r="Q727" i="2"/>
  <c r="P727" i="2"/>
  <c r="Z727" i="2" s="1"/>
  <c r="O727" i="2"/>
  <c r="N727" i="2"/>
  <c r="T727" i="2" s="1"/>
  <c r="Y727" i="2" s="1"/>
  <c r="L727" i="2"/>
  <c r="AC726" i="2"/>
  <c r="U726" i="2"/>
  <c r="Q726" i="2"/>
  <c r="P726" i="2"/>
  <c r="AB726" i="2" s="1"/>
  <c r="O726" i="2"/>
  <c r="N726" i="2"/>
  <c r="T726" i="2" s="1"/>
  <c r="X726" i="2" s="1"/>
  <c r="L726" i="2"/>
  <c r="AC725" i="2"/>
  <c r="AB725" i="2"/>
  <c r="AA725" i="2"/>
  <c r="T725" i="2"/>
  <c r="Q725" i="2"/>
  <c r="P725" i="2"/>
  <c r="Z725" i="2" s="1"/>
  <c r="O725" i="2"/>
  <c r="N725" i="2"/>
  <c r="L725" i="2"/>
  <c r="AC724" i="2"/>
  <c r="AB724" i="2"/>
  <c r="AA724" i="2"/>
  <c r="Q724" i="2"/>
  <c r="P724" i="2"/>
  <c r="Z724" i="2" s="1"/>
  <c r="O724" i="2"/>
  <c r="N724" i="2"/>
  <c r="T724" i="2" s="1"/>
  <c r="L724" i="2"/>
  <c r="U723" i="2"/>
  <c r="Q723" i="2"/>
  <c r="T723" i="2" s="1"/>
  <c r="W723" i="2" s="1"/>
  <c r="P723" i="2"/>
  <c r="AB723" i="2" s="1"/>
  <c r="O723" i="2"/>
  <c r="N723" i="2"/>
  <c r="L723" i="2"/>
  <c r="Y722" i="2"/>
  <c r="T722" i="2"/>
  <c r="Q722" i="2"/>
  <c r="P722" i="2"/>
  <c r="AB722" i="2" s="1"/>
  <c r="O722" i="2"/>
  <c r="N722" i="2"/>
  <c r="L722" i="2"/>
  <c r="AC721" i="2"/>
  <c r="AA721" i="2"/>
  <c r="Q721" i="2"/>
  <c r="P721" i="2"/>
  <c r="Z721" i="2" s="1"/>
  <c r="O721" i="2"/>
  <c r="N721" i="2"/>
  <c r="T721" i="2" s="1"/>
  <c r="L721" i="2"/>
  <c r="Q720" i="2"/>
  <c r="P720" i="2"/>
  <c r="O720" i="2"/>
  <c r="N720" i="2"/>
  <c r="T720" i="2" s="1"/>
  <c r="L720" i="2"/>
  <c r="AC719" i="2"/>
  <c r="AB719" i="2"/>
  <c r="AA719" i="2"/>
  <c r="Q719" i="2"/>
  <c r="P719" i="2"/>
  <c r="Z719" i="2" s="1"/>
  <c r="O719" i="2"/>
  <c r="N719" i="2"/>
  <c r="L719" i="2"/>
  <c r="Z718" i="2"/>
  <c r="X718" i="2"/>
  <c r="V718" i="2"/>
  <c r="U718" i="2"/>
  <c r="Q718" i="2"/>
  <c r="P718" i="2"/>
  <c r="AC718" i="2" s="1"/>
  <c r="O718" i="2"/>
  <c r="N718" i="2"/>
  <c r="T718" i="2" s="1"/>
  <c r="L718" i="2"/>
  <c r="AC717" i="2"/>
  <c r="AB717" i="2"/>
  <c r="AA717" i="2"/>
  <c r="Q717" i="2"/>
  <c r="P717" i="2"/>
  <c r="Z717" i="2" s="1"/>
  <c r="O717" i="2"/>
  <c r="T717" i="2" s="1"/>
  <c r="N717" i="2"/>
  <c r="L717" i="2"/>
  <c r="AC716" i="2"/>
  <c r="AB716" i="2"/>
  <c r="AA716" i="2"/>
  <c r="T716" i="2"/>
  <c r="Q716" i="2"/>
  <c r="P716" i="2"/>
  <c r="Z716" i="2" s="1"/>
  <c r="O716" i="2"/>
  <c r="N716" i="2"/>
  <c r="L716" i="2"/>
  <c r="AC715" i="2"/>
  <c r="AA715" i="2"/>
  <c r="Z715" i="2"/>
  <c r="W715" i="2"/>
  <c r="Q715" i="2"/>
  <c r="T715" i="2" s="1"/>
  <c r="P715" i="2"/>
  <c r="AB715" i="2" s="1"/>
  <c r="O715" i="2"/>
  <c r="N715" i="2"/>
  <c r="L715" i="2"/>
  <c r="AB714" i="2"/>
  <c r="Q714" i="2"/>
  <c r="P714" i="2"/>
  <c r="O714" i="2"/>
  <c r="T714" i="2" s="1"/>
  <c r="N714" i="2"/>
  <c r="L714" i="2"/>
  <c r="AC713" i="2"/>
  <c r="AA713" i="2"/>
  <c r="Q713" i="2"/>
  <c r="P713" i="2"/>
  <c r="Z713" i="2" s="1"/>
  <c r="O713" i="2"/>
  <c r="N713" i="2"/>
  <c r="L713" i="2"/>
  <c r="X712" i="2"/>
  <c r="T712" i="2"/>
  <c r="Q712" i="2"/>
  <c r="P712" i="2"/>
  <c r="AB712" i="2" s="1"/>
  <c r="O712" i="2"/>
  <c r="N712" i="2"/>
  <c r="L712" i="2"/>
  <c r="AC711" i="2"/>
  <c r="AB711" i="2"/>
  <c r="AA711" i="2"/>
  <c r="Q711" i="2"/>
  <c r="P711" i="2"/>
  <c r="Z711" i="2" s="1"/>
  <c r="O711" i="2"/>
  <c r="N711" i="2"/>
  <c r="L711" i="2"/>
  <c r="AC710" i="2"/>
  <c r="X710" i="2"/>
  <c r="U710" i="2"/>
  <c r="Q710" i="2"/>
  <c r="P710" i="2"/>
  <c r="O710" i="2"/>
  <c r="N710" i="2"/>
  <c r="T710" i="2" s="1"/>
  <c r="Y710" i="2" s="1"/>
  <c r="L710" i="2"/>
  <c r="AC709" i="2"/>
  <c r="AB709" i="2"/>
  <c r="AA709" i="2"/>
  <c r="W709" i="2"/>
  <c r="V709" i="2"/>
  <c r="Q709" i="2"/>
  <c r="P709" i="2"/>
  <c r="Z709" i="2" s="1"/>
  <c r="O709" i="2"/>
  <c r="T709" i="2" s="1"/>
  <c r="N709" i="2"/>
  <c r="L709" i="2"/>
  <c r="AC708" i="2"/>
  <c r="AB708" i="2"/>
  <c r="AA708" i="2"/>
  <c r="U708" i="2"/>
  <c r="Q708" i="2"/>
  <c r="T708" i="2" s="1"/>
  <c r="P708" i="2"/>
  <c r="Z708" i="2" s="1"/>
  <c r="O708" i="2"/>
  <c r="N708" i="2"/>
  <c r="L708" i="2"/>
  <c r="AB707" i="2"/>
  <c r="AA707" i="2"/>
  <c r="Z707" i="2"/>
  <c r="W707" i="2"/>
  <c r="T707" i="2"/>
  <c r="Q707" i="2"/>
  <c r="P707" i="2"/>
  <c r="AC707" i="2" s="1"/>
  <c r="O707" i="2"/>
  <c r="N707" i="2"/>
  <c r="L707" i="2"/>
  <c r="T706" i="2"/>
  <c r="Q706" i="2"/>
  <c r="P706" i="2"/>
  <c r="O706" i="2"/>
  <c r="N706" i="2"/>
  <c r="L706" i="2"/>
  <c r="Z705" i="2"/>
  <c r="Q705" i="2"/>
  <c r="P705" i="2"/>
  <c r="AB705" i="2" s="1"/>
  <c r="O705" i="2"/>
  <c r="N705" i="2"/>
  <c r="L705" i="2"/>
  <c r="Z704" i="2"/>
  <c r="Y704" i="2"/>
  <c r="Q704" i="2"/>
  <c r="P704" i="2"/>
  <c r="O704" i="2"/>
  <c r="N704" i="2"/>
  <c r="T704" i="2" s="1"/>
  <c r="L704" i="2"/>
  <c r="AC703" i="2"/>
  <c r="AA703" i="2"/>
  <c r="Q703" i="2"/>
  <c r="P703" i="2"/>
  <c r="AB703" i="2" s="1"/>
  <c r="O703" i="2"/>
  <c r="N703" i="2"/>
  <c r="L703" i="2"/>
  <c r="Z702" i="2"/>
  <c r="W702" i="2"/>
  <c r="V702" i="2"/>
  <c r="Q702" i="2"/>
  <c r="P702" i="2"/>
  <c r="AC702" i="2" s="1"/>
  <c r="O702" i="2"/>
  <c r="N702" i="2"/>
  <c r="T702" i="2" s="1"/>
  <c r="L702" i="2"/>
  <c r="AC701" i="2"/>
  <c r="AB701" i="2"/>
  <c r="AA701" i="2"/>
  <c r="U701" i="2"/>
  <c r="T701" i="2"/>
  <c r="X701" i="2" s="1"/>
  <c r="Q701" i="2"/>
  <c r="P701" i="2"/>
  <c r="Z701" i="2" s="1"/>
  <c r="O701" i="2"/>
  <c r="N701" i="2"/>
  <c r="L701" i="2"/>
  <c r="AB700" i="2"/>
  <c r="Z700" i="2"/>
  <c r="Q700" i="2"/>
  <c r="P700" i="2"/>
  <c r="O700" i="2"/>
  <c r="N700" i="2"/>
  <c r="T700" i="2" s="1"/>
  <c r="L700" i="2"/>
  <c r="Y699" i="2"/>
  <c r="T699" i="2"/>
  <c r="Q699" i="2"/>
  <c r="P699" i="2"/>
  <c r="AC699" i="2" s="1"/>
  <c r="O699" i="2"/>
  <c r="N699" i="2"/>
  <c r="L699" i="2"/>
  <c r="AA698" i="2"/>
  <c r="Z698" i="2"/>
  <c r="Q698" i="2"/>
  <c r="P698" i="2"/>
  <c r="AC698" i="2" s="1"/>
  <c r="O698" i="2"/>
  <c r="N698" i="2"/>
  <c r="T698" i="2" s="1"/>
  <c r="L698" i="2"/>
  <c r="Q697" i="2"/>
  <c r="P697" i="2"/>
  <c r="AB697" i="2" s="1"/>
  <c r="O697" i="2"/>
  <c r="N697" i="2"/>
  <c r="L697" i="2"/>
  <c r="AB696" i="2"/>
  <c r="Z696" i="2"/>
  <c r="U696" i="2"/>
  <c r="T696" i="2"/>
  <c r="Y696" i="2" s="1"/>
  <c r="Q696" i="2"/>
  <c r="P696" i="2"/>
  <c r="O696" i="2"/>
  <c r="N696" i="2"/>
  <c r="L696" i="2"/>
  <c r="AC695" i="2"/>
  <c r="AB695" i="2"/>
  <c r="AA695" i="2"/>
  <c r="Q695" i="2"/>
  <c r="P695" i="2"/>
  <c r="Z695" i="2" s="1"/>
  <c r="O695" i="2"/>
  <c r="N695" i="2"/>
  <c r="L695" i="2"/>
  <c r="X694" i="2"/>
  <c r="Q694" i="2"/>
  <c r="P694" i="2"/>
  <c r="O694" i="2"/>
  <c r="N694" i="2"/>
  <c r="T694" i="2" s="1"/>
  <c r="L694" i="2"/>
  <c r="AC693" i="2"/>
  <c r="AB693" i="2"/>
  <c r="AA693" i="2"/>
  <c r="Y693" i="2"/>
  <c r="W693" i="2"/>
  <c r="Q693" i="2"/>
  <c r="P693" i="2"/>
  <c r="Z693" i="2" s="1"/>
  <c r="O693" i="2"/>
  <c r="N693" i="2"/>
  <c r="T693" i="2" s="1"/>
  <c r="L693" i="2"/>
  <c r="AC692" i="2"/>
  <c r="AB692" i="2"/>
  <c r="AA692" i="2"/>
  <c r="X692" i="2"/>
  <c r="U692" i="2"/>
  <c r="Q692" i="2"/>
  <c r="P692" i="2"/>
  <c r="Z692" i="2" s="1"/>
  <c r="O692" i="2"/>
  <c r="N692" i="2"/>
  <c r="T692" i="2" s="1"/>
  <c r="Y692" i="2" s="1"/>
  <c r="L692" i="2"/>
  <c r="AC691" i="2"/>
  <c r="AB691" i="2"/>
  <c r="T691" i="2"/>
  <c r="Q691" i="2"/>
  <c r="P691" i="2"/>
  <c r="AA691" i="2" s="1"/>
  <c r="O691" i="2"/>
  <c r="N691" i="2"/>
  <c r="L691" i="2"/>
  <c r="AC690" i="2"/>
  <c r="AB690" i="2"/>
  <c r="AA690" i="2"/>
  <c r="Q690" i="2"/>
  <c r="T690" i="2" s="1"/>
  <c r="P690" i="2"/>
  <c r="Z690" i="2" s="1"/>
  <c r="O690" i="2"/>
  <c r="N690" i="2"/>
  <c r="L690" i="2"/>
  <c r="U689" i="2"/>
  <c r="Q689" i="2"/>
  <c r="T689" i="2" s="1"/>
  <c r="P689" i="2"/>
  <c r="O689" i="2"/>
  <c r="N689" i="2"/>
  <c r="L689" i="2"/>
  <c r="AA688" i="2"/>
  <c r="Y688" i="2"/>
  <c r="T688" i="2"/>
  <c r="Q688" i="2"/>
  <c r="P688" i="2"/>
  <c r="AC688" i="2" s="1"/>
  <c r="O688" i="2"/>
  <c r="N688" i="2"/>
  <c r="L688" i="2"/>
  <c r="Z687" i="2"/>
  <c r="Y687" i="2"/>
  <c r="Q687" i="2"/>
  <c r="P687" i="2"/>
  <c r="O687" i="2"/>
  <c r="N687" i="2"/>
  <c r="T687" i="2" s="1"/>
  <c r="L687" i="2"/>
  <c r="Z686" i="2"/>
  <c r="Q686" i="2"/>
  <c r="P686" i="2"/>
  <c r="O686" i="2"/>
  <c r="N686" i="2"/>
  <c r="L686" i="2"/>
  <c r="AC685" i="2"/>
  <c r="AB685" i="2"/>
  <c r="AA685" i="2"/>
  <c r="W685" i="2"/>
  <c r="Q685" i="2"/>
  <c r="P685" i="2"/>
  <c r="Z685" i="2" s="1"/>
  <c r="O685" i="2"/>
  <c r="N685" i="2"/>
  <c r="T685" i="2" s="1"/>
  <c r="U685" i="2" s="1"/>
  <c r="L685" i="2"/>
  <c r="AC684" i="2"/>
  <c r="AB684" i="2"/>
  <c r="AA684" i="2"/>
  <c r="X684" i="2"/>
  <c r="W684" i="2"/>
  <c r="V684" i="2"/>
  <c r="U684" i="2"/>
  <c r="Q684" i="2"/>
  <c r="P684" i="2"/>
  <c r="Z684" i="2" s="1"/>
  <c r="O684" i="2"/>
  <c r="N684" i="2"/>
  <c r="T684" i="2" s="1"/>
  <c r="Y684" i="2" s="1"/>
  <c r="L684" i="2"/>
  <c r="V683" i="2"/>
  <c r="U683" i="2"/>
  <c r="T683" i="2"/>
  <c r="W683" i="2" s="1"/>
  <c r="Q683" i="2"/>
  <c r="P683" i="2"/>
  <c r="O683" i="2"/>
  <c r="N683" i="2"/>
  <c r="L683" i="2"/>
  <c r="AC682" i="2"/>
  <c r="AB682" i="2"/>
  <c r="AA682" i="2"/>
  <c r="Y682" i="2"/>
  <c r="V682" i="2"/>
  <c r="Q682" i="2"/>
  <c r="P682" i="2"/>
  <c r="Z682" i="2" s="1"/>
  <c r="O682" i="2"/>
  <c r="T682" i="2" s="1"/>
  <c r="N682" i="2"/>
  <c r="L682" i="2"/>
  <c r="Q681" i="2"/>
  <c r="P681" i="2"/>
  <c r="AC681" i="2" s="1"/>
  <c r="O681" i="2"/>
  <c r="N681" i="2"/>
  <c r="L681" i="2"/>
  <c r="AB680" i="2"/>
  <c r="AA680" i="2"/>
  <c r="Y680" i="2"/>
  <c r="W680" i="2"/>
  <c r="Q680" i="2"/>
  <c r="T680" i="2" s="1"/>
  <c r="P680" i="2"/>
  <c r="AC680" i="2" s="1"/>
  <c r="O680" i="2"/>
  <c r="N680" i="2"/>
  <c r="L680" i="2"/>
  <c r="Z679" i="2"/>
  <c r="Q679" i="2"/>
  <c r="P679" i="2"/>
  <c r="AA679" i="2" s="1"/>
  <c r="O679" i="2"/>
  <c r="N679" i="2"/>
  <c r="T679" i="2" s="1"/>
  <c r="L679" i="2"/>
  <c r="W678" i="2"/>
  <c r="Q678" i="2"/>
  <c r="P678" i="2"/>
  <c r="O678" i="2"/>
  <c r="N678" i="2"/>
  <c r="T678" i="2" s="1"/>
  <c r="V678" i="2" s="1"/>
  <c r="L678" i="2"/>
  <c r="AC677" i="2"/>
  <c r="AB677" i="2"/>
  <c r="AA677" i="2"/>
  <c r="X677" i="2"/>
  <c r="Q677" i="2"/>
  <c r="P677" i="2"/>
  <c r="Z677" i="2" s="1"/>
  <c r="O677" i="2"/>
  <c r="N677" i="2"/>
  <c r="T677" i="2" s="1"/>
  <c r="Y677" i="2" s="1"/>
  <c r="L677" i="2"/>
  <c r="AC676" i="2"/>
  <c r="AB676" i="2"/>
  <c r="AA676" i="2"/>
  <c r="Q676" i="2"/>
  <c r="P676" i="2"/>
  <c r="Z676" i="2" s="1"/>
  <c r="O676" i="2"/>
  <c r="N676" i="2"/>
  <c r="L676" i="2"/>
  <c r="AC675" i="2"/>
  <c r="Z675" i="2"/>
  <c r="W675" i="2"/>
  <c r="V675" i="2"/>
  <c r="U675" i="2"/>
  <c r="T675" i="2"/>
  <c r="Q675" i="2"/>
  <c r="P675" i="2"/>
  <c r="O675" i="2"/>
  <c r="N675" i="2"/>
  <c r="L675" i="2"/>
  <c r="AC674" i="2"/>
  <c r="AB674" i="2"/>
  <c r="AA674" i="2"/>
  <c r="Q674" i="2"/>
  <c r="T674" i="2" s="1"/>
  <c r="P674" i="2"/>
  <c r="Z674" i="2" s="1"/>
  <c r="O674" i="2"/>
  <c r="N674" i="2"/>
  <c r="L674" i="2"/>
  <c r="Q673" i="2"/>
  <c r="P673" i="2"/>
  <c r="O673" i="2"/>
  <c r="N673" i="2"/>
  <c r="T673" i="2" s="1"/>
  <c r="L673" i="2"/>
  <c r="W672" i="2"/>
  <c r="Q672" i="2"/>
  <c r="T672" i="2" s="1"/>
  <c r="P672" i="2"/>
  <c r="O672" i="2"/>
  <c r="N672" i="2"/>
  <c r="L672" i="2"/>
  <c r="Z671" i="2"/>
  <c r="Q671" i="2"/>
  <c r="P671" i="2"/>
  <c r="AA671" i="2" s="1"/>
  <c r="O671" i="2"/>
  <c r="N671" i="2"/>
  <c r="L671" i="2"/>
  <c r="Z670" i="2"/>
  <c r="Q670" i="2"/>
  <c r="P670" i="2"/>
  <c r="O670" i="2"/>
  <c r="N670" i="2"/>
  <c r="T670" i="2" s="1"/>
  <c r="L670" i="2"/>
  <c r="AC669" i="2"/>
  <c r="AB669" i="2"/>
  <c r="AA669" i="2"/>
  <c r="X669" i="2"/>
  <c r="V669" i="2"/>
  <c r="T669" i="2"/>
  <c r="Q669" i="2"/>
  <c r="P669" i="2"/>
  <c r="Z669" i="2" s="1"/>
  <c r="O669" i="2"/>
  <c r="N669" i="2"/>
  <c r="L669" i="2"/>
  <c r="AC668" i="2"/>
  <c r="AB668" i="2"/>
  <c r="AA668" i="2"/>
  <c r="Q668" i="2"/>
  <c r="P668" i="2"/>
  <c r="Z668" i="2" s="1"/>
  <c r="O668" i="2"/>
  <c r="N668" i="2"/>
  <c r="L668" i="2"/>
  <c r="W667" i="2"/>
  <c r="U667" i="2"/>
  <c r="T667" i="2"/>
  <c r="Q667" i="2"/>
  <c r="P667" i="2"/>
  <c r="AA667" i="2" s="1"/>
  <c r="O667" i="2"/>
  <c r="N667" i="2"/>
  <c r="L667" i="2"/>
  <c r="AC666" i="2"/>
  <c r="AB666" i="2"/>
  <c r="AA666" i="2"/>
  <c r="Q666" i="2"/>
  <c r="T666" i="2" s="1"/>
  <c r="P666" i="2"/>
  <c r="Z666" i="2" s="1"/>
  <c r="O666" i="2"/>
  <c r="N666" i="2"/>
  <c r="L666" i="2"/>
  <c r="Z665" i="2"/>
  <c r="U665" i="2"/>
  <c r="T665" i="2"/>
  <c r="Q665" i="2"/>
  <c r="P665" i="2"/>
  <c r="AC665" i="2" s="1"/>
  <c r="O665" i="2"/>
  <c r="N665" i="2"/>
  <c r="L665" i="2"/>
  <c r="Q664" i="2"/>
  <c r="T664" i="2" s="1"/>
  <c r="P664" i="2"/>
  <c r="O664" i="2"/>
  <c r="N664" i="2"/>
  <c r="L664" i="2"/>
  <c r="Q663" i="2"/>
  <c r="P663" i="2"/>
  <c r="O663" i="2"/>
  <c r="N663" i="2"/>
  <c r="L663" i="2"/>
  <c r="Q662" i="2"/>
  <c r="P662" i="2"/>
  <c r="AC662" i="2" s="1"/>
  <c r="O662" i="2"/>
  <c r="N662" i="2"/>
  <c r="T662" i="2" s="1"/>
  <c r="L662" i="2"/>
  <c r="AC661" i="2"/>
  <c r="AB661" i="2"/>
  <c r="Q661" i="2"/>
  <c r="P661" i="2"/>
  <c r="AA661" i="2" s="1"/>
  <c r="O661" i="2"/>
  <c r="N661" i="2"/>
  <c r="L661" i="2"/>
  <c r="AC660" i="2"/>
  <c r="AB660" i="2"/>
  <c r="AA660" i="2"/>
  <c r="U660" i="2"/>
  <c r="Q660" i="2"/>
  <c r="P660" i="2"/>
  <c r="Z660" i="2" s="1"/>
  <c r="O660" i="2"/>
  <c r="N660" i="2"/>
  <c r="T660" i="2" s="1"/>
  <c r="X660" i="2" s="1"/>
  <c r="L660" i="2"/>
  <c r="AB659" i="2"/>
  <c r="Z659" i="2"/>
  <c r="T659" i="2"/>
  <c r="Q659" i="2"/>
  <c r="P659" i="2"/>
  <c r="AA659" i="2" s="1"/>
  <c r="O659" i="2"/>
  <c r="N659" i="2"/>
  <c r="L659" i="2"/>
  <c r="AC658" i="2"/>
  <c r="AB658" i="2"/>
  <c r="AA658" i="2"/>
  <c r="Y658" i="2"/>
  <c r="U658" i="2"/>
  <c r="T658" i="2"/>
  <c r="Q658" i="2"/>
  <c r="P658" i="2"/>
  <c r="Z658" i="2" s="1"/>
  <c r="O658" i="2"/>
  <c r="N658" i="2"/>
  <c r="L658" i="2"/>
  <c r="AB657" i="2"/>
  <c r="AA657" i="2"/>
  <c r="U657" i="2"/>
  <c r="T657" i="2"/>
  <c r="Q657" i="2"/>
  <c r="P657" i="2"/>
  <c r="O657" i="2"/>
  <c r="N657" i="2"/>
  <c r="L657" i="2"/>
  <c r="AA656" i="2"/>
  <c r="Z656" i="2"/>
  <c r="Q656" i="2"/>
  <c r="P656" i="2"/>
  <c r="AC656" i="2" s="1"/>
  <c r="O656" i="2"/>
  <c r="N656" i="2"/>
  <c r="L656" i="2"/>
  <c r="AA655" i="2"/>
  <c r="Z655" i="2"/>
  <c r="Q655" i="2"/>
  <c r="P655" i="2"/>
  <c r="O655" i="2"/>
  <c r="N655" i="2"/>
  <c r="T655" i="2" s="1"/>
  <c r="L655" i="2"/>
  <c r="Q654" i="2"/>
  <c r="P654" i="2"/>
  <c r="Z654" i="2" s="1"/>
  <c r="O654" i="2"/>
  <c r="N654" i="2"/>
  <c r="T654" i="2" s="1"/>
  <c r="W654" i="2" s="1"/>
  <c r="L654" i="2"/>
  <c r="AC653" i="2"/>
  <c r="AB653" i="2"/>
  <c r="AA653" i="2"/>
  <c r="T653" i="2"/>
  <c r="Q653" i="2"/>
  <c r="P653" i="2"/>
  <c r="Z653" i="2" s="1"/>
  <c r="O653" i="2"/>
  <c r="N653" i="2"/>
  <c r="L653" i="2"/>
  <c r="AA652" i="2"/>
  <c r="Z652" i="2"/>
  <c r="Q652" i="2"/>
  <c r="P652" i="2"/>
  <c r="AB652" i="2" s="1"/>
  <c r="O652" i="2"/>
  <c r="N652" i="2"/>
  <c r="L652" i="2"/>
  <c r="AC651" i="2"/>
  <c r="Q651" i="2"/>
  <c r="P651" i="2"/>
  <c r="O651" i="2"/>
  <c r="T651" i="2" s="1"/>
  <c r="N651" i="2"/>
  <c r="L651" i="2"/>
  <c r="AB650" i="2"/>
  <c r="AA650" i="2"/>
  <c r="Q650" i="2"/>
  <c r="T650" i="2" s="1"/>
  <c r="P650" i="2"/>
  <c r="Z650" i="2" s="1"/>
  <c r="O650" i="2"/>
  <c r="N650" i="2"/>
  <c r="L650" i="2"/>
  <c r="Q649" i="2"/>
  <c r="P649" i="2"/>
  <c r="AA649" i="2" s="1"/>
  <c r="O649" i="2"/>
  <c r="N649" i="2"/>
  <c r="L649" i="2"/>
  <c r="Y648" i="2"/>
  <c r="W648" i="2"/>
  <c r="V648" i="2"/>
  <c r="Q648" i="2"/>
  <c r="P648" i="2"/>
  <c r="Z648" i="2" s="1"/>
  <c r="O648" i="2"/>
  <c r="T648" i="2" s="1"/>
  <c r="N648" i="2"/>
  <c r="L648" i="2"/>
  <c r="AC647" i="2"/>
  <c r="AB647" i="2"/>
  <c r="AA647" i="2"/>
  <c r="Q647" i="2"/>
  <c r="P647" i="2"/>
  <c r="Z647" i="2" s="1"/>
  <c r="O647" i="2"/>
  <c r="N647" i="2"/>
  <c r="L647" i="2"/>
  <c r="AC646" i="2"/>
  <c r="AB646" i="2"/>
  <c r="T646" i="2"/>
  <c r="Q646" i="2"/>
  <c r="P646" i="2"/>
  <c r="AA646" i="2" s="1"/>
  <c r="O646" i="2"/>
  <c r="N646" i="2"/>
  <c r="L646" i="2"/>
  <c r="AC645" i="2"/>
  <c r="AB645" i="2"/>
  <c r="AA645" i="2"/>
  <c r="Q645" i="2"/>
  <c r="T645" i="2" s="1"/>
  <c r="P645" i="2"/>
  <c r="Z645" i="2" s="1"/>
  <c r="O645" i="2"/>
  <c r="N645" i="2"/>
  <c r="L645" i="2"/>
  <c r="Q644" i="2"/>
  <c r="P644" i="2"/>
  <c r="O644" i="2"/>
  <c r="N644" i="2"/>
  <c r="T644" i="2" s="1"/>
  <c r="V644" i="2" s="1"/>
  <c r="L644" i="2"/>
  <c r="T643" i="2"/>
  <c r="Q643" i="2"/>
  <c r="P643" i="2"/>
  <c r="AA643" i="2" s="1"/>
  <c r="O643" i="2"/>
  <c r="N643" i="2"/>
  <c r="L643" i="2"/>
  <c r="AB642" i="2"/>
  <c r="AA642" i="2"/>
  <c r="Y642" i="2"/>
  <c r="X642" i="2"/>
  <c r="T642" i="2"/>
  <c r="Q642" i="2"/>
  <c r="P642" i="2"/>
  <c r="Z642" i="2" s="1"/>
  <c r="O642" i="2"/>
  <c r="N642" i="2"/>
  <c r="L642" i="2"/>
  <c r="AA641" i="2"/>
  <c r="Z641" i="2"/>
  <c r="Q641" i="2"/>
  <c r="P641" i="2"/>
  <c r="O641" i="2"/>
  <c r="N641" i="2"/>
  <c r="T641" i="2" s="1"/>
  <c r="L641" i="2"/>
  <c r="Z640" i="2"/>
  <c r="Q640" i="2"/>
  <c r="P640" i="2"/>
  <c r="O640" i="2"/>
  <c r="T640" i="2" s="1"/>
  <c r="N640" i="2"/>
  <c r="L640" i="2"/>
  <c r="AC639" i="2"/>
  <c r="AB639" i="2"/>
  <c r="AA639" i="2"/>
  <c r="V639" i="2"/>
  <c r="U639" i="2"/>
  <c r="Q639" i="2"/>
  <c r="P639" i="2"/>
  <c r="Z639" i="2" s="1"/>
  <c r="O639" i="2"/>
  <c r="N639" i="2"/>
  <c r="T639" i="2" s="1"/>
  <c r="W639" i="2" s="1"/>
  <c r="L639" i="2"/>
  <c r="AC638" i="2"/>
  <c r="AB638" i="2"/>
  <c r="X638" i="2"/>
  <c r="Q638" i="2"/>
  <c r="P638" i="2"/>
  <c r="AA638" i="2" s="1"/>
  <c r="O638" i="2"/>
  <c r="N638" i="2"/>
  <c r="T638" i="2" s="1"/>
  <c r="L638" i="2"/>
  <c r="AC637" i="2"/>
  <c r="AB637" i="2"/>
  <c r="AA637" i="2"/>
  <c r="Q637" i="2"/>
  <c r="T637" i="2" s="1"/>
  <c r="P637" i="2"/>
  <c r="Z637" i="2" s="1"/>
  <c r="O637" i="2"/>
  <c r="N637" i="2"/>
  <c r="L637" i="2"/>
  <c r="AC636" i="2"/>
  <c r="Q636" i="2"/>
  <c r="P636" i="2"/>
  <c r="AB636" i="2" s="1"/>
  <c r="O636" i="2"/>
  <c r="N636" i="2"/>
  <c r="L636" i="2"/>
  <c r="AB635" i="2"/>
  <c r="Z635" i="2"/>
  <c r="Y635" i="2"/>
  <c r="U635" i="2"/>
  <c r="T635" i="2"/>
  <c r="Q635" i="2"/>
  <c r="P635" i="2"/>
  <c r="AA635" i="2" s="1"/>
  <c r="O635" i="2"/>
  <c r="N635" i="2"/>
  <c r="L635" i="2"/>
  <c r="AB634" i="2"/>
  <c r="AA634" i="2"/>
  <c r="Q634" i="2"/>
  <c r="P634" i="2"/>
  <c r="Z634" i="2" s="1"/>
  <c r="O634" i="2"/>
  <c r="N634" i="2"/>
  <c r="L634" i="2"/>
  <c r="Q633" i="2"/>
  <c r="P633" i="2"/>
  <c r="O633" i="2"/>
  <c r="N633" i="2"/>
  <c r="L633" i="2"/>
  <c r="V632" i="2"/>
  <c r="Q632" i="2"/>
  <c r="P632" i="2"/>
  <c r="Z632" i="2" s="1"/>
  <c r="O632" i="2"/>
  <c r="T632" i="2" s="1"/>
  <c r="Y632" i="2" s="1"/>
  <c r="N632" i="2"/>
  <c r="L632" i="2"/>
  <c r="AC631" i="2"/>
  <c r="AB631" i="2"/>
  <c r="AA631" i="2"/>
  <c r="Y631" i="2"/>
  <c r="Q631" i="2"/>
  <c r="P631" i="2"/>
  <c r="Z631" i="2" s="1"/>
  <c r="O631" i="2"/>
  <c r="N631" i="2"/>
  <c r="T631" i="2" s="1"/>
  <c r="L631" i="2"/>
  <c r="AC630" i="2"/>
  <c r="AB630" i="2"/>
  <c r="Q630" i="2"/>
  <c r="P630" i="2"/>
  <c r="AA630" i="2" s="1"/>
  <c r="O630" i="2"/>
  <c r="N630" i="2"/>
  <c r="T630" i="2" s="1"/>
  <c r="L630" i="2"/>
  <c r="AC629" i="2"/>
  <c r="AB629" i="2"/>
  <c r="AA629" i="2"/>
  <c r="Q629" i="2"/>
  <c r="T629" i="2" s="1"/>
  <c r="P629" i="2"/>
  <c r="Z629" i="2" s="1"/>
  <c r="O629" i="2"/>
  <c r="N629" i="2"/>
  <c r="L629" i="2"/>
  <c r="AC628" i="2"/>
  <c r="AA628" i="2"/>
  <c r="Z628" i="2"/>
  <c r="Q628" i="2"/>
  <c r="P628" i="2"/>
  <c r="AB628" i="2" s="1"/>
  <c r="O628" i="2"/>
  <c r="N628" i="2"/>
  <c r="T628" i="2" s="1"/>
  <c r="L628" i="2"/>
  <c r="AB627" i="2"/>
  <c r="T627" i="2"/>
  <c r="Q627" i="2"/>
  <c r="P627" i="2"/>
  <c r="AA627" i="2" s="1"/>
  <c r="O627" i="2"/>
  <c r="N627" i="2"/>
  <c r="L627" i="2"/>
  <c r="AB626" i="2"/>
  <c r="AA626" i="2"/>
  <c r="Y626" i="2"/>
  <c r="X626" i="2"/>
  <c r="T626" i="2"/>
  <c r="Q626" i="2"/>
  <c r="P626" i="2"/>
  <c r="Z626" i="2" s="1"/>
  <c r="O626" i="2"/>
  <c r="N626" i="2"/>
  <c r="L626" i="2"/>
  <c r="Q625" i="2"/>
  <c r="P625" i="2"/>
  <c r="O625" i="2"/>
  <c r="N625" i="2"/>
  <c r="T625" i="2" s="1"/>
  <c r="X625" i="2" s="1"/>
  <c r="L625" i="2"/>
  <c r="V624" i="2"/>
  <c r="T624" i="2"/>
  <c r="Q624" i="2"/>
  <c r="P624" i="2"/>
  <c r="AB624" i="2" s="1"/>
  <c r="O624" i="2"/>
  <c r="N624" i="2"/>
  <c r="L624" i="2"/>
  <c r="AC623" i="2"/>
  <c r="AB623" i="2"/>
  <c r="AA623" i="2"/>
  <c r="Q623" i="2"/>
  <c r="P623" i="2"/>
  <c r="Z623" i="2" s="1"/>
  <c r="O623" i="2"/>
  <c r="N623" i="2"/>
  <c r="L623" i="2"/>
  <c r="T622" i="2"/>
  <c r="Q622" i="2"/>
  <c r="P622" i="2"/>
  <c r="AA622" i="2" s="1"/>
  <c r="O622" i="2"/>
  <c r="N622" i="2"/>
  <c r="L622" i="2"/>
  <c r="AC621" i="2"/>
  <c r="AB621" i="2"/>
  <c r="AA621" i="2"/>
  <c r="Q621" i="2"/>
  <c r="P621" i="2"/>
  <c r="Z621" i="2" s="1"/>
  <c r="O621" i="2"/>
  <c r="T621" i="2" s="1"/>
  <c r="N621" i="2"/>
  <c r="L621" i="2"/>
  <c r="AC620" i="2"/>
  <c r="Q620" i="2"/>
  <c r="P620" i="2"/>
  <c r="AB620" i="2" s="1"/>
  <c r="O620" i="2"/>
  <c r="N620" i="2"/>
  <c r="L620" i="2"/>
  <c r="Z619" i="2"/>
  <c r="Y619" i="2"/>
  <c r="W619" i="2"/>
  <c r="U619" i="2"/>
  <c r="T619" i="2"/>
  <c r="Q619" i="2"/>
  <c r="P619" i="2"/>
  <c r="AA619" i="2" s="1"/>
  <c r="O619" i="2"/>
  <c r="N619" i="2"/>
  <c r="L619" i="2"/>
  <c r="AB618" i="2"/>
  <c r="AA618" i="2"/>
  <c r="Q618" i="2"/>
  <c r="P618" i="2"/>
  <c r="Z618" i="2" s="1"/>
  <c r="O618" i="2"/>
  <c r="N618" i="2"/>
  <c r="L618" i="2"/>
  <c r="AC617" i="2"/>
  <c r="Q617" i="2"/>
  <c r="P617" i="2"/>
  <c r="AB617" i="2" s="1"/>
  <c r="O617" i="2"/>
  <c r="N617" i="2"/>
  <c r="L617" i="2"/>
  <c r="AB616" i="2"/>
  <c r="Z616" i="2"/>
  <c r="Q616" i="2"/>
  <c r="P616" i="2"/>
  <c r="O616" i="2"/>
  <c r="T616" i="2" s="1"/>
  <c r="N616" i="2"/>
  <c r="L616" i="2"/>
  <c r="AC615" i="2"/>
  <c r="AB615" i="2"/>
  <c r="AA615" i="2"/>
  <c r="Q615" i="2"/>
  <c r="P615" i="2"/>
  <c r="Z615" i="2" s="1"/>
  <c r="O615" i="2"/>
  <c r="N615" i="2"/>
  <c r="L615" i="2"/>
  <c r="AB614" i="2"/>
  <c r="Z614" i="2"/>
  <c r="Q614" i="2"/>
  <c r="P614" i="2"/>
  <c r="AA614" i="2" s="1"/>
  <c r="O614" i="2"/>
  <c r="N614" i="2"/>
  <c r="T614" i="2" s="1"/>
  <c r="L614" i="2"/>
  <c r="AC613" i="2"/>
  <c r="AB613" i="2"/>
  <c r="AA613" i="2"/>
  <c r="V613" i="2"/>
  <c r="T613" i="2"/>
  <c r="Q613" i="2"/>
  <c r="P613" i="2"/>
  <c r="Z613" i="2" s="1"/>
  <c r="O613" i="2"/>
  <c r="N613" i="2"/>
  <c r="L613" i="2"/>
  <c r="AA612" i="2"/>
  <c r="Z612" i="2"/>
  <c r="X612" i="2"/>
  <c r="V612" i="2"/>
  <c r="Q612" i="2"/>
  <c r="P612" i="2"/>
  <c r="AB612" i="2" s="1"/>
  <c r="O612" i="2"/>
  <c r="N612" i="2"/>
  <c r="T612" i="2" s="1"/>
  <c r="L612" i="2"/>
  <c r="T611" i="2"/>
  <c r="Q611" i="2"/>
  <c r="P611" i="2"/>
  <c r="AC611" i="2" s="1"/>
  <c r="O611" i="2"/>
  <c r="N611" i="2"/>
  <c r="L611" i="2"/>
  <c r="AB610" i="2"/>
  <c r="AA610" i="2"/>
  <c r="Y610" i="2"/>
  <c r="X610" i="2"/>
  <c r="V610" i="2"/>
  <c r="T610" i="2"/>
  <c r="Q610" i="2"/>
  <c r="P610" i="2"/>
  <c r="Z610" i="2" s="1"/>
  <c r="O610" i="2"/>
  <c r="N610" i="2"/>
  <c r="L610" i="2"/>
  <c r="AC609" i="2"/>
  <c r="AA609" i="2"/>
  <c r="Q609" i="2"/>
  <c r="P609" i="2"/>
  <c r="O609" i="2"/>
  <c r="N609" i="2"/>
  <c r="T609" i="2" s="1"/>
  <c r="L609" i="2"/>
  <c r="V608" i="2"/>
  <c r="T608" i="2"/>
  <c r="Q608" i="2"/>
  <c r="P608" i="2"/>
  <c r="O608" i="2"/>
  <c r="N608" i="2"/>
  <c r="L608" i="2"/>
  <c r="AC607" i="2"/>
  <c r="AB607" i="2"/>
  <c r="AA607" i="2"/>
  <c r="Q607" i="2"/>
  <c r="P607" i="2"/>
  <c r="Z607" i="2" s="1"/>
  <c r="O607" i="2"/>
  <c r="N607" i="2"/>
  <c r="L607" i="2"/>
  <c r="AB606" i="2"/>
  <c r="U606" i="2"/>
  <c r="T606" i="2"/>
  <c r="Q606" i="2"/>
  <c r="P606" i="2"/>
  <c r="O606" i="2"/>
  <c r="N606" i="2"/>
  <c r="L606" i="2"/>
  <c r="AC605" i="2"/>
  <c r="AB605" i="2"/>
  <c r="AA605" i="2"/>
  <c r="Q605" i="2"/>
  <c r="T605" i="2" s="1"/>
  <c r="P605" i="2"/>
  <c r="Z605" i="2" s="1"/>
  <c r="O605" i="2"/>
  <c r="N605" i="2"/>
  <c r="L605" i="2"/>
  <c r="AA604" i="2"/>
  <c r="Z604" i="2"/>
  <c r="V604" i="2"/>
  <c r="T604" i="2"/>
  <c r="Q604" i="2"/>
  <c r="P604" i="2"/>
  <c r="AC604" i="2" s="1"/>
  <c r="O604" i="2"/>
  <c r="N604" i="2"/>
  <c r="L604" i="2"/>
  <c r="AA603" i="2"/>
  <c r="X603" i="2"/>
  <c r="T603" i="2"/>
  <c r="Q603" i="2"/>
  <c r="P603" i="2"/>
  <c r="AC603" i="2" s="1"/>
  <c r="O603" i="2"/>
  <c r="N603" i="2"/>
  <c r="L603" i="2"/>
  <c r="Z602" i="2"/>
  <c r="X602" i="2"/>
  <c r="Q602" i="2"/>
  <c r="P602" i="2"/>
  <c r="O602" i="2"/>
  <c r="T602" i="2" s="1"/>
  <c r="N602" i="2"/>
  <c r="L602" i="2"/>
  <c r="Z601" i="2"/>
  <c r="Q601" i="2"/>
  <c r="P601" i="2"/>
  <c r="AB601" i="2" s="1"/>
  <c r="O601" i="2"/>
  <c r="N601" i="2"/>
  <c r="T601" i="2" s="1"/>
  <c r="L601" i="2"/>
  <c r="W600" i="2"/>
  <c r="V600" i="2"/>
  <c r="U600" i="2"/>
  <c r="T600" i="2"/>
  <c r="Q600" i="2"/>
  <c r="P600" i="2"/>
  <c r="O600" i="2"/>
  <c r="N600" i="2"/>
  <c r="L600" i="2"/>
  <c r="AC599" i="2"/>
  <c r="AB599" i="2"/>
  <c r="AA599" i="2"/>
  <c r="X599" i="2"/>
  <c r="U599" i="2"/>
  <c r="T599" i="2"/>
  <c r="Q599" i="2"/>
  <c r="P599" i="2"/>
  <c r="Z599" i="2" s="1"/>
  <c r="O599" i="2"/>
  <c r="N599" i="2"/>
  <c r="L599" i="2"/>
  <c r="AB598" i="2"/>
  <c r="AA598" i="2"/>
  <c r="Z598" i="2"/>
  <c r="Q598" i="2"/>
  <c r="P598" i="2"/>
  <c r="AC598" i="2" s="1"/>
  <c r="O598" i="2"/>
  <c r="N598" i="2"/>
  <c r="T598" i="2" s="1"/>
  <c r="V598" i="2" s="1"/>
  <c r="L598" i="2"/>
  <c r="AC597" i="2"/>
  <c r="Z597" i="2"/>
  <c r="Q597" i="2"/>
  <c r="P597" i="2"/>
  <c r="AB597" i="2" s="1"/>
  <c r="O597" i="2"/>
  <c r="T597" i="2" s="1"/>
  <c r="Y597" i="2" s="1"/>
  <c r="N597" i="2"/>
  <c r="L597" i="2"/>
  <c r="AC596" i="2"/>
  <c r="V596" i="2"/>
  <c r="U596" i="2"/>
  <c r="T596" i="2"/>
  <c r="Q596" i="2"/>
  <c r="P596" i="2"/>
  <c r="O596" i="2"/>
  <c r="N596" i="2"/>
  <c r="L596" i="2"/>
  <c r="AC595" i="2"/>
  <c r="AB595" i="2"/>
  <c r="AA595" i="2"/>
  <c r="U595" i="2"/>
  <c r="T595" i="2"/>
  <c r="Q595" i="2"/>
  <c r="P595" i="2"/>
  <c r="Z595" i="2" s="1"/>
  <c r="O595" i="2"/>
  <c r="N595" i="2"/>
  <c r="L595" i="2"/>
  <c r="Z594" i="2"/>
  <c r="Q594" i="2"/>
  <c r="P594" i="2"/>
  <c r="O594" i="2"/>
  <c r="N594" i="2"/>
  <c r="L594" i="2"/>
  <c r="AA593" i="2"/>
  <c r="Q593" i="2"/>
  <c r="P593" i="2"/>
  <c r="O593" i="2"/>
  <c r="N593" i="2"/>
  <c r="L593" i="2"/>
  <c r="AB592" i="2"/>
  <c r="Z592" i="2"/>
  <c r="Q592" i="2"/>
  <c r="P592" i="2"/>
  <c r="AA592" i="2" s="1"/>
  <c r="O592" i="2"/>
  <c r="N592" i="2"/>
  <c r="T592" i="2" s="1"/>
  <c r="L592" i="2"/>
  <c r="AC591" i="2"/>
  <c r="AB591" i="2"/>
  <c r="AA591" i="2"/>
  <c r="Q591" i="2"/>
  <c r="P591" i="2"/>
  <c r="Z591" i="2" s="1"/>
  <c r="O591" i="2"/>
  <c r="N591" i="2"/>
  <c r="L591" i="2"/>
  <c r="AC590" i="2"/>
  <c r="Z590" i="2"/>
  <c r="W590" i="2"/>
  <c r="V590" i="2"/>
  <c r="T590" i="2"/>
  <c r="Q590" i="2"/>
  <c r="P590" i="2"/>
  <c r="AB590" i="2" s="1"/>
  <c r="O590" i="2"/>
  <c r="N590" i="2"/>
  <c r="L590" i="2"/>
  <c r="AC589" i="2"/>
  <c r="AA589" i="2"/>
  <c r="T589" i="2"/>
  <c r="Q589" i="2"/>
  <c r="P589" i="2"/>
  <c r="O589" i="2"/>
  <c r="N589" i="2"/>
  <c r="L589" i="2"/>
  <c r="AB588" i="2"/>
  <c r="AA588" i="2"/>
  <c r="T588" i="2"/>
  <c r="Q588" i="2"/>
  <c r="P588" i="2"/>
  <c r="Z588" i="2" s="1"/>
  <c r="O588" i="2"/>
  <c r="N588" i="2"/>
  <c r="L588" i="2"/>
  <c r="Z587" i="2"/>
  <c r="Q587" i="2"/>
  <c r="P587" i="2"/>
  <c r="O587" i="2"/>
  <c r="N587" i="2"/>
  <c r="L587" i="2"/>
  <c r="AB586" i="2"/>
  <c r="Q586" i="2"/>
  <c r="P586" i="2"/>
  <c r="AC586" i="2" s="1"/>
  <c r="O586" i="2"/>
  <c r="N586" i="2"/>
  <c r="L586" i="2"/>
  <c r="Y585" i="2"/>
  <c r="V585" i="2"/>
  <c r="Q585" i="2"/>
  <c r="P585" i="2"/>
  <c r="O585" i="2"/>
  <c r="N585" i="2"/>
  <c r="T585" i="2" s="1"/>
  <c r="L585" i="2"/>
  <c r="AB584" i="2"/>
  <c r="Z584" i="2"/>
  <c r="V584" i="2"/>
  <c r="Q584" i="2"/>
  <c r="P584" i="2"/>
  <c r="O584" i="2"/>
  <c r="N584" i="2"/>
  <c r="T584" i="2" s="1"/>
  <c r="L584" i="2"/>
  <c r="AC583" i="2"/>
  <c r="AB583" i="2"/>
  <c r="AA583" i="2"/>
  <c r="Q583" i="2"/>
  <c r="P583" i="2"/>
  <c r="Z583" i="2" s="1"/>
  <c r="O583" i="2"/>
  <c r="N583" i="2"/>
  <c r="T583" i="2" s="1"/>
  <c r="V583" i="2" s="1"/>
  <c r="L583" i="2"/>
  <c r="AA582" i="2"/>
  <c r="W582" i="2"/>
  <c r="T582" i="2"/>
  <c r="Q582" i="2"/>
  <c r="P582" i="2"/>
  <c r="AC582" i="2" s="1"/>
  <c r="O582" i="2"/>
  <c r="N582" i="2"/>
  <c r="L582" i="2"/>
  <c r="AA581" i="2"/>
  <c r="Y581" i="2"/>
  <c r="Q581" i="2"/>
  <c r="T581" i="2" s="1"/>
  <c r="P581" i="2"/>
  <c r="O581" i="2"/>
  <c r="N581" i="2"/>
  <c r="L581" i="2"/>
  <c r="AB580" i="2"/>
  <c r="AA580" i="2"/>
  <c r="Z580" i="2"/>
  <c r="Q580" i="2"/>
  <c r="P580" i="2"/>
  <c r="AC580" i="2" s="1"/>
  <c r="O580" i="2"/>
  <c r="N580" i="2"/>
  <c r="L580" i="2"/>
  <c r="AC579" i="2"/>
  <c r="Z579" i="2"/>
  <c r="T579" i="2"/>
  <c r="Q579" i="2"/>
  <c r="P579" i="2"/>
  <c r="AB579" i="2" s="1"/>
  <c r="O579" i="2"/>
  <c r="N579" i="2"/>
  <c r="L579" i="2"/>
  <c r="AB578" i="2"/>
  <c r="Z578" i="2"/>
  <c r="W578" i="2"/>
  <c r="V578" i="2"/>
  <c r="Q578" i="2"/>
  <c r="P578" i="2"/>
  <c r="AC578" i="2" s="1"/>
  <c r="O578" i="2"/>
  <c r="T578" i="2" s="1"/>
  <c r="N578" i="2"/>
  <c r="L578" i="2"/>
  <c r="AC577" i="2"/>
  <c r="AA577" i="2"/>
  <c r="Z577" i="2"/>
  <c r="Q577" i="2"/>
  <c r="P577" i="2"/>
  <c r="AB577" i="2" s="1"/>
  <c r="O577" i="2"/>
  <c r="N577" i="2"/>
  <c r="L577" i="2"/>
  <c r="AC576" i="2"/>
  <c r="X576" i="2"/>
  <c r="W576" i="2"/>
  <c r="Q576" i="2"/>
  <c r="P576" i="2"/>
  <c r="AA576" i="2" s="1"/>
  <c r="O576" i="2"/>
  <c r="N576" i="2"/>
  <c r="T576" i="2" s="1"/>
  <c r="L576" i="2"/>
  <c r="V575" i="2"/>
  <c r="U575" i="2"/>
  <c r="T575" i="2"/>
  <c r="Q575" i="2"/>
  <c r="P575" i="2"/>
  <c r="AC575" i="2" s="1"/>
  <c r="O575" i="2"/>
  <c r="N575" i="2"/>
  <c r="L575" i="2"/>
  <c r="AC574" i="2"/>
  <c r="AB574" i="2"/>
  <c r="AA574" i="2"/>
  <c r="Q574" i="2"/>
  <c r="P574" i="2"/>
  <c r="Z574" i="2" s="1"/>
  <c r="O574" i="2"/>
  <c r="T574" i="2" s="1"/>
  <c r="N574" i="2"/>
  <c r="L574" i="2"/>
  <c r="X573" i="2"/>
  <c r="U573" i="2"/>
  <c r="T573" i="2"/>
  <c r="Q573" i="2"/>
  <c r="P573" i="2"/>
  <c r="O573" i="2"/>
  <c r="N573" i="2"/>
  <c r="L573" i="2"/>
  <c r="AB572" i="2"/>
  <c r="AA572" i="2"/>
  <c r="Z572" i="2"/>
  <c r="T572" i="2"/>
  <c r="Q572" i="2"/>
  <c r="P572" i="2"/>
  <c r="AC572" i="2" s="1"/>
  <c r="O572" i="2"/>
  <c r="N572" i="2"/>
  <c r="L572" i="2"/>
  <c r="Q571" i="2"/>
  <c r="P571" i="2"/>
  <c r="Z571" i="2" s="1"/>
  <c r="O571" i="2"/>
  <c r="N571" i="2"/>
  <c r="L571" i="2"/>
  <c r="Q570" i="2"/>
  <c r="P570" i="2"/>
  <c r="AC570" i="2" s="1"/>
  <c r="O570" i="2"/>
  <c r="N570" i="2"/>
  <c r="L570" i="2"/>
  <c r="AC569" i="2"/>
  <c r="AB569" i="2"/>
  <c r="V569" i="2"/>
  <c r="Q569" i="2"/>
  <c r="P569" i="2"/>
  <c r="AA569" i="2" s="1"/>
  <c r="O569" i="2"/>
  <c r="N569" i="2"/>
  <c r="T569" i="2" s="1"/>
  <c r="W569" i="2" s="1"/>
  <c r="L569" i="2"/>
  <c r="AC568" i="2"/>
  <c r="AB568" i="2"/>
  <c r="AA568" i="2"/>
  <c r="Q568" i="2"/>
  <c r="P568" i="2"/>
  <c r="Z568" i="2" s="1"/>
  <c r="O568" i="2"/>
  <c r="N568" i="2"/>
  <c r="L568" i="2"/>
  <c r="AC567" i="2"/>
  <c r="W567" i="2"/>
  <c r="V567" i="2"/>
  <c r="U567" i="2"/>
  <c r="T567" i="2"/>
  <c r="Q567" i="2"/>
  <c r="P567" i="2"/>
  <c r="O567" i="2"/>
  <c r="N567" i="2"/>
  <c r="L567" i="2"/>
  <c r="AC566" i="2"/>
  <c r="AB566" i="2"/>
  <c r="AA566" i="2"/>
  <c r="U566" i="2"/>
  <c r="Q566" i="2"/>
  <c r="T566" i="2" s="1"/>
  <c r="P566" i="2"/>
  <c r="Z566" i="2" s="1"/>
  <c r="O566" i="2"/>
  <c r="N566" i="2"/>
  <c r="L566" i="2"/>
  <c r="Q565" i="2"/>
  <c r="P565" i="2"/>
  <c r="AC565" i="2" s="1"/>
  <c r="O565" i="2"/>
  <c r="N565" i="2"/>
  <c r="T565" i="2" s="1"/>
  <c r="L565" i="2"/>
  <c r="AA564" i="2"/>
  <c r="Q564" i="2"/>
  <c r="P564" i="2"/>
  <c r="AB564" i="2" s="1"/>
  <c r="O564" i="2"/>
  <c r="N564" i="2"/>
  <c r="L564" i="2"/>
  <c r="AA563" i="2"/>
  <c r="Z563" i="2"/>
  <c r="Q563" i="2"/>
  <c r="P563" i="2"/>
  <c r="O563" i="2"/>
  <c r="N563" i="2"/>
  <c r="L563" i="2"/>
  <c r="Z562" i="2"/>
  <c r="Q562" i="2"/>
  <c r="P562" i="2"/>
  <c r="O562" i="2"/>
  <c r="N562" i="2"/>
  <c r="T562" i="2" s="1"/>
  <c r="L562" i="2"/>
  <c r="AC561" i="2"/>
  <c r="AB561" i="2"/>
  <c r="Q561" i="2"/>
  <c r="P561" i="2"/>
  <c r="AA561" i="2" s="1"/>
  <c r="O561" i="2"/>
  <c r="N561" i="2"/>
  <c r="L561" i="2"/>
  <c r="AC560" i="2"/>
  <c r="AB560" i="2"/>
  <c r="AA560" i="2"/>
  <c r="Q560" i="2"/>
  <c r="T560" i="2" s="1"/>
  <c r="P560" i="2"/>
  <c r="Z560" i="2" s="1"/>
  <c r="O560" i="2"/>
  <c r="N560" i="2"/>
  <c r="L560" i="2"/>
  <c r="AC559" i="2"/>
  <c r="AA559" i="2"/>
  <c r="Z559" i="2"/>
  <c r="W559" i="2"/>
  <c r="T559" i="2"/>
  <c r="Q559" i="2"/>
  <c r="P559" i="2"/>
  <c r="AB559" i="2" s="1"/>
  <c r="O559" i="2"/>
  <c r="N559" i="2"/>
  <c r="L559" i="2"/>
  <c r="AC558" i="2"/>
  <c r="AA558" i="2"/>
  <c r="Z558" i="2"/>
  <c r="T558" i="2"/>
  <c r="Q558" i="2"/>
  <c r="P558" i="2"/>
  <c r="AB558" i="2" s="1"/>
  <c r="O558" i="2"/>
  <c r="N558" i="2"/>
  <c r="L558" i="2"/>
  <c r="AB557" i="2"/>
  <c r="AA557" i="2"/>
  <c r="Q557" i="2"/>
  <c r="P557" i="2"/>
  <c r="O557" i="2"/>
  <c r="N557" i="2"/>
  <c r="T557" i="2" s="1"/>
  <c r="L557" i="2"/>
  <c r="Q556" i="2"/>
  <c r="P556" i="2"/>
  <c r="O556" i="2"/>
  <c r="N556" i="2"/>
  <c r="L556" i="2"/>
  <c r="AA555" i="2"/>
  <c r="Z555" i="2"/>
  <c r="Q555" i="2"/>
  <c r="P555" i="2"/>
  <c r="O555" i="2"/>
  <c r="N555" i="2"/>
  <c r="L555" i="2"/>
  <c r="Z554" i="2"/>
  <c r="U554" i="2"/>
  <c r="Q554" i="2"/>
  <c r="P554" i="2"/>
  <c r="O554" i="2"/>
  <c r="N554" i="2"/>
  <c r="T554" i="2" s="1"/>
  <c r="Y554" i="2" s="1"/>
  <c r="L554" i="2"/>
  <c r="W553" i="2"/>
  <c r="V553" i="2"/>
  <c r="T553" i="2"/>
  <c r="Y553" i="2" s="1"/>
  <c r="Q553" i="2"/>
  <c r="P553" i="2"/>
  <c r="AB553" i="2" s="1"/>
  <c r="O553" i="2"/>
  <c r="N553" i="2"/>
  <c r="L553" i="2"/>
  <c r="AC552" i="2"/>
  <c r="Z552" i="2"/>
  <c r="Q552" i="2"/>
  <c r="T552" i="2" s="1"/>
  <c r="P552" i="2"/>
  <c r="O552" i="2"/>
  <c r="N552" i="2"/>
  <c r="L552" i="2"/>
  <c r="AC551" i="2"/>
  <c r="AB551" i="2"/>
  <c r="X551" i="2"/>
  <c r="Q551" i="2"/>
  <c r="P551" i="2"/>
  <c r="AA551" i="2" s="1"/>
  <c r="O551" i="2"/>
  <c r="N551" i="2"/>
  <c r="T551" i="2" s="1"/>
  <c r="L551" i="2"/>
  <c r="AB550" i="2"/>
  <c r="AA550" i="2"/>
  <c r="T550" i="2"/>
  <c r="Q550" i="2"/>
  <c r="P550" i="2"/>
  <c r="AC550" i="2" s="1"/>
  <c r="O550" i="2"/>
  <c r="N550" i="2"/>
  <c r="L550" i="2"/>
  <c r="Z549" i="2"/>
  <c r="Q549" i="2"/>
  <c r="P549" i="2"/>
  <c r="AA549" i="2" s="1"/>
  <c r="O549" i="2"/>
  <c r="N549" i="2"/>
  <c r="L549" i="2"/>
  <c r="AC548" i="2"/>
  <c r="Z548" i="2"/>
  <c r="Q548" i="2"/>
  <c r="P548" i="2"/>
  <c r="O548" i="2"/>
  <c r="N548" i="2"/>
  <c r="T548" i="2" s="1"/>
  <c r="L548" i="2"/>
  <c r="AC547" i="2"/>
  <c r="AB547" i="2"/>
  <c r="AA547" i="2"/>
  <c r="T547" i="2"/>
  <c r="Q547" i="2"/>
  <c r="P547" i="2"/>
  <c r="Z547" i="2" s="1"/>
  <c r="O547" i="2"/>
  <c r="N547" i="2"/>
  <c r="L547" i="2"/>
  <c r="AC546" i="2"/>
  <c r="AB546" i="2"/>
  <c r="AA546" i="2"/>
  <c r="Q546" i="2"/>
  <c r="T546" i="2" s="1"/>
  <c r="P546" i="2"/>
  <c r="Z546" i="2" s="1"/>
  <c r="O546" i="2"/>
  <c r="N546" i="2"/>
  <c r="L546" i="2"/>
  <c r="AA545" i="2"/>
  <c r="Z545" i="2"/>
  <c r="Q545" i="2"/>
  <c r="T545" i="2" s="1"/>
  <c r="P545" i="2"/>
  <c r="O545" i="2"/>
  <c r="N545" i="2"/>
  <c r="L545" i="2"/>
  <c r="Q544" i="2"/>
  <c r="P544" i="2"/>
  <c r="O544" i="2"/>
  <c r="N544" i="2"/>
  <c r="L544" i="2"/>
  <c r="AC543" i="2"/>
  <c r="AB543" i="2"/>
  <c r="U543" i="2"/>
  <c r="T543" i="2"/>
  <c r="Q543" i="2"/>
  <c r="P543" i="2"/>
  <c r="AA543" i="2" s="1"/>
  <c r="O543" i="2"/>
  <c r="N543" i="2"/>
  <c r="L543" i="2"/>
  <c r="AB542" i="2"/>
  <c r="AA542" i="2"/>
  <c r="Q542" i="2"/>
  <c r="T542" i="2" s="1"/>
  <c r="P542" i="2"/>
  <c r="AC542" i="2" s="1"/>
  <c r="O542" i="2"/>
  <c r="N542" i="2"/>
  <c r="L542" i="2"/>
  <c r="AA541" i="2"/>
  <c r="Z541" i="2"/>
  <c r="Q541" i="2"/>
  <c r="P541" i="2"/>
  <c r="O541" i="2"/>
  <c r="N541" i="2"/>
  <c r="T541" i="2" s="1"/>
  <c r="L541" i="2"/>
  <c r="Q540" i="2"/>
  <c r="P540" i="2"/>
  <c r="O540" i="2"/>
  <c r="N540" i="2"/>
  <c r="L540" i="2"/>
  <c r="AC539" i="2"/>
  <c r="AB539" i="2"/>
  <c r="AA539" i="2"/>
  <c r="X539" i="2"/>
  <c r="U539" i="2"/>
  <c r="Q539" i="2"/>
  <c r="P539" i="2"/>
  <c r="Z539" i="2" s="1"/>
  <c r="O539" i="2"/>
  <c r="T539" i="2" s="1"/>
  <c r="N539" i="2"/>
  <c r="L539" i="2"/>
  <c r="AC538" i="2"/>
  <c r="AB538" i="2"/>
  <c r="AA538" i="2"/>
  <c r="T538" i="2"/>
  <c r="Q538" i="2"/>
  <c r="P538" i="2"/>
  <c r="Z538" i="2" s="1"/>
  <c r="O538" i="2"/>
  <c r="N538" i="2"/>
  <c r="L538" i="2"/>
  <c r="W537" i="2"/>
  <c r="V537" i="2"/>
  <c r="Q537" i="2"/>
  <c r="T537" i="2" s="1"/>
  <c r="P537" i="2"/>
  <c r="O537" i="2"/>
  <c r="N537" i="2"/>
  <c r="L537" i="2"/>
  <c r="AC536" i="2"/>
  <c r="Z536" i="2"/>
  <c r="U536" i="2"/>
  <c r="Q536" i="2"/>
  <c r="T536" i="2" s="1"/>
  <c r="P536" i="2"/>
  <c r="O536" i="2"/>
  <c r="N536" i="2"/>
  <c r="L536" i="2"/>
  <c r="AC535" i="2"/>
  <c r="AB535" i="2"/>
  <c r="Y535" i="2"/>
  <c r="X535" i="2"/>
  <c r="T535" i="2"/>
  <c r="Q535" i="2"/>
  <c r="P535" i="2"/>
  <c r="AA535" i="2" s="1"/>
  <c r="O535" i="2"/>
  <c r="N535" i="2"/>
  <c r="L535" i="2"/>
  <c r="AB534" i="2"/>
  <c r="AA534" i="2"/>
  <c r="T534" i="2"/>
  <c r="Q534" i="2"/>
  <c r="P534" i="2"/>
  <c r="AC534" i="2" s="1"/>
  <c r="O534" i="2"/>
  <c r="N534" i="2"/>
  <c r="L534" i="2"/>
  <c r="W533" i="2"/>
  <c r="Q533" i="2"/>
  <c r="P533" i="2"/>
  <c r="O533" i="2"/>
  <c r="N533" i="2"/>
  <c r="T533" i="2" s="1"/>
  <c r="V533" i="2" s="1"/>
  <c r="L533" i="2"/>
  <c r="AC532" i="2"/>
  <c r="Z532" i="2"/>
  <c r="U532" i="2"/>
  <c r="Q532" i="2"/>
  <c r="P532" i="2"/>
  <c r="O532" i="2"/>
  <c r="N532" i="2"/>
  <c r="T532" i="2" s="1"/>
  <c r="Y532" i="2" s="1"/>
  <c r="L532" i="2"/>
  <c r="AC531" i="2"/>
  <c r="AB531" i="2"/>
  <c r="AA531" i="2"/>
  <c r="Y531" i="2"/>
  <c r="Q531" i="2"/>
  <c r="P531" i="2"/>
  <c r="Z531" i="2" s="1"/>
  <c r="O531" i="2"/>
  <c r="N531" i="2"/>
  <c r="T531" i="2" s="1"/>
  <c r="L531" i="2"/>
  <c r="AC530" i="2"/>
  <c r="AB530" i="2"/>
  <c r="AA530" i="2"/>
  <c r="Q530" i="2"/>
  <c r="T530" i="2" s="1"/>
  <c r="P530" i="2"/>
  <c r="Z530" i="2" s="1"/>
  <c r="O530" i="2"/>
  <c r="N530" i="2"/>
  <c r="L530" i="2"/>
  <c r="W529" i="2"/>
  <c r="Q529" i="2"/>
  <c r="T529" i="2" s="1"/>
  <c r="P529" i="2"/>
  <c r="O529" i="2"/>
  <c r="N529" i="2"/>
  <c r="L529" i="2"/>
  <c r="AC528" i="2"/>
  <c r="Q528" i="2"/>
  <c r="P528" i="2"/>
  <c r="O528" i="2"/>
  <c r="N528" i="2"/>
  <c r="L528" i="2"/>
  <c r="AB527" i="2"/>
  <c r="Q527" i="2"/>
  <c r="P527" i="2"/>
  <c r="AA527" i="2" s="1"/>
  <c r="O527" i="2"/>
  <c r="T527" i="2" s="1"/>
  <c r="N527" i="2"/>
  <c r="L527" i="2"/>
  <c r="AB526" i="2"/>
  <c r="AA526" i="2"/>
  <c r="Q526" i="2"/>
  <c r="P526" i="2"/>
  <c r="O526" i="2"/>
  <c r="N526" i="2"/>
  <c r="L526" i="2"/>
  <c r="AA525" i="2"/>
  <c r="Z525" i="2"/>
  <c r="V525" i="2"/>
  <c r="Q525" i="2"/>
  <c r="P525" i="2"/>
  <c r="O525" i="2"/>
  <c r="N525" i="2"/>
  <c r="T525" i="2" s="1"/>
  <c r="W525" i="2" s="1"/>
  <c r="L525" i="2"/>
  <c r="U524" i="2"/>
  <c r="Q524" i="2"/>
  <c r="P524" i="2"/>
  <c r="O524" i="2"/>
  <c r="N524" i="2"/>
  <c r="T524" i="2" s="1"/>
  <c r="Y524" i="2" s="1"/>
  <c r="L524" i="2"/>
  <c r="AC523" i="2"/>
  <c r="AB523" i="2"/>
  <c r="AA523" i="2"/>
  <c r="W523" i="2"/>
  <c r="Q523" i="2"/>
  <c r="P523" i="2"/>
  <c r="Z523" i="2" s="1"/>
  <c r="O523" i="2"/>
  <c r="N523" i="2"/>
  <c r="T523" i="2" s="1"/>
  <c r="X523" i="2" s="1"/>
  <c r="L523" i="2"/>
  <c r="Z522" i="2"/>
  <c r="V522" i="2"/>
  <c r="U522" i="2"/>
  <c r="T522" i="2"/>
  <c r="Y522" i="2" s="1"/>
  <c r="Q522" i="2"/>
  <c r="P522" i="2"/>
  <c r="AC522" i="2" s="1"/>
  <c r="O522" i="2"/>
  <c r="N522" i="2"/>
  <c r="L522" i="2"/>
  <c r="AC521" i="2"/>
  <c r="AB521" i="2"/>
  <c r="T521" i="2"/>
  <c r="Q521" i="2"/>
  <c r="P521" i="2"/>
  <c r="AA521" i="2" s="1"/>
  <c r="O521" i="2"/>
  <c r="N521" i="2"/>
  <c r="L521" i="2"/>
  <c r="AA520" i="2"/>
  <c r="Q520" i="2"/>
  <c r="P520" i="2"/>
  <c r="O520" i="2"/>
  <c r="N520" i="2"/>
  <c r="T520" i="2" s="1"/>
  <c r="L520" i="2"/>
  <c r="AC519" i="2"/>
  <c r="AB519" i="2"/>
  <c r="Q519" i="2"/>
  <c r="P519" i="2"/>
  <c r="AA519" i="2" s="1"/>
  <c r="O519" i="2"/>
  <c r="N519" i="2"/>
  <c r="L519" i="2"/>
  <c r="Q518" i="2"/>
  <c r="P518" i="2"/>
  <c r="AC518" i="2" s="1"/>
  <c r="O518" i="2"/>
  <c r="T518" i="2" s="1"/>
  <c r="N518" i="2"/>
  <c r="L518" i="2"/>
  <c r="AC517" i="2"/>
  <c r="AB517" i="2"/>
  <c r="AA517" i="2"/>
  <c r="T517" i="2"/>
  <c r="Q517" i="2"/>
  <c r="P517" i="2"/>
  <c r="Z517" i="2" s="1"/>
  <c r="O517" i="2"/>
  <c r="N517" i="2"/>
  <c r="L517" i="2"/>
  <c r="AB516" i="2"/>
  <c r="AA516" i="2"/>
  <c r="Q516" i="2"/>
  <c r="T516" i="2" s="1"/>
  <c r="P516" i="2"/>
  <c r="Z516" i="2" s="1"/>
  <c r="O516" i="2"/>
  <c r="N516" i="2"/>
  <c r="L516" i="2"/>
  <c r="Z515" i="2"/>
  <c r="Q515" i="2"/>
  <c r="P515" i="2"/>
  <c r="AA515" i="2" s="1"/>
  <c r="O515" i="2"/>
  <c r="N515" i="2"/>
  <c r="L515" i="2"/>
  <c r="Z514" i="2"/>
  <c r="Q514" i="2"/>
  <c r="P514" i="2"/>
  <c r="AC514" i="2" s="1"/>
  <c r="O514" i="2"/>
  <c r="N514" i="2"/>
  <c r="L514" i="2"/>
  <c r="AC513" i="2"/>
  <c r="AB513" i="2"/>
  <c r="Y513" i="2"/>
  <c r="Q513" i="2"/>
  <c r="P513" i="2"/>
  <c r="AA513" i="2" s="1"/>
  <c r="O513" i="2"/>
  <c r="N513" i="2"/>
  <c r="T513" i="2" s="1"/>
  <c r="L513" i="2"/>
  <c r="AC512" i="2"/>
  <c r="AB512" i="2"/>
  <c r="AA512" i="2"/>
  <c r="Q512" i="2"/>
  <c r="P512" i="2"/>
  <c r="Z512" i="2" s="1"/>
  <c r="O512" i="2"/>
  <c r="N512" i="2"/>
  <c r="T512" i="2" s="1"/>
  <c r="L512" i="2"/>
  <c r="W511" i="2"/>
  <c r="V511" i="2"/>
  <c r="Q511" i="2"/>
  <c r="T511" i="2" s="1"/>
  <c r="P511" i="2"/>
  <c r="O511" i="2"/>
  <c r="N511" i="2"/>
  <c r="L511" i="2"/>
  <c r="AC510" i="2"/>
  <c r="Q510" i="2"/>
  <c r="P510" i="2"/>
  <c r="AB510" i="2" s="1"/>
  <c r="O510" i="2"/>
  <c r="T510" i="2" s="1"/>
  <c r="N510" i="2"/>
  <c r="L510" i="2"/>
  <c r="AC509" i="2"/>
  <c r="AB509" i="2"/>
  <c r="AA509" i="2"/>
  <c r="X509" i="2"/>
  <c r="T509" i="2"/>
  <c r="Q509" i="2"/>
  <c r="P509" i="2"/>
  <c r="Z509" i="2" s="1"/>
  <c r="O509" i="2"/>
  <c r="N509" i="2"/>
  <c r="L509" i="2"/>
  <c r="AB508" i="2"/>
  <c r="AA508" i="2"/>
  <c r="Q508" i="2"/>
  <c r="T508" i="2" s="1"/>
  <c r="P508" i="2"/>
  <c r="Z508" i="2" s="1"/>
  <c r="O508" i="2"/>
  <c r="N508" i="2"/>
  <c r="L508" i="2"/>
  <c r="Z507" i="2"/>
  <c r="Q507" i="2"/>
  <c r="P507" i="2"/>
  <c r="AA507" i="2" s="1"/>
  <c r="O507" i="2"/>
  <c r="N507" i="2"/>
  <c r="L507" i="2"/>
  <c r="Z506" i="2"/>
  <c r="Q506" i="2"/>
  <c r="P506" i="2"/>
  <c r="AC506" i="2" s="1"/>
  <c r="O506" i="2"/>
  <c r="N506" i="2"/>
  <c r="T506" i="2" s="1"/>
  <c r="L506" i="2"/>
  <c r="AC505" i="2"/>
  <c r="AB505" i="2"/>
  <c r="Q505" i="2"/>
  <c r="P505" i="2"/>
  <c r="AA505" i="2" s="1"/>
  <c r="O505" i="2"/>
  <c r="N505" i="2"/>
  <c r="T505" i="2" s="1"/>
  <c r="L505" i="2"/>
  <c r="AC504" i="2"/>
  <c r="AB504" i="2"/>
  <c r="AA504" i="2"/>
  <c r="W504" i="2"/>
  <c r="Q504" i="2"/>
  <c r="P504" i="2"/>
  <c r="Z504" i="2" s="1"/>
  <c r="O504" i="2"/>
  <c r="N504" i="2"/>
  <c r="T504" i="2" s="1"/>
  <c r="X504" i="2" s="1"/>
  <c r="L504" i="2"/>
  <c r="W503" i="2"/>
  <c r="V503" i="2"/>
  <c r="Q503" i="2"/>
  <c r="T503" i="2" s="1"/>
  <c r="P503" i="2"/>
  <c r="O503" i="2"/>
  <c r="N503" i="2"/>
  <c r="L503" i="2"/>
  <c r="AC502" i="2"/>
  <c r="V502" i="2"/>
  <c r="Q502" i="2"/>
  <c r="P502" i="2"/>
  <c r="AB502" i="2" s="1"/>
  <c r="O502" i="2"/>
  <c r="T502" i="2" s="1"/>
  <c r="Y502" i="2" s="1"/>
  <c r="N502" i="2"/>
  <c r="L502" i="2"/>
  <c r="AC501" i="2"/>
  <c r="AB501" i="2"/>
  <c r="AA501" i="2"/>
  <c r="X501" i="2"/>
  <c r="Q501" i="2"/>
  <c r="P501" i="2"/>
  <c r="Z501" i="2" s="1"/>
  <c r="O501" i="2"/>
  <c r="N501" i="2"/>
  <c r="T501" i="2" s="1"/>
  <c r="L501" i="2"/>
  <c r="AB500" i="2"/>
  <c r="AA500" i="2"/>
  <c r="W500" i="2"/>
  <c r="T500" i="2"/>
  <c r="Q500" i="2"/>
  <c r="P500" i="2"/>
  <c r="Z500" i="2" s="1"/>
  <c r="O500" i="2"/>
  <c r="N500" i="2"/>
  <c r="L500" i="2"/>
  <c r="Z499" i="2"/>
  <c r="Q499" i="2"/>
  <c r="P499" i="2"/>
  <c r="O499" i="2"/>
  <c r="N499" i="2"/>
  <c r="L499" i="2"/>
  <c r="Q498" i="2"/>
  <c r="P498" i="2"/>
  <c r="O498" i="2"/>
  <c r="N498" i="2"/>
  <c r="T498" i="2" s="1"/>
  <c r="L498" i="2"/>
  <c r="AC497" i="2"/>
  <c r="AB497" i="2"/>
  <c r="T497" i="2"/>
  <c r="Q497" i="2"/>
  <c r="P497" i="2"/>
  <c r="AA497" i="2" s="1"/>
  <c r="O497" i="2"/>
  <c r="N497" i="2"/>
  <c r="L497" i="2"/>
  <c r="AC496" i="2"/>
  <c r="AB496" i="2"/>
  <c r="AA496" i="2"/>
  <c r="W496" i="2"/>
  <c r="Q496" i="2"/>
  <c r="P496" i="2"/>
  <c r="Z496" i="2" s="1"/>
  <c r="O496" i="2"/>
  <c r="N496" i="2"/>
  <c r="T496" i="2" s="1"/>
  <c r="X496" i="2" s="1"/>
  <c r="L496" i="2"/>
  <c r="Z495" i="2"/>
  <c r="V495" i="2"/>
  <c r="Q495" i="2"/>
  <c r="T495" i="2" s="1"/>
  <c r="W495" i="2" s="1"/>
  <c r="P495" i="2"/>
  <c r="O495" i="2"/>
  <c r="N495" i="2"/>
  <c r="L495" i="2"/>
  <c r="AC494" i="2"/>
  <c r="V494" i="2"/>
  <c r="Q494" i="2"/>
  <c r="P494" i="2"/>
  <c r="AB494" i="2" s="1"/>
  <c r="O494" i="2"/>
  <c r="T494" i="2" s="1"/>
  <c r="Y494" i="2" s="1"/>
  <c r="N494" i="2"/>
  <c r="L494" i="2"/>
  <c r="AC493" i="2"/>
  <c r="AB493" i="2"/>
  <c r="AA493" i="2"/>
  <c r="Q493" i="2"/>
  <c r="P493" i="2"/>
  <c r="Z493" i="2" s="1"/>
  <c r="O493" i="2"/>
  <c r="N493" i="2"/>
  <c r="T493" i="2" s="1"/>
  <c r="L493" i="2"/>
  <c r="AB492" i="2"/>
  <c r="AA492" i="2"/>
  <c r="Q492" i="2"/>
  <c r="T492" i="2" s="1"/>
  <c r="P492" i="2"/>
  <c r="Z492" i="2" s="1"/>
  <c r="O492" i="2"/>
  <c r="N492" i="2"/>
  <c r="L492" i="2"/>
  <c r="AA491" i="2"/>
  <c r="Z491" i="2"/>
  <c r="Q491" i="2"/>
  <c r="P491" i="2"/>
  <c r="O491" i="2"/>
  <c r="N491" i="2"/>
  <c r="L491" i="2"/>
  <c r="U490" i="2"/>
  <c r="Q490" i="2"/>
  <c r="P490" i="2"/>
  <c r="O490" i="2"/>
  <c r="N490" i="2"/>
  <c r="T490" i="2" s="1"/>
  <c r="Y490" i="2" s="1"/>
  <c r="L490" i="2"/>
  <c r="AC489" i="2"/>
  <c r="AB489" i="2"/>
  <c r="T489" i="2"/>
  <c r="Q489" i="2"/>
  <c r="P489" i="2"/>
  <c r="AA489" i="2" s="1"/>
  <c r="O489" i="2"/>
  <c r="N489" i="2"/>
  <c r="L489" i="2"/>
  <c r="AC488" i="2"/>
  <c r="AB488" i="2"/>
  <c r="AA488" i="2"/>
  <c r="Q488" i="2"/>
  <c r="P488" i="2"/>
  <c r="Z488" i="2" s="1"/>
  <c r="O488" i="2"/>
  <c r="N488" i="2"/>
  <c r="T488" i="2" s="1"/>
  <c r="L488" i="2"/>
  <c r="Z487" i="2"/>
  <c r="V487" i="2"/>
  <c r="Q487" i="2"/>
  <c r="T487" i="2" s="1"/>
  <c r="P487" i="2"/>
  <c r="O487" i="2"/>
  <c r="N487" i="2"/>
  <c r="L487" i="2"/>
  <c r="AC486" i="2"/>
  <c r="Q486" i="2"/>
  <c r="P486" i="2"/>
  <c r="AB486" i="2" s="1"/>
  <c r="O486" i="2"/>
  <c r="T486" i="2" s="1"/>
  <c r="N486" i="2"/>
  <c r="L486" i="2"/>
  <c r="AC485" i="2"/>
  <c r="AB485" i="2"/>
  <c r="AA485" i="2"/>
  <c r="T485" i="2"/>
  <c r="Q485" i="2"/>
  <c r="P485" i="2"/>
  <c r="Z485" i="2" s="1"/>
  <c r="O485" i="2"/>
  <c r="N485" i="2"/>
  <c r="L485" i="2"/>
  <c r="AB484" i="2"/>
  <c r="AA484" i="2"/>
  <c r="Q484" i="2"/>
  <c r="T484" i="2" s="1"/>
  <c r="P484" i="2"/>
  <c r="Z484" i="2" s="1"/>
  <c r="O484" i="2"/>
  <c r="N484" i="2"/>
  <c r="L484" i="2"/>
  <c r="Z483" i="2"/>
  <c r="Q483" i="2"/>
  <c r="P483" i="2"/>
  <c r="AA483" i="2" s="1"/>
  <c r="O483" i="2"/>
  <c r="N483" i="2"/>
  <c r="L483" i="2"/>
  <c r="Z482" i="2"/>
  <c r="U482" i="2"/>
  <c r="Q482" i="2"/>
  <c r="P482" i="2"/>
  <c r="AC482" i="2" s="1"/>
  <c r="O482" i="2"/>
  <c r="N482" i="2"/>
  <c r="T482" i="2" s="1"/>
  <c r="Y482" i="2" s="1"/>
  <c r="L482" i="2"/>
  <c r="AC481" i="2"/>
  <c r="AB481" i="2"/>
  <c r="Y481" i="2"/>
  <c r="Q481" i="2"/>
  <c r="P481" i="2"/>
  <c r="AA481" i="2" s="1"/>
  <c r="O481" i="2"/>
  <c r="N481" i="2"/>
  <c r="T481" i="2" s="1"/>
  <c r="L481" i="2"/>
  <c r="AC480" i="2"/>
  <c r="AB480" i="2"/>
  <c r="AA480" i="2"/>
  <c r="Q480" i="2"/>
  <c r="P480" i="2"/>
  <c r="Z480" i="2" s="1"/>
  <c r="O480" i="2"/>
  <c r="N480" i="2"/>
  <c r="T480" i="2" s="1"/>
  <c r="L480" i="2"/>
  <c r="W479" i="2"/>
  <c r="V479" i="2"/>
  <c r="Q479" i="2"/>
  <c r="T479" i="2" s="1"/>
  <c r="P479" i="2"/>
  <c r="O479" i="2"/>
  <c r="N479" i="2"/>
  <c r="L479" i="2"/>
  <c r="AC478" i="2"/>
  <c r="Q478" i="2"/>
  <c r="P478" i="2"/>
  <c r="AB478" i="2" s="1"/>
  <c r="O478" i="2"/>
  <c r="T478" i="2" s="1"/>
  <c r="N478" i="2"/>
  <c r="L478" i="2"/>
  <c r="AC477" i="2"/>
  <c r="AB477" i="2"/>
  <c r="AA477" i="2"/>
  <c r="T477" i="2"/>
  <c r="Q477" i="2"/>
  <c r="P477" i="2"/>
  <c r="Z477" i="2" s="1"/>
  <c r="O477" i="2"/>
  <c r="N477" i="2"/>
  <c r="L477" i="2"/>
  <c r="AB476" i="2"/>
  <c r="AA476" i="2"/>
  <c r="Q476" i="2"/>
  <c r="T476" i="2" s="1"/>
  <c r="W476" i="2" s="1"/>
  <c r="P476" i="2"/>
  <c r="Z476" i="2" s="1"/>
  <c r="O476" i="2"/>
  <c r="N476" i="2"/>
  <c r="L476" i="2"/>
  <c r="Z475" i="2"/>
  <c r="Q475" i="2"/>
  <c r="P475" i="2"/>
  <c r="AA475" i="2" s="1"/>
  <c r="O475" i="2"/>
  <c r="N475" i="2"/>
  <c r="L475" i="2"/>
  <c r="Z474" i="2"/>
  <c r="Q474" i="2"/>
  <c r="P474" i="2"/>
  <c r="AC474" i="2" s="1"/>
  <c r="O474" i="2"/>
  <c r="N474" i="2"/>
  <c r="T474" i="2" s="1"/>
  <c r="L474" i="2"/>
  <c r="AC473" i="2"/>
  <c r="AB473" i="2"/>
  <c r="Q473" i="2"/>
  <c r="P473" i="2"/>
  <c r="AA473" i="2" s="1"/>
  <c r="O473" i="2"/>
  <c r="N473" i="2"/>
  <c r="T473" i="2" s="1"/>
  <c r="L473" i="2"/>
  <c r="AC472" i="2"/>
  <c r="AB472" i="2"/>
  <c r="AA472" i="2"/>
  <c r="Q472" i="2"/>
  <c r="P472" i="2"/>
  <c r="Z472" i="2" s="1"/>
  <c r="O472" i="2"/>
  <c r="N472" i="2"/>
  <c r="L472" i="2"/>
  <c r="V471" i="2"/>
  <c r="Q471" i="2"/>
  <c r="T471" i="2" s="1"/>
  <c r="P471" i="2"/>
  <c r="O471" i="2"/>
  <c r="N471" i="2"/>
  <c r="L471" i="2"/>
  <c r="AC470" i="2"/>
  <c r="V470" i="2"/>
  <c r="U470" i="2"/>
  <c r="Q470" i="2"/>
  <c r="P470" i="2"/>
  <c r="AB470" i="2" s="1"/>
  <c r="O470" i="2"/>
  <c r="T470" i="2" s="1"/>
  <c r="Y470" i="2" s="1"/>
  <c r="N470" i="2"/>
  <c r="L470" i="2"/>
  <c r="AC469" i="2"/>
  <c r="AB469" i="2"/>
  <c r="AA469" i="2"/>
  <c r="Q469" i="2"/>
  <c r="P469" i="2"/>
  <c r="Z469" i="2" s="1"/>
  <c r="O469" i="2"/>
  <c r="N469" i="2"/>
  <c r="T469" i="2" s="1"/>
  <c r="L469" i="2"/>
  <c r="AB468" i="2"/>
  <c r="AA468" i="2"/>
  <c r="Q468" i="2"/>
  <c r="T468" i="2" s="1"/>
  <c r="P468" i="2"/>
  <c r="Z468" i="2" s="1"/>
  <c r="O468" i="2"/>
  <c r="N468" i="2"/>
  <c r="L468" i="2"/>
  <c r="Z467" i="2"/>
  <c r="Q467" i="2"/>
  <c r="P467" i="2"/>
  <c r="O467" i="2"/>
  <c r="N467" i="2"/>
  <c r="T467" i="2" s="1"/>
  <c r="L467" i="2"/>
  <c r="Q466" i="2"/>
  <c r="P466" i="2"/>
  <c r="O466" i="2"/>
  <c r="N466" i="2"/>
  <c r="T466" i="2" s="1"/>
  <c r="L466" i="2"/>
  <c r="AC465" i="2"/>
  <c r="AB465" i="2"/>
  <c r="T465" i="2"/>
  <c r="Q465" i="2"/>
  <c r="P465" i="2"/>
  <c r="AA465" i="2" s="1"/>
  <c r="O465" i="2"/>
  <c r="N465" i="2"/>
  <c r="L465" i="2"/>
  <c r="AC464" i="2"/>
  <c r="AB464" i="2"/>
  <c r="AA464" i="2"/>
  <c r="X464" i="2"/>
  <c r="W464" i="2"/>
  <c r="Q464" i="2"/>
  <c r="P464" i="2"/>
  <c r="Z464" i="2" s="1"/>
  <c r="O464" i="2"/>
  <c r="N464" i="2"/>
  <c r="T464" i="2" s="1"/>
  <c r="L464" i="2"/>
  <c r="Z463" i="2"/>
  <c r="W463" i="2"/>
  <c r="V463" i="2"/>
  <c r="Q463" i="2"/>
  <c r="T463" i="2" s="1"/>
  <c r="P463" i="2"/>
  <c r="O463" i="2"/>
  <c r="N463" i="2"/>
  <c r="L463" i="2"/>
  <c r="AC462" i="2"/>
  <c r="Y462" i="2"/>
  <c r="V462" i="2"/>
  <c r="Q462" i="2"/>
  <c r="P462" i="2"/>
  <c r="AB462" i="2" s="1"/>
  <c r="O462" i="2"/>
  <c r="T462" i="2" s="1"/>
  <c r="N462" i="2"/>
  <c r="L462" i="2"/>
  <c r="AC461" i="2"/>
  <c r="AB461" i="2"/>
  <c r="AA461" i="2"/>
  <c r="Q461" i="2"/>
  <c r="P461" i="2"/>
  <c r="Z461" i="2" s="1"/>
  <c r="O461" i="2"/>
  <c r="N461" i="2"/>
  <c r="T461" i="2" s="1"/>
  <c r="L461" i="2"/>
  <c r="AB460" i="2"/>
  <c r="AA460" i="2"/>
  <c r="Q460" i="2"/>
  <c r="T460" i="2" s="1"/>
  <c r="P460" i="2"/>
  <c r="Z460" i="2" s="1"/>
  <c r="O460" i="2"/>
  <c r="N460" i="2"/>
  <c r="L460" i="2"/>
  <c r="Q459" i="2"/>
  <c r="P459" i="2"/>
  <c r="O459" i="2"/>
  <c r="N459" i="2"/>
  <c r="L459" i="2"/>
  <c r="U458" i="2"/>
  <c r="Q458" i="2"/>
  <c r="P458" i="2"/>
  <c r="O458" i="2"/>
  <c r="N458" i="2"/>
  <c r="T458" i="2" s="1"/>
  <c r="Y458" i="2" s="1"/>
  <c r="L458" i="2"/>
  <c r="AC457" i="2"/>
  <c r="AB457" i="2"/>
  <c r="Y457" i="2"/>
  <c r="T457" i="2"/>
  <c r="Q457" i="2"/>
  <c r="P457" i="2"/>
  <c r="AA457" i="2" s="1"/>
  <c r="O457" i="2"/>
  <c r="N457" i="2"/>
  <c r="L457" i="2"/>
  <c r="AC456" i="2"/>
  <c r="AB456" i="2"/>
  <c r="AA456" i="2"/>
  <c r="Q456" i="2"/>
  <c r="P456" i="2"/>
  <c r="Z456" i="2" s="1"/>
  <c r="O456" i="2"/>
  <c r="N456" i="2"/>
  <c r="T456" i="2" s="1"/>
  <c r="L456" i="2"/>
  <c r="Z455" i="2"/>
  <c r="V455" i="2"/>
  <c r="Q455" i="2"/>
  <c r="T455" i="2" s="1"/>
  <c r="P455" i="2"/>
  <c r="O455" i="2"/>
  <c r="N455" i="2"/>
  <c r="L455" i="2"/>
  <c r="AC454" i="2"/>
  <c r="Q454" i="2"/>
  <c r="P454" i="2"/>
  <c r="AB454" i="2" s="1"/>
  <c r="O454" i="2"/>
  <c r="T454" i="2" s="1"/>
  <c r="N454" i="2"/>
  <c r="L454" i="2"/>
  <c r="AC453" i="2"/>
  <c r="AB453" i="2"/>
  <c r="AA453" i="2"/>
  <c r="U453" i="2"/>
  <c r="T453" i="2"/>
  <c r="Q453" i="2"/>
  <c r="P453" i="2"/>
  <c r="Z453" i="2" s="1"/>
  <c r="O453" i="2"/>
  <c r="N453" i="2"/>
  <c r="L453" i="2"/>
  <c r="AA452" i="2"/>
  <c r="Z452" i="2"/>
  <c r="X452" i="2"/>
  <c r="Q452" i="2"/>
  <c r="P452" i="2"/>
  <c r="AC452" i="2" s="1"/>
  <c r="O452" i="2"/>
  <c r="N452" i="2"/>
  <c r="T452" i="2" s="1"/>
  <c r="L452" i="2"/>
  <c r="Q451" i="2"/>
  <c r="P451" i="2"/>
  <c r="AA451" i="2" s="1"/>
  <c r="O451" i="2"/>
  <c r="N451" i="2"/>
  <c r="T451" i="2" s="1"/>
  <c r="L451" i="2"/>
  <c r="AC450" i="2"/>
  <c r="Z450" i="2"/>
  <c r="Q450" i="2"/>
  <c r="P450" i="2"/>
  <c r="O450" i="2"/>
  <c r="N450" i="2"/>
  <c r="L450" i="2"/>
  <c r="AC449" i="2"/>
  <c r="AB449" i="2"/>
  <c r="X449" i="2"/>
  <c r="Q449" i="2"/>
  <c r="P449" i="2"/>
  <c r="AA449" i="2" s="1"/>
  <c r="O449" i="2"/>
  <c r="N449" i="2"/>
  <c r="T449" i="2" s="1"/>
  <c r="L449" i="2"/>
  <c r="AC448" i="2"/>
  <c r="AB448" i="2"/>
  <c r="AA448" i="2"/>
  <c r="U448" i="2"/>
  <c r="Q448" i="2"/>
  <c r="P448" i="2"/>
  <c r="Z448" i="2" s="1"/>
  <c r="O448" i="2"/>
  <c r="N448" i="2"/>
  <c r="T448" i="2" s="1"/>
  <c r="W448" i="2" s="1"/>
  <c r="L448" i="2"/>
  <c r="T447" i="2"/>
  <c r="Q447" i="2"/>
  <c r="P447" i="2"/>
  <c r="AB447" i="2" s="1"/>
  <c r="O447" i="2"/>
  <c r="N447" i="2"/>
  <c r="L447" i="2"/>
  <c r="AC446" i="2"/>
  <c r="AA446" i="2"/>
  <c r="Z446" i="2"/>
  <c r="Q446" i="2"/>
  <c r="P446" i="2"/>
  <c r="AB446" i="2" s="1"/>
  <c r="O446" i="2"/>
  <c r="N446" i="2"/>
  <c r="L446" i="2"/>
  <c r="T445" i="2"/>
  <c r="Q445" i="2"/>
  <c r="P445" i="2"/>
  <c r="AC445" i="2" s="1"/>
  <c r="O445" i="2"/>
  <c r="N445" i="2"/>
  <c r="L445" i="2"/>
  <c r="AB444" i="2"/>
  <c r="Q444" i="2"/>
  <c r="P444" i="2"/>
  <c r="Z444" i="2" s="1"/>
  <c r="O444" i="2"/>
  <c r="N444" i="2"/>
  <c r="T444" i="2" s="1"/>
  <c r="L444" i="2"/>
  <c r="AA443" i="2"/>
  <c r="Z443" i="2"/>
  <c r="Q443" i="2"/>
  <c r="P443" i="2"/>
  <c r="O443" i="2"/>
  <c r="N443" i="2"/>
  <c r="L443" i="2"/>
  <c r="Z442" i="2"/>
  <c r="Q442" i="2"/>
  <c r="P442" i="2"/>
  <c r="O442" i="2"/>
  <c r="N442" i="2"/>
  <c r="L442" i="2"/>
  <c r="AC441" i="2"/>
  <c r="AB441" i="2"/>
  <c r="V441" i="2"/>
  <c r="T441" i="2"/>
  <c r="Q441" i="2"/>
  <c r="P441" i="2"/>
  <c r="AA441" i="2" s="1"/>
  <c r="O441" i="2"/>
  <c r="N441" i="2"/>
  <c r="L441" i="2"/>
  <c r="AC440" i="2"/>
  <c r="AB440" i="2"/>
  <c r="AA440" i="2"/>
  <c r="Q440" i="2"/>
  <c r="T440" i="2" s="1"/>
  <c r="P440" i="2"/>
  <c r="Z440" i="2" s="1"/>
  <c r="O440" i="2"/>
  <c r="N440" i="2"/>
  <c r="L440" i="2"/>
  <c r="Z439" i="2"/>
  <c r="W439" i="2"/>
  <c r="V439" i="2"/>
  <c r="T439" i="2"/>
  <c r="Q439" i="2"/>
  <c r="P439" i="2"/>
  <c r="AC439" i="2" s="1"/>
  <c r="O439" i="2"/>
  <c r="N439" i="2"/>
  <c r="L439" i="2"/>
  <c r="AC438" i="2"/>
  <c r="AA438" i="2"/>
  <c r="Z438" i="2"/>
  <c r="U438" i="2"/>
  <c r="Q438" i="2"/>
  <c r="T438" i="2" s="1"/>
  <c r="P438" i="2"/>
  <c r="AB438" i="2" s="1"/>
  <c r="O438" i="2"/>
  <c r="N438" i="2"/>
  <c r="L438" i="2"/>
  <c r="Q437" i="2"/>
  <c r="P437" i="2"/>
  <c r="AB437" i="2" s="1"/>
  <c r="O437" i="2"/>
  <c r="N437" i="2"/>
  <c r="T437" i="2" s="1"/>
  <c r="L437" i="2"/>
  <c r="X436" i="2"/>
  <c r="T436" i="2"/>
  <c r="Q436" i="2"/>
  <c r="P436" i="2"/>
  <c r="AC436" i="2" s="1"/>
  <c r="O436" i="2"/>
  <c r="N436" i="2"/>
  <c r="L436" i="2"/>
  <c r="AA435" i="2"/>
  <c r="Z435" i="2"/>
  <c r="Q435" i="2"/>
  <c r="P435" i="2"/>
  <c r="O435" i="2"/>
  <c r="N435" i="2"/>
  <c r="L435" i="2"/>
  <c r="Z434" i="2"/>
  <c r="Q434" i="2"/>
  <c r="P434" i="2"/>
  <c r="O434" i="2"/>
  <c r="N434" i="2"/>
  <c r="L434" i="2"/>
  <c r="AC433" i="2"/>
  <c r="AB433" i="2"/>
  <c r="X433" i="2"/>
  <c r="Q433" i="2"/>
  <c r="P433" i="2"/>
  <c r="AA433" i="2" s="1"/>
  <c r="O433" i="2"/>
  <c r="N433" i="2"/>
  <c r="T433" i="2" s="1"/>
  <c r="L433" i="2"/>
  <c r="AC432" i="2"/>
  <c r="AB432" i="2"/>
  <c r="AA432" i="2"/>
  <c r="Q432" i="2"/>
  <c r="P432" i="2"/>
  <c r="Z432" i="2" s="1"/>
  <c r="O432" i="2"/>
  <c r="N432" i="2"/>
  <c r="T432" i="2" s="1"/>
  <c r="W432" i="2" s="1"/>
  <c r="L432" i="2"/>
  <c r="AB431" i="2"/>
  <c r="T431" i="2"/>
  <c r="Q431" i="2"/>
  <c r="P431" i="2"/>
  <c r="O431" i="2"/>
  <c r="N431" i="2"/>
  <c r="L431" i="2"/>
  <c r="AC430" i="2"/>
  <c r="AA430" i="2"/>
  <c r="Z430" i="2"/>
  <c r="Q430" i="2"/>
  <c r="T430" i="2" s="1"/>
  <c r="Y430" i="2" s="1"/>
  <c r="P430" i="2"/>
  <c r="AB430" i="2" s="1"/>
  <c r="O430" i="2"/>
  <c r="N430" i="2"/>
  <c r="L430" i="2"/>
  <c r="X429" i="2"/>
  <c r="T429" i="2"/>
  <c r="Q429" i="2"/>
  <c r="P429" i="2"/>
  <c r="AC429" i="2" s="1"/>
  <c r="O429" i="2"/>
  <c r="N429" i="2"/>
  <c r="L429" i="2"/>
  <c r="AB428" i="2"/>
  <c r="Z428" i="2"/>
  <c r="Q428" i="2"/>
  <c r="P428" i="2"/>
  <c r="O428" i="2"/>
  <c r="N428" i="2"/>
  <c r="T428" i="2" s="1"/>
  <c r="L428" i="2"/>
  <c r="AA427" i="2"/>
  <c r="Z427" i="2"/>
  <c r="Q427" i="2"/>
  <c r="P427" i="2"/>
  <c r="O427" i="2"/>
  <c r="N427" i="2"/>
  <c r="L427" i="2"/>
  <c r="Z426" i="2"/>
  <c r="Q426" i="2"/>
  <c r="P426" i="2"/>
  <c r="O426" i="2"/>
  <c r="N426" i="2"/>
  <c r="L426" i="2"/>
  <c r="AC425" i="2"/>
  <c r="AB425" i="2"/>
  <c r="T425" i="2"/>
  <c r="Q425" i="2"/>
  <c r="P425" i="2"/>
  <c r="AA425" i="2" s="1"/>
  <c r="O425" i="2"/>
  <c r="N425" i="2"/>
  <c r="L425" i="2"/>
  <c r="AC424" i="2"/>
  <c r="AB424" i="2"/>
  <c r="AA424" i="2"/>
  <c r="Q424" i="2"/>
  <c r="T424" i="2" s="1"/>
  <c r="P424" i="2"/>
  <c r="Z424" i="2" s="1"/>
  <c r="O424" i="2"/>
  <c r="N424" i="2"/>
  <c r="L424" i="2"/>
  <c r="Z423" i="2"/>
  <c r="W423" i="2"/>
  <c r="V423" i="2"/>
  <c r="T423" i="2"/>
  <c r="Q423" i="2"/>
  <c r="P423" i="2"/>
  <c r="AC423" i="2" s="1"/>
  <c r="O423" i="2"/>
  <c r="N423" i="2"/>
  <c r="L423" i="2"/>
  <c r="AC422" i="2"/>
  <c r="AA422" i="2"/>
  <c r="Z422" i="2"/>
  <c r="Q422" i="2"/>
  <c r="T422" i="2" s="1"/>
  <c r="U422" i="2" s="1"/>
  <c r="P422" i="2"/>
  <c r="AB422" i="2" s="1"/>
  <c r="O422" i="2"/>
  <c r="N422" i="2"/>
  <c r="L422" i="2"/>
  <c r="AB421" i="2"/>
  <c r="Q421" i="2"/>
  <c r="P421" i="2"/>
  <c r="Z421" i="2" s="1"/>
  <c r="O421" i="2"/>
  <c r="N421" i="2"/>
  <c r="T421" i="2" s="1"/>
  <c r="L421" i="2"/>
  <c r="T420" i="2"/>
  <c r="Q420" i="2"/>
  <c r="P420" i="2"/>
  <c r="AC420" i="2" s="1"/>
  <c r="O420" i="2"/>
  <c r="N420" i="2"/>
  <c r="L420" i="2"/>
  <c r="AA419" i="2"/>
  <c r="Z419" i="2"/>
  <c r="Q419" i="2"/>
  <c r="P419" i="2"/>
  <c r="O419" i="2"/>
  <c r="N419" i="2"/>
  <c r="L419" i="2"/>
  <c r="Z418" i="2"/>
  <c r="Q418" i="2"/>
  <c r="P418" i="2"/>
  <c r="O418" i="2"/>
  <c r="N418" i="2"/>
  <c r="L418" i="2"/>
  <c r="AC417" i="2"/>
  <c r="AB417" i="2"/>
  <c r="Q417" i="2"/>
  <c r="P417" i="2"/>
  <c r="AA417" i="2" s="1"/>
  <c r="O417" i="2"/>
  <c r="N417" i="2"/>
  <c r="T417" i="2" s="1"/>
  <c r="X417" i="2" s="1"/>
  <c r="L417" i="2"/>
  <c r="AC416" i="2"/>
  <c r="AB416" i="2"/>
  <c r="AA416" i="2"/>
  <c r="W416" i="2"/>
  <c r="U416" i="2"/>
  <c r="Q416" i="2"/>
  <c r="P416" i="2"/>
  <c r="Z416" i="2" s="1"/>
  <c r="O416" i="2"/>
  <c r="N416" i="2"/>
  <c r="T416" i="2" s="1"/>
  <c r="L416" i="2"/>
  <c r="AC415" i="2"/>
  <c r="AB415" i="2"/>
  <c r="Z415" i="2"/>
  <c r="Q415" i="2"/>
  <c r="T415" i="2" s="1"/>
  <c r="U415" i="2" s="1"/>
  <c r="P415" i="2"/>
  <c r="AA415" i="2" s="1"/>
  <c r="O415" i="2"/>
  <c r="N415" i="2"/>
  <c r="L415" i="2"/>
  <c r="AB414" i="2"/>
  <c r="T414" i="2"/>
  <c r="Q414" i="2"/>
  <c r="P414" i="2"/>
  <c r="Z414" i="2" s="1"/>
  <c r="O414" i="2"/>
  <c r="N414" i="2"/>
  <c r="L414" i="2"/>
  <c r="AA413" i="2"/>
  <c r="Q413" i="2"/>
  <c r="P413" i="2"/>
  <c r="AC413" i="2" s="1"/>
  <c r="O413" i="2"/>
  <c r="N413" i="2"/>
  <c r="L413" i="2"/>
  <c r="Q412" i="2"/>
  <c r="P412" i="2"/>
  <c r="Z412" i="2" s="1"/>
  <c r="O412" i="2"/>
  <c r="N412" i="2"/>
  <c r="L412" i="2"/>
  <c r="AC411" i="2"/>
  <c r="AB411" i="2"/>
  <c r="AA411" i="2"/>
  <c r="Q411" i="2"/>
  <c r="P411" i="2"/>
  <c r="Z411" i="2" s="1"/>
  <c r="O411" i="2"/>
  <c r="N411" i="2"/>
  <c r="T411" i="2" s="1"/>
  <c r="L411" i="2"/>
  <c r="AB410" i="2"/>
  <c r="X410" i="2"/>
  <c r="W410" i="2"/>
  <c r="Q410" i="2"/>
  <c r="P410" i="2"/>
  <c r="AC410" i="2" s="1"/>
  <c r="O410" i="2"/>
  <c r="N410" i="2"/>
  <c r="T410" i="2" s="1"/>
  <c r="L410" i="2"/>
  <c r="AC409" i="2"/>
  <c r="AA409" i="2"/>
  <c r="Q409" i="2"/>
  <c r="P409" i="2"/>
  <c r="AB409" i="2" s="1"/>
  <c r="O409" i="2"/>
  <c r="N409" i="2"/>
  <c r="T409" i="2" s="1"/>
  <c r="W409" i="2" s="1"/>
  <c r="L409" i="2"/>
  <c r="AC408" i="2"/>
  <c r="AB408" i="2"/>
  <c r="V408" i="2"/>
  <c r="U408" i="2"/>
  <c r="T408" i="2"/>
  <c r="Q408" i="2"/>
  <c r="P408" i="2"/>
  <c r="AA408" i="2" s="1"/>
  <c r="O408" i="2"/>
  <c r="N408" i="2"/>
  <c r="L408" i="2"/>
  <c r="AC407" i="2"/>
  <c r="AB407" i="2"/>
  <c r="AA407" i="2"/>
  <c r="Q407" i="2"/>
  <c r="P407" i="2"/>
  <c r="Z407" i="2" s="1"/>
  <c r="O407" i="2"/>
  <c r="T407" i="2" s="1"/>
  <c r="N407" i="2"/>
  <c r="L407" i="2"/>
  <c r="Q406" i="2"/>
  <c r="P406" i="2"/>
  <c r="O406" i="2"/>
  <c r="N406" i="2"/>
  <c r="T406" i="2" s="1"/>
  <c r="L406" i="2"/>
  <c r="AA405" i="2"/>
  <c r="Q405" i="2"/>
  <c r="P405" i="2"/>
  <c r="O405" i="2"/>
  <c r="N405" i="2"/>
  <c r="L405" i="2"/>
  <c r="Q404" i="2"/>
  <c r="P404" i="2"/>
  <c r="O404" i="2"/>
  <c r="N404" i="2"/>
  <c r="L404" i="2"/>
  <c r="AC403" i="2"/>
  <c r="AB403" i="2"/>
  <c r="AA403" i="2"/>
  <c r="Q403" i="2"/>
  <c r="P403" i="2"/>
  <c r="Z403" i="2" s="1"/>
  <c r="O403" i="2"/>
  <c r="N403" i="2"/>
  <c r="T403" i="2" s="1"/>
  <c r="L403" i="2"/>
  <c r="AB402" i="2"/>
  <c r="Q402" i="2"/>
  <c r="P402" i="2"/>
  <c r="AC402" i="2" s="1"/>
  <c r="O402" i="2"/>
  <c r="N402" i="2"/>
  <c r="T402" i="2" s="1"/>
  <c r="L402" i="2"/>
  <c r="AC401" i="2"/>
  <c r="AA401" i="2"/>
  <c r="V401" i="2"/>
  <c r="U401" i="2"/>
  <c r="Q401" i="2"/>
  <c r="P401" i="2"/>
  <c r="AB401" i="2" s="1"/>
  <c r="O401" i="2"/>
  <c r="N401" i="2"/>
  <c r="T401" i="2" s="1"/>
  <c r="W401" i="2" s="1"/>
  <c r="L401" i="2"/>
  <c r="AC400" i="2"/>
  <c r="AB400" i="2"/>
  <c r="Z400" i="2"/>
  <c r="T400" i="2"/>
  <c r="V400" i="2" s="1"/>
  <c r="Q400" i="2"/>
  <c r="P400" i="2"/>
  <c r="AA400" i="2" s="1"/>
  <c r="O400" i="2"/>
  <c r="N400" i="2"/>
  <c r="L400" i="2"/>
  <c r="AC399" i="2"/>
  <c r="AB399" i="2"/>
  <c r="AA399" i="2"/>
  <c r="Q399" i="2"/>
  <c r="T399" i="2" s="1"/>
  <c r="P399" i="2"/>
  <c r="Z399" i="2" s="1"/>
  <c r="O399" i="2"/>
  <c r="N399" i="2"/>
  <c r="L399" i="2"/>
  <c r="T398" i="2"/>
  <c r="Q398" i="2"/>
  <c r="P398" i="2"/>
  <c r="AC398" i="2" s="1"/>
  <c r="O398" i="2"/>
  <c r="N398" i="2"/>
  <c r="L398" i="2"/>
  <c r="Q397" i="2"/>
  <c r="P397" i="2"/>
  <c r="AA397" i="2" s="1"/>
  <c r="O397" i="2"/>
  <c r="N397" i="2"/>
  <c r="L397" i="2"/>
  <c r="Z396" i="2"/>
  <c r="Y396" i="2"/>
  <c r="T396" i="2"/>
  <c r="X396" i="2" s="1"/>
  <c r="Q396" i="2"/>
  <c r="P396" i="2"/>
  <c r="O396" i="2"/>
  <c r="N396" i="2"/>
  <c r="L396" i="2"/>
  <c r="AC395" i="2"/>
  <c r="AB395" i="2"/>
  <c r="AA395" i="2"/>
  <c r="Q395" i="2"/>
  <c r="P395" i="2"/>
  <c r="Z395" i="2" s="1"/>
  <c r="O395" i="2"/>
  <c r="N395" i="2"/>
  <c r="L395" i="2"/>
  <c r="X394" i="2"/>
  <c r="W394" i="2"/>
  <c r="T394" i="2"/>
  <c r="Q394" i="2"/>
  <c r="P394" i="2"/>
  <c r="AB394" i="2" s="1"/>
  <c r="O394" i="2"/>
  <c r="N394" i="2"/>
  <c r="L394" i="2"/>
  <c r="AC393" i="2"/>
  <c r="AA393" i="2"/>
  <c r="Q393" i="2"/>
  <c r="P393" i="2"/>
  <c r="AB393" i="2" s="1"/>
  <c r="O393" i="2"/>
  <c r="N393" i="2"/>
  <c r="L393" i="2"/>
  <c r="X392" i="2"/>
  <c r="V392" i="2"/>
  <c r="U392" i="2"/>
  <c r="T392" i="2"/>
  <c r="Q392" i="2"/>
  <c r="P392" i="2"/>
  <c r="AA392" i="2" s="1"/>
  <c r="O392" i="2"/>
  <c r="N392" i="2"/>
  <c r="L392" i="2"/>
  <c r="AC391" i="2"/>
  <c r="AB391" i="2"/>
  <c r="AA391" i="2"/>
  <c r="Q391" i="2"/>
  <c r="P391" i="2"/>
  <c r="Z391" i="2" s="1"/>
  <c r="O391" i="2"/>
  <c r="N391" i="2"/>
  <c r="L391" i="2"/>
  <c r="AB390" i="2"/>
  <c r="AA390" i="2"/>
  <c r="T390" i="2"/>
  <c r="Q390" i="2"/>
  <c r="P390" i="2"/>
  <c r="AC390" i="2" s="1"/>
  <c r="O390" i="2"/>
  <c r="N390" i="2"/>
  <c r="L390" i="2"/>
  <c r="AC389" i="2"/>
  <c r="AA389" i="2"/>
  <c r="Z389" i="2"/>
  <c r="Q389" i="2"/>
  <c r="P389" i="2"/>
  <c r="AB389" i="2" s="1"/>
  <c r="O389" i="2"/>
  <c r="N389" i="2"/>
  <c r="L389" i="2"/>
  <c r="Q388" i="2"/>
  <c r="P388" i="2"/>
  <c r="O388" i="2"/>
  <c r="N388" i="2"/>
  <c r="T388" i="2" s="1"/>
  <c r="L388" i="2"/>
  <c r="AC387" i="2"/>
  <c r="AB387" i="2"/>
  <c r="AA387" i="2"/>
  <c r="Q387" i="2"/>
  <c r="P387" i="2"/>
  <c r="Z387" i="2" s="1"/>
  <c r="O387" i="2"/>
  <c r="N387" i="2"/>
  <c r="L387" i="2"/>
  <c r="AB386" i="2"/>
  <c r="Q386" i="2"/>
  <c r="P386" i="2"/>
  <c r="Z386" i="2" s="1"/>
  <c r="O386" i="2"/>
  <c r="N386" i="2"/>
  <c r="T386" i="2" s="1"/>
  <c r="L386" i="2"/>
  <c r="AC385" i="2"/>
  <c r="AA385" i="2"/>
  <c r="Q385" i="2"/>
  <c r="P385" i="2"/>
  <c r="AB385" i="2" s="1"/>
  <c r="O385" i="2"/>
  <c r="N385" i="2"/>
  <c r="L385" i="2"/>
  <c r="Z384" i="2"/>
  <c r="Q384" i="2"/>
  <c r="P384" i="2"/>
  <c r="AA384" i="2" s="1"/>
  <c r="O384" i="2"/>
  <c r="N384" i="2"/>
  <c r="T384" i="2" s="1"/>
  <c r="L384" i="2"/>
  <c r="AC383" i="2"/>
  <c r="AB383" i="2"/>
  <c r="AA383" i="2"/>
  <c r="W383" i="2"/>
  <c r="Q383" i="2"/>
  <c r="T383" i="2" s="1"/>
  <c r="P383" i="2"/>
  <c r="Z383" i="2" s="1"/>
  <c r="O383" i="2"/>
  <c r="N383" i="2"/>
  <c r="L383" i="2"/>
  <c r="Q382" i="2"/>
  <c r="P382" i="2"/>
  <c r="O382" i="2"/>
  <c r="N382" i="2"/>
  <c r="T382" i="2" s="1"/>
  <c r="L382" i="2"/>
  <c r="Q381" i="2"/>
  <c r="P381" i="2"/>
  <c r="AB381" i="2" s="1"/>
  <c r="O381" i="2"/>
  <c r="N381" i="2"/>
  <c r="L381" i="2"/>
  <c r="AC380" i="2"/>
  <c r="Z380" i="2"/>
  <c r="Q380" i="2"/>
  <c r="P380" i="2"/>
  <c r="AA380" i="2" s="1"/>
  <c r="O380" i="2"/>
  <c r="N380" i="2"/>
  <c r="T380" i="2" s="1"/>
  <c r="L380" i="2"/>
  <c r="AC379" i="2"/>
  <c r="AB379" i="2"/>
  <c r="AA379" i="2"/>
  <c r="Q379" i="2"/>
  <c r="P379" i="2"/>
  <c r="Z379" i="2" s="1"/>
  <c r="O379" i="2"/>
  <c r="N379" i="2"/>
  <c r="T379" i="2" s="1"/>
  <c r="L379" i="2"/>
  <c r="AA378" i="2"/>
  <c r="T378" i="2"/>
  <c r="Q378" i="2"/>
  <c r="P378" i="2"/>
  <c r="AC378" i="2" s="1"/>
  <c r="O378" i="2"/>
  <c r="N378" i="2"/>
  <c r="L378" i="2"/>
  <c r="AA377" i="2"/>
  <c r="Z377" i="2"/>
  <c r="Q377" i="2"/>
  <c r="P377" i="2"/>
  <c r="AB377" i="2" s="1"/>
  <c r="O377" i="2"/>
  <c r="N377" i="2"/>
  <c r="T377" i="2" s="1"/>
  <c r="L377" i="2"/>
  <c r="AB376" i="2"/>
  <c r="W376" i="2"/>
  <c r="V376" i="2"/>
  <c r="T376" i="2"/>
  <c r="Y376" i="2" s="1"/>
  <c r="Q376" i="2"/>
  <c r="P376" i="2"/>
  <c r="AA376" i="2" s="1"/>
  <c r="O376" i="2"/>
  <c r="N376" i="2"/>
  <c r="L376" i="2"/>
  <c r="AC375" i="2"/>
  <c r="AB375" i="2"/>
  <c r="AA375" i="2"/>
  <c r="T375" i="2"/>
  <c r="Q375" i="2"/>
  <c r="P375" i="2"/>
  <c r="Z375" i="2" s="1"/>
  <c r="O375" i="2"/>
  <c r="N375" i="2"/>
  <c r="L375" i="2"/>
  <c r="AC374" i="2"/>
  <c r="AB374" i="2"/>
  <c r="AA374" i="2"/>
  <c r="Q374" i="2"/>
  <c r="P374" i="2"/>
  <c r="Z374" i="2" s="1"/>
  <c r="O374" i="2"/>
  <c r="N374" i="2"/>
  <c r="T374" i="2" s="1"/>
  <c r="L374" i="2"/>
  <c r="Q373" i="2"/>
  <c r="P373" i="2"/>
  <c r="O373" i="2"/>
  <c r="N373" i="2"/>
  <c r="T373" i="2" s="1"/>
  <c r="L373" i="2"/>
  <c r="AC372" i="2"/>
  <c r="Y372" i="2"/>
  <c r="Q372" i="2"/>
  <c r="P372" i="2"/>
  <c r="AB372" i="2" s="1"/>
  <c r="O372" i="2"/>
  <c r="N372" i="2"/>
  <c r="T372" i="2" s="1"/>
  <c r="L372" i="2"/>
  <c r="AC371" i="2"/>
  <c r="AB371" i="2"/>
  <c r="X371" i="2"/>
  <c r="Q371" i="2"/>
  <c r="P371" i="2"/>
  <c r="AA371" i="2" s="1"/>
  <c r="O371" i="2"/>
  <c r="N371" i="2"/>
  <c r="T371" i="2" s="1"/>
  <c r="L371" i="2"/>
  <c r="AC370" i="2"/>
  <c r="AB370" i="2"/>
  <c r="AA370" i="2"/>
  <c r="W370" i="2"/>
  <c r="T370" i="2"/>
  <c r="Y370" i="2" s="1"/>
  <c r="Q370" i="2"/>
  <c r="P370" i="2"/>
  <c r="Z370" i="2" s="1"/>
  <c r="O370" i="2"/>
  <c r="N370" i="2"/>
  <c r="L370" i="2"/>
  <c r="AA369" i="2"/>
  <c r="Q369" i="2"/>
  <c r="T369" i="2" s="1"/>
  <c r="P369" i="2"/>
  <c r="Z369" i="2" s="1"/>
  <c r="O369" i="2"/>
  <c r="N369" i="2"/>
  <c r="L369" i="2"/>
  <c r="AC368" i="2"/>
  <c r="U368" i="2"/>
  <c r="Q368" i="2"/>
  <c r="T368" i="2" s="1"/>
  <c r="P368" i="2"/>
  <c r="Z368" i="2" s="1"/>
  <c r="O368" i="2"/>
  <c r="N368" i="2"/>
  <c r="L368" i="2"/>
  <c r="AB367" i="2"/>
  <c r="T367" i="2"/>
  <c r="Q367" i="2"/>
  <c r="P367" i="2"/>
  <c r="AC367" i="2" s="1"/>
  <c r="O367" i="2"/>
  <c r="N367" i="2"/>
  <c r="L367" i="2"/>
  <c r="AC366" i="2"/>
  <c r="AB366" i="2"/>
  <c r="AA366" i="2"/>
  <c r="Q366" i="2"/>
  <c r="P366" i="2"/>
  <c r="Z366" i="2" s="1"/>
  <c r="O366" i="2"/>
  <c r="N366" i="2"/>
  <c r="L366" i="2"/>
  <c r="Q365" i="2"/>
  <c r="P365" i="2"/>
  <c r="O365" i="2"/>
  <c r="N365" i="2"/>
  <c r="T365" i="2" s="1"/>
  <c r="L365" i="2"/>
  <c r="AC364" i="2"/>
  <c r="Q364" i="2"/>
  <c r="P364" i="2"/>
  <c r="AB364" i="2" s="1"/>
  <c r="O364" i="2"/>
  <c r="N364" i="2"/>
  <c r="L364" i="2"/>
  <c r="AC363" i="2"/>
  <c r="AB363" i="2"/>
  <c r="Q363" i="2"/>
  <c r="P363" i="2"/>
  <c r="AA363" i="2" s="1"/>
  <c r="O363" i="2"/>
  <c r="N363" i="2"/>
  <c r="T363" i="2" s="1"/>
  <c r="X363" i="2" s="1"/>
  <c r="L363" i="2"/>
  <c r="AC362" i="2"/>
  <c r="AB362" i="2"/>
  <c r="AA362" i="2"/>
  <c r="W362" i="2"/>
  <c r="T362" i="2"/>
  <c r="Y362" i="2" s="1"/>
  <c r="Q362" i="2"/>
  <c r="P362" i="2"/>
  <c r="Z362" i="2" s="1"/>
  <c r="O362" i="2"/>
  <c r="N362" i="2"/>
  <c r="L362" i="2"/>
  <c r="AA361" i="2"/>
  <c r="V361" i="2"/>
  <c r="Q361" i="2"/>
  <c r="T361" i="2" s="1"/>
  <c r="P361" i="2"/>
  <c r="Z361" i="2" s="1"/>
  <c r="O361" i="2"/>
  <c r="N361" i="2"/>
  <c r="L361" i="2"/>
  <c r="AC360" i="2"/>
  <c r="Q360" i="2"/>
  <c r="T360" i="2" s="1"/>
  <c r="P360" i="2"/>
  <c r="Z360" i="2" s="1"/>
  <c r="O360" i="2"/>
  <c r="N360" i="2"/>
  <c r="L360" i="2"/>
  <c r="AC359" i="2"/>
  <c r="AB359" i="2"/>
  <c r="T359" i="2"/>
  <c r="Q359" i="2"/>
  <c r="P359" i="2"/>
  <c r="AA359" i="2" s="1"/>
  <c r="O359" i="2"/>
  <c r="N359" i="2"/>
  <c r="L359" i="2"/>
  <c r="AC358" i="2"/>
  <c r="AB358" i="2"/>
  <c r="AA358" i="2"/>
  <c r="Q358" i="2"/>
  <c r="P358" i="2"/>
  <c r="Z358" i="2" s="1"/>
  <c r="O358" i="2"/>
  <c r="N358" i="2"/>
  <c r="T358" i="2" s="1"/>
  <c r="L358" i="2"/>
  <c r="Q357" i="2"/>
  <c r="P357" i="2"/>
  <c r="O357" i="2"/>
  <c r="N357" i="2"/>
  <c r="T357" i="2" s="1"/>
  <c r="L357" i="2"/>
  <c r="AC356" i="2"/>
  <c r="Q356" i="2"/>
  <c r="P356" i="2"/>
  <c r="AB356" i="2" s="1"/>
  <c r="O356" i="2"/>
  <c r="N356" i="2"/>
  <c r="T356" i="2" s="1"/>
  <c r="L356" i="2"/>
  <c r="AC355" i="2"/>
  <c r="AB355" i="2"/>
  <c r="Q355" i="2"/>
  <c r="P355" i="2"/>
  <c r="AA355" i="2" s="1"/>
  <c r="O355" i="2"/>
  <c r="N355" i="2"/>
  <c r="T355" i="2" s="1"/>
  <c r="L355" i="2"/>
  <c r="AC354" i="2"/>
  <c r="AB354" i="2"/>
  <c r="AA354" i="2"/>
  <c r="W354" i="2"/>
  <c r="T354" i="2"/>
  <c r="Y354" i="2" s="1"/>
  <c r="Q354" i="2"/>
  <c r="P354" i="2"/>
  <c r="Z354" i="2" s="1"/>
  <c r="O354" i="2"/>
  <c r="N354" i="2"/>
  <c r="L354" i="2"/>
  <c r="AA353" i="2"/>
  <c r="Q353" i="2"/>
  <c r="P353" i="2"/>
  <c r="Z353" i="2" s="1"/>
  <c r="O353" i="2"/>
  <c r="N353" i="2"/>
  <c r="T353" i="2" s="1"/>
  <c r="L353" i="2"/>
  <c r="AC352" i="2"/>
  <c r="Q352" i="2"/>
  <c r="T352" i="2" s="1"/>
  <c r="P352" i="2"/>
  <c r="Z352" i="2" s="1"/>
  <c r="O352" i="2"/>
  <c r="N352" i="2"/>
  <c r="L352" i="2"/>
  <c r="AC351" i="2"/>
  <c r="AB351" i="2"/>
  <c r="T351" i="2"/>
  <c r="Q351" i="2"/>
  <c r="P351" i="2"/>
  <c r="AA351" i="2" s="1"/>
  <c r="O351" i="2"/>
  <c r="N351" i="2"/>
  <c r="L351" i="2"/>
  <c r="AC350" i="2"/>
  <c r="AB350" i="2"/>
  <c r="AA350" i="2"/>
  <c r="Q350" i="2"/>
  <c r="P350" i="2"/>
  <c r="Z350" i="2" s="1"/>
  <c r="O350" i="2"/>
  <c r="N350" i="2"/>
  <c r="T350" i="2" s="1"/>
  <c r="L350" i="2"/>
  <c r="Z349" i="2"/>
  <c r="Q349" i="2"/>
  <c r="P349" i="2"/>
  <c r="O349" i="2"/>
  <c r="N349" i="2"/>
  <c r="T349" i="2" s="1"/>
  <c r="L349" i="2"/>
  <c r="Q348" i="2"/>
  <c r="P348" i="2"/>
  <c r="AC348" i="2" s="1"/>
  <c r="O348" i="2"/>
  <c r="N348" i="2"/>
  <c r="L348" i="2"/>
  <c r="AC347" i="2"/>
  <c r="AB347" i="2"/>
  <c r="X347" i="2"/>
  <c r="Q347" i="2"/>
  <c r="P347" i="2"/>
  <c r="AA347" i="2" s="1"/>
  <c r="O347" i="2"/>
  <c r="N347" i="2"/>
  <c r="T347" i="2" s="1"/>
  <c r="U347" i="2" s="1"/>
  <c r="L347" i="2"/>
  <c r="AC346" i="2"/>
  <c r="AB346" i="2"/>
  <c r="AA346" i="2"/>
  <c r="W346" i="2"/>
  <c r="T346" i="2"/>
  <c r="Q346" i="2"/>
  <c r="P346" i="2"/>
  <c r="Z346" i="2" s="1"/>
  <c r="O346" i="2"/>
  <c r="N346" i="2"/>
  <c r="L346" i="2"/>
  <c r="AA345" i="2"/>
  <c r="Q345" i="2"/>
  <c r="P345" i="2"/>
  <c r="Z345" i="2" s="1"/>
  <c r="O345" i="2"/>
  <c r="N345" i="2"/>
  <c r="L345" i="2"/>
  <c r="AC344" i="2"/>
  <c r="Z344" i="2"/>
  <c r="U344" i="2"/>
  <c r="Q344" i="2"/>
  <c r="T344" i="2" s="1"/>
  <c r="P344" i="2"/>
  <c r="O344" i="2"/>
  <c r="N344" i="2"/>
  <c r="L344" i="2"/>
  <c r="AB343" i="2"/>
  <c r="T343" i="2"/>
  <c r="Q343" i="2"/>
  <c r="P343" i="2"/>
  <c r="AC343" i="2" s="1"/>
  <c r="O343" i="2"/>
  <c r="N343" i="2"/>
  <c r="L343" i="2"/>
  <c r="AC342" i="2"/>
  <c r="AB342" i="2"/>
  <c r="AA342" i="2"/>
  <c r="X342" i="2"/>
  <c r="Q342" i="2"/>
  <c r="P342" i="2"/>
  <c r="Z342" i="2" s="1"/>
  <c r="O342" i="2"/>
  <c r="N342" i="2"/>
  <c r="T342" i="2" s="1"/>
  <c r="L342" i="2"/>
  <c r="Z341" i="2"/>
  <c r="W341" i="2"/>
  <c r="Q341" i="2"/>
  <c r="P341" i="2"/>
  <c r="O341" i="2"/>
  <c r="N341" i="2"/>
  <c r="T341" i="2" s="1"/>
  <c r="L341" i="2"/>
  <c r="AC340" i="2"/>
  <c r="Q340" i="2"/>
  <c r="P340" i="2"/>
  <c r="AB340" i="2" s="1"/>
  <c r="O340" i="2"/>
  <c r="N340" i="2"/>
  <c r="L340" i="2"/>
  <c r="AC339" i="2"/>
  <c r="AB339" i="2"/>
  <c r="X339" i="2"/>
  <c r="U339" i="2"/>
  <c r="Q339" i="2"/>
  <c r="P339" i="2"/>
  <c r="AA339" i="2" s="1"/>
  <c r="O339" i="2"/>
  <c r="N339" i="2"/>
  <c r="T339" i="2" s="1"/>
  <c r="L339" i="2"/>
  <c r="AC338" i="2"/>
  <c r="AB338" i="2"/>
  <c r="AA338" i="2"/>
  <c r="T338" i="2"/>
  <c r="Q338" i="2"/>
  <c r="P338" i="2"/>
  <c r="Z338" i="2" s="1"/>
  <c r="O338" i="2"/>
  <c r="N338" i="2"/>
  <c r="L338" i="2"/>
  <c r="AA337" i="2"/>
  <c r="Q337" i="2"/>
  <c r="P337" i="2"/>
  <c r="Z337" i="2" s="1"/>
  <c r="O337" i="2"/>
  <c r="N337" i="2"/>
  <c r="T337" i="2" s="1"/>
  <c r="L337" i="2"/>
  <c r="AC336" i="2"/>
  <c r="Z336" i="2"/>
  <c r="Q336" i="2"/>
  <c r="T336" i="2" s="1"/>
  <c r="P336" i="2"/>
  <c r="O336" i="2"/>
  <c r="N336" i="2"/>
  <c r="L336" i="2"/>
  <c r="AC335" i="2"/>
  <c r="AB335" i="2"/>
  <c r="Q335" i="2"/>
  <c r="P335" i="2"/>
  <c r="AA335" i="2" s="1"/>
  <c r="O335" i="2"/>
  <c r="N335" i="2"/>
  <c r="T335" i="2" s="1"/>
  <c r="L335" i="2"/>
  <c r="AC334" i="2"/>
  <c r="AB334" i="2"/>
  <c r="AA334" i="2"/>
  <c r="Q334" i="2"/>
  <c r="P334" i="2"/>
  <c r="Z334" i="2" s="1"/>
  <c r="O334" i="2"/>
  <c r="N334" i="2"/>
  <c r="L334" i="2"/>
  <c r="W333" i="2"/>
  <c r="V333" i="2"/>
  <c r="Q333" i="2"/>
  <c r="P333" i="2"/>
  <c r="O333" i="2"/>
  <c r="N333" i="2"/>
  <c r="T333" i="2" s="1"/>
  <c r="L333" i="2"/>
  <c r="AC332" i="2"/>
  <c r="Y332" i="2"/>
  <c r="V332" i="2"/>
  <c r="Q332" i="2"/>
  <c r="P332" i="2"/>
  <c r="AB332" i="2" s="1"/>
  <c r="O332" i="2"/>
  <c r="N332" i="2"/>
  <c r="T332" i="2" s="1"/>
  <c r="U332" i="2" s="1"/>
  <c r="L332" i="2"/>
  <c r="AC331" i="2"/>
  <c r="AB331" i="2"/>
  <c r="Q331" i="2"/>
  <c r="P331" i="2"/>
  <c r="AA331" i="2" s="1"/>
  <c r="O331" i="2"/>
  <c r="N331" i="2"/>
  <c r="T331" i="2" s="1"/>
  <c r="L331" i="2"/>
  <c r="AC330" i="2"/>
  <c r="AB330" i="2"/>
  <c r="AA330" i="2"/>
  <c r="Q330" i="2"/>
  <c r="P330" i="2"/>
  <c r="Z330" i="2" s="1"/>
  <c r="O330" i="2"/>
  <c r="T330" i="2" s="1"/>
  <c r="N330" i="2"/>
  <c r="L330" i="2"/>
  <c r="Z329" i="2"/>
  <c r="Q329" i="2"/>
  <c r="P329" i="2"/>
  <c r="AA329" i="2" s="1"/>
  <c r="O329" i="2"/>
  <c r="N329" i="2"/>
  <c r="L329" i="2"/>
  <c r="AC328" i="2"/>
  <c r="Q328" i="2"/>
  <c r="P328" i="2"/>
  <c r="Z328" i="2" s="1"/>
  <c r="O328" i="2"/>
  <c r="N328" i="2"/>
  <c r="L328" i="2"/>
  <c r="AC327" i="2"/>
  <c r="Z327" i="2"/>
  <c r="T327" i="2"/>
  <c r="Q327" i="2"/>
  <c r="P327" i="2"/>
  <c r="AA327" i="2" s="1"/>
  <c r="O327" i="2"/>
  <c r="N327" i="2"/>
  <c r="L327" i="2"/>
  <c r="AC326" i="2"/>
  <c r="AB326" i="2"/>
  <c r="AA326" i="2"/>
  <c r="Q326" i="2"/>
  <c r="P326" i="2"/>
  <c r="Z326" i="2" s="1"/>
  <c r="O326" i="2"/>
  <c r="N326" i="2"/>
  <c r="T326" i="2" s="1"/>
  <c r="L326" i="2"/>
  <c r="Z325" i="2"/>
  <c r="X325" i="2"/>
  <c r="V325" i="2"/>
  <c r="T325" i="2"/>
  <c r="W325" i="2" s="1"/>
  <c r="Q325" i="2"/>
  <c r="P325" i="2"/>
  <c r="AC325" i="2" s="1"/>
  <c r="O325" i="2"/>
  <c r="N325" i="2"/>
  <c r="L325" i="2"/>
  <c r="AA324" i="2"/>
  <c r="Z324" i="2"/>
  <c r="Q324" i="2"/>
  <c r="P324" i="2"/>
  <c r="AB324" i="2" s="1"/>
  <c r="O324" i="2"/>
  <c r="N324" i="2"/>
  <c r="L324" i="2"/>
  <c r="AC323" i="2"/>
  <c r="Z323" i="2"/>
  <c r="V323" i="2"/>
  <c r="Q323" i="2"/>
  <c r="P323" i="2"/>
  <c r="AA323" i="2" s="1"/>
  <c r="O323" i="2"/>
  <c r="N323" i="2"/>
  <c r="T323" i="2" s="1"/>
  <c r="L323" i="2"/>
  <c r="AC322" i="2"/>
  <c r="AB322" i="2"/>
  <c r="AA322" i="2"/>
  <c r="Q322" i="2"/>
  <c r="P322" i="2"/>
  <c r="Z322" i="2" s="1"/>
  <c r="O322" i="2"/>
  <c r="N322" i="2"/>
  <c r="T322" i="2" s="1"/>
  <c r="L322" i="2"/>
  <c r="AA321" i="2"/>
  <c r="X321" i="2"/>
  <c r="W321" i="2"/>
  <c r="T321" i="2"/>
  <c r="Q321" i="2"/>
  <c r="P321" i="2"/>
  <c r="AC321" i="2" s="1"/>
  <c r="O321" i="2"/>
  <c r="N321" i="2"/>
  <c r="L321" i="2"/>
  <c r="Q320" i="2"/>
  <c r="T320" i="2" s="1"/>
  <c r="P320" i="2"/>
  <c r="AB320" i="2" s="1"/>
  <c r="O320" i="2"/>
  <c r="N320" i="2"/>
  <c r="L320" i="2"/>
  <c r="Q319" i="2"/>
  <c r="P319" i="2"/>
  <c r="AA319" i="2" s="1"/>
  <c r="O319" i="2"/>
  <c r="N319" i="2"/>
  <c r="T319" i="2" s="1"/>
  <c r="Y319" i="2" s="1"/>
  <c r="L319" i="2"/>
  <c r="AC318" i="2"/>
  <c r="AB318" i="2"/>
  <c r="AA318" i="2"/>
  <c r="X318" i="2"/>
  <c r="U318" i="2"/>
  <c r="T318" i="2"/>
  <c r="V318" i="2" s="1"/>
  <c r="Q318" i="2"/>
  <c r="P318" i="2"/>
  <c r="Z318" i="2" s="1"/>
  <c r="O318" i="2"/>
  <c r="N318" i="2"/>
  <c r="L318" i="2"/>
  <c r="AA317" i="2"/>
  <c r="Z317" i="2"/>
  <c r="Q317" i="2"/>
  <c r="P317" i="2"/>
  <c r="AC317" i="2" s="1"/>
  <c r="O317" i="2"/>
  <c r="N317" i="2"/>
  <c r="T317" i="2" s="1"/>
  <c r="L317" i="2"/>
  <c r="AC316" i="2"/>
  <c r="Z316" i="2"/>
  <c r="W316" i="2"/>
  <c r="Q316" i="2"/>
  <c r="P316" i="2"/>
  <c r="AB316" i="2" s="1"/>
  <c r="O316" i="2"/>
  <c r="N316" i="2"/>
  <c r="T316" i="2" s="1"/>
  <c r="V316" i="2" s="1"/>
  <c r="L316" i="2"/>
  <c r="AC315" i="2"/>
  <c r="AB315" i="2"/>
  <c r="T315" i="2"/>
  <c r="Q315" i="2"/>
  <c r="P315" i="2"/>
  <c r="AA315" i="2" s="1"/>
  <c r="O315" i="2"/>
  <c r="N315" i="2"/>
  <c r="L315" i="2"/>
  <c r="AC314" i="2"/>
  <c r="AB314" i="2"/>
  <c r="AA314" i="2"/>
  <c r="T314" i="2"/>
  <c r="Y314" i="2" s="1"/>
  <c r="Q314" i="2"/>
  <c r="P314" i="2"/>
  <c r="Z314" i="2" s="1"/>
  <c r="O314" i="2"/>
  <c r="N314" i="2"/>
  <c r="L314" i="2"/>
  <c r="X313" i="2"/>
  <c r="Q313" i="2"/>
  <c r="P313" i="2"/>
  <c r="AC313" i="2" s="1"/>
  <c r="O313" i="2"/>
  <c r="N313" i="2"/>
  <c r="T313" i="2" s="1"/>
  <c r="L313" i="2"/>
  <c r="AC312" i="2"/>
  <c r="AB312" i="2"/>
  <c r="Z312" i="2"/>
  <c r="V312" i="2"/>
  <c r="Q312" i="2"/>
  <c r="P312" i="2"/>
  <c r="AA312" i="2" s="1"/>
  <c r="O312" i="2"/>
  <c r="T312" i="2" s="1"/>
  <c r="N312" i="2"/>
  <c r="L312" i="2"/>
  <c r="AC311" i="2"/>
  <c r="AB311" i="2"/>
  <c r="T311" i="2"/>
  <c r="Q311" i="2"/>
  <c r="P311" i="2"/>
  <c r="AA311" i="2" s="1"/>
  <c r="O311" i="2"/>
  <c r="N311" i="2"/>
  <c r="L311" i="2"/>
  <c r="T310" i="2"/>
  <c r="V310" i="2" s="1"/>
  <c r="Q310" i="2"/>
  <c r="P310" i="2"/>
  <c r="O310" i="2"/>
  <c r="N310" i="2"/>
  <c r="L310" i="2"/>
  <c r="Z309" i="2"/>
  <c r="Q309" i="2"/>
  <c r="P309" i="2"/>
  <c r="AC309" i="2" s="1"/>
  <c r="O309" i="2"/>
  <c r="T309" i="2" s="1"/>
  <c r="N309" i="2"/>
  <c r="L309" i="2"/>
  <c r="AC308" i="2"/>
  <c r="Q308" i="2"/>
  <c r="P308" i="2"/>
  <c r="AB308" i="2" s="1"/>
  <c r="O308" i="2"/>
  <c r="N308" i="2"/>
  <c r="L308" i="2"/>
  <c r="T307" i="2"/>
  <c r="Y307" i="2" s="1"/>
  <c r="Q307" i="2"/>
  <c r="P307" i="2"/>
  <c r="O307" i="2"/>
  <c r="N307" i="2"/>
  <c r="L307" i="2"/>
  <c r="AC306" i="2"/>
  <c r="AB306" i="2"/>
  <c r="AA306" i="2"/>
  <c r="Q306" i="2"/>
  <c r="P306" i="2"/>
  <c r="Z306" i="2" s="1"/>
  <c r="O306" i="2"/>
  <c r="N306" i="2"/>
  <c r="T306" i="2" s="1"/>
  <c r="L306" i="2"/>
  <c r="AC305" i="2"/>
  <c r="AB305" i="2"/>
  <c r="Z305" i="2"/>
  <c r="Q305" i="2"/>
  <c r="P305" i="2"/>
  <c r="AA305" i="2" s="1"/>
  <c r="O305" i="2"/>
  <c r="N305" i="2"/>
  <c r="T305" i="2" s="1"/>
  <c r="V305" i="2" s="1"/>
  <c r="L305" i="2"/>
  <c r="AC304" i="2"/>
  <c r="AB304" i="2"/>
  <c r="T304" i="2"/>
  <c r="Q304" i="2"/>
  <c r="P304" i="2"/>
  <c r="AA304" i="2" s="1"/>
  <c r="O304" i="2"/>
  <c r="N304" i="2"/>
  <c r="L304" i="2"/>
  <c r="Q303" i="2"/>
  <c r="P303" i="2"/>
  <c r="O303" i="2"/>
  <c r="T303" i="2" s="1"/>
  <c r="N303" i="2"/>
  <c r="L303" i="2"/>
  <c r="Y302" i="2"/>
  <c r="Q302" i="2"/>
  <c r="P302" i="2"/>
  <c r="AC302" i="2" s="1"/>
  <c r="O302" i="2"/>
  <c r="N302" i="2"/>
  <c r="T302" i="2" s="1"/>
  <c r="L302" i="2"/>
  <c r="AB301" i="2"/>
  <c r="X301" i="2"/>
  <c r="V301" i="2"/>
  <c r="T301" i="2"/>
  <c r="U301" i="2" s="1"/>
  <c r="Q301" i="2"/>
  <c r="P301" i="2"/>
  <c r="AC301" i="2" s="1"/>
  <c r="O301" i="2"/>
  <c r="N301" i="2"/>
  <c r="L301" i="2"/>
  <c r="AA300" i="2"/>
  <c r="Q300" i="2"/>
  <c r="P300" i="2"/>
  <c r="O300" i="2"/>
  <c r="N300" i="2"/>
  <c r="L300" i="2"/>
  <c r="X299" i="2"/>
  <c r="Q299" i="2"/>
  <c r="P299" i="2"/>
  <c r="AA299" i="2" s="1"/>
  <c r="O299" i="2"/>
  <c r="N299" i="2"/>
  <c r="T299" i="2" s="1"/>
  <c r="L299" i="2"/>
  <c r="AC298" i="2"/>
  <c r="AB298" i="2"/>
  <c r="V298" i="2"/>
  <c r="Q298" i="2"/>
  <c r="P298" i="2"/>
  <c r="Z298" i="2" s="1"/>
  <c r="O298" i="2"/>
  <c r="N298" i="2"/>
  <c r="T298" i="2" s="1"/>
  <c r="L298" i="2"/>
  <c r="AC297" i="2"/>
  <c r="AB297" i="2"/>
  <c r="AA297" i="2"/>
  <c r="W297" i="2"/>
  <c r="U297" i="2"/>
  <c r="T297" i="2"/>
  <c r="Y297" i="2" s="1"/>
  <c r="Q297" i="2"/>
  <c r="P297" i="2"/>
  <c r="Z297" i="2" s="1"/>
  <c r="O297" i="2"/>
  <c r="N297" i="2"/>
  <c r="L297" i="2"/>
  <c r="AB296" i="2"/>
  <c r="AA296" i="2"/>
  <c r="T296" i="2"/>
  <c r="Q296" i="2"/>
  <c r="P296" i="2"/>
  <c r="Z296" i="2" s="1"/>
  <c r="O296" i="2"/>
  <c r="N296" i="2"/>
  <c r="L296" i="2"/>
  <c r="AC295" i="2"/>
  <c r="AA295" i="2"/>
  <c r="Q295" i="2"/>
  <c r="P295" i="2"/>
  <c r="Z295" i="2" s="1"/>
  <c r="O295" i="2"/>
  <c r="N295" i="2"/>
  <c r="L295" i="2"/>
  <c r="T294" i="2"/>
  <c r="Y294" i="2" s="1"/>
  <c r="Q294" i="2"/>
  <c r="P294" i="2"/>
  <c r="Z294" i="2" s="1"/>
  <c r="O294" i="2"/>
  <c r="N294" i="2"/>
  <c r="L294" i="2"/>
  <c r="AB293" i="2"/>
  <c r="AA293" i="2"/>
  <c r="Q293" i="2"/>
  <c r="P293" i="2"/>
  <c r="AC293" i="2" s="1"/>
  <c r="O293" i="2"/>
  <c r="N293" i="2"/>
  <c r="L293" i="2"/>
  <c r="Q292" i="2"/>
  <c r="P292" i="2"/>
  <c r="AC292" i="2" s="1"/>
  <c r="O292" i="2"/>
  <c r="N292" i="2"/>
  <c r="T292" i="2" s="1"/>
  <c r="X292" i="2" s="1"/>
  <c r="L292" i="2"/>
  <c r="Q291" i="2"/>
  <c r="P291" i="2"/>
  <c r="AC291" i="2" s="1"/>
  <c r="O291" i="2"/>
  <c r="T291" i="2" s="1"/>
  <c r="N291" i="2"/>
  <c r="L291" i="2"/>
  <c r="AC290" i="2"/>
  <c r="AB290" i="2"/>
  <c r="AA290" i="2"/>
  <c r="Q290" i="2"/>
  <c r="P290" i="2"/>
  <c r="Z290" i="2" s="1"/>
  <c r="O290" i="2"/>
  <c r="N290" i="2"/>
  <c r="T290" i="2" s="1"/>
  <c r="L290" i="2"/>
  <c r="AC289" i="2"/>
  <c r="AB289" i="2"/>
  <c r="AA289" i="2"/>
  <c r="W289" i="2"/>
  <c r="U289" i="2"/>
  <c r="T289" i="2"/>
  <c r="Y289" i="2" s="1"/>
  <c r="Q289" i="2"/>
  <c r="P289" i="2"/>
  <c r="Z289" i="2" s="1"/>
  <c r="O289" i="2"/>
  <c r="N289" i="2"/>
  <c r="L289" i="2"/>
  <c r="AB288" i="2"/>
  <c r="AA288" i="2"/>
  <c r="T288" i="2"/>
  <c r="Q288" i="2"/>
  <c r="P288" i="2"/>
  <c r="Z288" i="2" s="1"/>
  <c r="O288" i="2"/>
  <c r="N288" i="2"/>
  <c r="L288" i="2"/>
  <c r="AC287" i="2"/>
  <c r="AA287" i="2"/>
  <c r="Q287" i="2"/>
  <c r="P287" i="2"/>
  <c r="Z287" i="2" s="1"/>
  <c r="O287" i="2"/>
  <c r="N287" i="2"/>
  <c r="L287" i="2"/>
  <c r="T286" i="2"/>
  <c r="Y286" i="2" s="1"/>
  <c r="Q286" i="2"/>
  <c r="P286" i="2"/>
  <c r="O286" i="2"/>
  <c r="N286" i="2"/>
  <c r="L286" i="2"/>
  <c r="AB285" i="2"/>
  <c r="AA285" i="2"/>
  <c r="Q285" i="2"/>
  <c r="P285" i="2"/>
  <c r="AC285" i="2" s="1"/>
  <c r="O285" i="2"/>
  <c r="N285" i="2"/>
  <c r="L285" i="2"/>
  <c r="Q284" i="2"/>
  <c r="P284" i="2"/>
  <c r="AC284" i="2" s="1"/>
  <c r="O284" i="2"/>
  <c r="N284" i="2"/>
  <c r="T284" i="2" s="1"/>
  <c r="L284" i="2"/>
  <c r="W283" i="2"/>
  <c r="Q283" i="2"/>
  <c r="P283" i="2"/>
  <c r="AC283" i="2" s="1"/>
  <c r="O283" i="2"/>
  <c r="T283" i="2" s="1"/>
  <c r="N283" i="2"/>
  <c r="L283" i="2"/>
  <c r="AC282" i="2"/>
  <c r="AB282" i="2"/>
  <c r="AA282" i="2"/>
  <c r="Q282" i="2"/>
  <c r="P282" i="2"/>
  <c r="Z282" i="2" s="1"/>
  <c r="O282" i="2"/>
  <c r="N282" i="2"/>
  <c r="T282" i="2" s="1"/>
  <c r="L282" i="2"/>
  <c r="AC281" i="2"/>
  <c r="AB281" i="2"/>
  <c r="W281" i="2"/>
  <c r="U281" i="2"/>
  <c r="T281" i="2"/>
  <c r="Y281" i="2" s="1"/>
  <c r="Q281" i="2"/>
  <c r="P281" i="2"/>
  <c r="AA281" i="2" s="1"/>
  <c r="O281" i="2"/>
  <c r="N281" i="2"/>
  <c r="L281" i="2"/>
  <c r="AB280" i="2"/>
  <c r="AA280" i="2"/>
  <c r="T280" i="2"/>
  <c r="Q280" i="2"/>
  <c r="P280" i="2"/>
  <c r="Z280" i="2" s="1"/>
  <c r="O280" i="2"/>
  <c r="N280" i="2"/>
  <c r="L280" i="2"/>
  <c r="AC279" i="2"/>
  <c r="AA279" i="2"/>
  <c r="Q279" i="2"/>
  <c r="P279" i="2"/>
  <c r="Z279" i="2" s="1"/>
  <c r="O279" i="2"/>
  <c r="N279" i="2"/>
  <c r="T279" i="2" s="1"/>
  <c r="L279" i="2"/>
  <c r="Z278" i="2"/>
  <c r="T278" i="2"/>
  <c r="Y278" i="2" s="1"/>
  <c r="Q278" i="2"/>
  <c r="P278" i="2"/>
  <c r="O278" i="2"/>
  <c r="N278" i="2"/>
  <c r="L278" i="2"/>
  <c r="AB277" i="2"/>
  <c r="AA277" i="2"/>
  <c r="Q277" i="2"/>
  <c r="P277" i="2"/>
  <c r="AC277" i="2" s="1"/>
  <c r="O277" i="2"/>
  <c r="N277" i="2"/>
  <c r="T277" i="2" s="1"/>
  <c r="L277" i="2"/>
  <c r="X276" i="2"/>
  <c r="Q276" i="2"/>
  <c r="P276" i="2"/>
  <c r="AC276" i="2" s="1"/>
  <c r="O276" i="2"/>
  <c r="N276" i="2"/>
  <c r="T276" i="2" s="1"/>
  <c r="L276" i="2"/>
  <c r="Q275" i="2"/>
  <c r="P275" i="2"/>
  <c r="AC275" i="2" s="1"/>
  <c r="O275" i="2"/>
  <c r="T275" i="2" s="1"/>
  <c r="W275" i="2" s="1"/>
  <c r="N275" i="2"/>
  <c r="L275" i="2"/>
  <c r="AC274" i="2"/>
  <c r="AB274" i="2"/>
  <c r="AA274" i="2"/>
  <c r="V274" i="2"/>
  <c r="Q274" i="2"/>
  <c r="P274" i="2"/>
  <c r="Z274" i="2" s="1"/>
  <c r="O274" i="2"/>
  <c r="N274" i="2"/>
  <c r="T274" i="2" s="1"/>
  <c r="L274" i="2"/>
  <c r="AC273" i="2"/>
  <c r="AB273" i="2"/>
  <c r="W273" i="2"/>
  <c r="U273" i="2"/>
  <c r="T273" i="2"/>
  <c r="Y273" i="2" s="1"/>
  <c r="Q273" i="2"/>
  <c r="P273" i="2"/>
  <c r="AA273" i="2" s="1"/>
  <c r="O273" i="2"/>
  <c r="N273" i="2"/>
  <c r="L273" i="2"/>
  <c r="AB272" i="2"/>
  <c r="AA272" i="2"/>
  <c r="T272" i="2"/>
  <c r="Q272" i="2"/>
  <c r="P272" i="2"/>
  <c r="Z272" i="2" s="1"/>
  <c r="O272" i="2"/>
  <c r="N272" i="2"/>
  <c r="L272" i="2"/>
  <c r="AC271" i="2"/>
  <c r="AA271" i="2"/>
  <c r="Q271" i="2"/>
  <c r="P271" i="2"/>
  <c r="Z271" i="2" s="1"/>
  <c r="O271" i="2"/>
  <c r="N271" i="2"/>
  <c r="L271" i="2"/>
  <c r="T270" i="2"/>
  <c r="Y270" i="2" s="1"/>
  <c r="Q270" i="2"/>
  <c r="P270" i="2"/>
  <c r="Z270" i="2" s="1"/>
  <c r="O270" i="2"/>
  <c r="N270" i="2"/>
  <c r="L270" i="2"/>
  <c r="AB269" i="2"/>
  <c r="AA269" i="2"/>
  <c r="Q269" i="2"/>
  <c r="P269" i="2"/>
  <c r="AC269" i="2" s="1"/>
  <c r="O269" i="2"/>
  <c r="N269" i="2"/>
  <c r="L269" i="2"/>
  <c r="Q268" i="2"/>
  <c r="P268" i="2"/>
  <c r="AC268" i="2" s="1"/>
  <c r="O268" i="2"/>
  <c r="N268" i="2"/>
  <c r="T268" i="2" s="1"/>
  <c r="X268" i="2" s="1"/>
  <c r="L268" i="2"/>
  <c r="Q267" i="2"/>
  <c r="P267" i="2"/>
  <c r="AC267" i="2" s="1"/>
  <c r="O267" i="2"/>
  <c r="T267" i="2" s="1"/>
  <c r="N267" i="2"/>
  <c r="L267" i="2"/>
  <c r="AC266" i="2"/>
  <c r="AB266" i="2"/>
  <c r="AA266" i="2"/>
  <c r="Q266" i="2"/>
  <c r="P266" i="2"/>
  <c r="Z266" i="2" s="1"/>
  <c r="O266" i="2"/>
  <c r="N266" i="2"/>
  <c r="T266" i="2" s="1"/>
  <c r="L266" i="2"/>
  <c r="AC265" i="2"/>
  <c r="AB265" i="2"/>
  <c r="W265" i="2"/>
  <c r="U265" i="2"/>
  <c r="T265" i="2"/>
  <c r="Y265" i="2" s="1"/>
  <c r="Q265" i="2"/>
  <c r="P265" i="2"/>
  <c r="AA265" i="2" s="1"/>
  <c r="O265" i="2"/>
  <c r="N265" i="2"/>
  <c r="L265" i="2"/>
  <c r="AB264" i="2"/>
  <c r="AA264" i="2"/>
  <c r="T264" i="2"/>
  <c r="Q264" i="2"/>
  <c r="P264" i="2"/>
  <c r="Z264" i="2" s="1"/>
  <c r="O264" i="2"/>
  <c r="N264" i="2"/>
  <c r="L264" i="2"/>
  <c r="AC263" i="2"/>
  <c r="AA263" i="2"/>
  <c r="Q263" i="2"/>
  <c r="P263" i="2"/>
  <c r="Z263" i="2" s="1"/>
  <c r="O263" i="2"/>
  <c r="N263" i="2"/>
  <c r="T263" i="2" s="1"/>
  <c r="L263" i="2"/>
  <c r="T262" i="2"/>
  <c r="Y262" i="2" s="1"/>
  <c r="Q262" i="2"/>
  <c r="P262" i="2"/>
  <c r="O262" i="2"/>
  <c r="N262" i="2"/>
  <c r="L262" i="2"/>
  <c r="AB261" i="2"/>
  <c r="AA261" i="2"/>
  <c r="Q261" i="2"/>
  <c r="P261" i="2"/>
  <c r="AC261" i="2" s="1"/>
  <c r="O261" i="2"/>
  <c r="N261" i="2"/>
  <c r="T261" i="2" s="1"/>
  <c r="L261" i="2"/>
  <c r="Q260" i="2"/>
  <c r="P260" i="2"/>
  <c r="AC260" i="2" s="1"/>
  <c r="O260" i="2"/>
  <c r="N260" i="2"/>
  <c r="T260" i="2" s="1"/>
  <c r="L260" i="2"/>
  <c r="AC259" i="2"/>
  <c r="AB259" i="2"/>
  <c r="Q259" i="2"/>
  <c r="P259" i="2"/>
  <c r="AA259" i="2" s="1"/>
  <c r="O259" i="2"/>
  <c r="T259" i="2" s="1"/>
  <c r="N259" i="2"/>
  <c r="L259" i="2"/>
  <c r="AC258" i="2"/>
  <c r="AB258" i="2"/>
  <c r="AA258" i="2"/>
  <c r="Q258" i="2"/>
  <c r="P258" i="2"/>
  <c r="Z258" i="2" s="1"/>
  <c r="O258" i="2"/>
  <c r="N258" i="2"/>
  <c r="T258" i="2" s="1"/>
  <c r="L258" i="2"/>
  <c r="AC257" i="2"/>
  <c r="AB257" i="2"/>
  <c r="W257" i="2"/>
  <c r="U257" i="2"/>
  <c r="T257" i="2"/>
  <c r="Y257" i="2" s="1"/>
  <c r="Q257" i="2"/>
  <c r="P257" i="2"/>
  <c r="AA257" i="2" s="1"/>
  <c r="O257" i="2"/>
  <c r="N257" i="2"/>
  <c r="L257" i="2"/>
  <c r="AB256" i="2"/>
  <c r="AA256" i="2"/>
  <c r="T256" i="2"/>
  <c r="Q256" i="2"/>
  <c r="P256" i="2"/>
  <c r="Z256" i="2" s="1"/>
  <c r="O256" i="2"/>
  <c r="N256" i="2"/>
  <c r="L256" i="2"/>
  <c r="AC255" i="2"/>
  <c r="AA255" i="2"/>
  <c r="Q255" i="2"/>
  <c r="P255" i="2"/>
  <c r="Z255" i="2" s="1"/>
  <c r="O255" i="2"/>
  <c r="N255" i="2"/>
  <c r="T255" i="2" s="1"/>
  <c r="L255" i="2"/>
  <c r="T254" i="2"/>
  <c r="Y254" i="2" s="1"/>
  <c r="Q254" i="2"/>
  <c r="P254" i="2"/>
  <c r="O254" i="2"/>
  <c r="N254" i="2"/>
  <c r="L254" i="2"/>
  <c r="AB253" i="2"/>
  <c r="AA253" i="2"/>
  <c r="Q253" i="2"/>
  <c r="P253" i="2"/>
  <c r="AC253" i="2" s="1"/>
  <c r="O253" i="2"/>
  <c r="N253" i="2"/>
  <c r="L253" i="2"/>
  <c r="X252" i="2"/>
  <c r="Q252" i="2"/>
  <c r="P252" i="2"/>
  <c r="AC252" i="2" s="1"/>
  <c r="O252" i="2"/>
  <c r="N252" i="2"/>
  <c r="T252" i="2" s="1"/>
  <c r="L252" i="2"/>
  <c r="W251" i="2"/>
  <c r="Q251" i="2"/>
  <c r="P251" i="2"/>
  <c r="AC251" i="2" s="1"/>
  <c r="O251" i="2"/>
  <c r="T251" i="2" s="1"/>
  <c r="N251" i="2"/>
  <c r="L251" i="2"/>
  <c r="AC250" i="2"/>
  <c r="AB250" i="2"/>
  <c r="AA250" i="2"/>
  <c r="V250" i="2"/>
  <c r="Q250" i="2"/>
  <c r="P250" i="2"/>
  <c r="Z250" i="2" s="1"/>
  <c r="O250" i="2"/>
  <c r="N250" i="2"/>
  <c r="T250" i="2" s="1"/>
  <c r="L250" i="2"/>
  <c r="AC249" i="2"/>
  <c r="AB249" i="2"/>
  <c r="W249" i="2"/>
  <c r="U249" i="2"/>
  <c r="T249" i="2"/>
  <c r="Y249" i="2" s="1"/>
  <c r="Q249" i="2"/>
  <c r="P249" i="2"/>
  <c r="AA249" i="2" s="1"/>
  <c r="O249" i="2"/>
  <c r="N249" i="2"/>
  <c r="L249" i="2"/>
  <c r="AB248" i="2"/>
  <c r="AA248" i="2"/>
  <c r="T248" i="2"/>
  <c r="Q248" i="2"/>
  <c r="P248" i="2"/>
  <c r="Z248" i="2" s="1"/>
  <c r="O248" i="2"/>
  <c r="N248" i="2"/>
  <c r="L248" i="2"/>
  <c r="AC247" i="2"/>
  <c r="AA247" i="2"/>
  <c r="Q247" i="2"/>
  <c r="P247" i="2"/>
  <c r="Z247" i="2" s="1"/>
  <c r="O247" i="2"/>
  <c r="N247" i="2"/>
  <c r="T247" i="2" s="1"/>
  <c r="L247" i="2"/>
  <c r="Z246" i="2"/>
  <c r="T246" i="2"/>
  <c r="Y246" i="2" s="1"/>
  <c r="Q246" i="2"/>
  <c r="P246" i="2"/>
  <c r="O246" i="2"/>
  <c r="N246" i="2"/>
  <c r="L246" i="2"/>
  <c r="AB245" i="2"/>
  <c r="AA245" i="2"/>
  <c r="Q245" i="2"/>
  <c r="P245" i="2"/>
  <c r="AC245" i="2" s="1"/>
  <c r="O245" i="2"/>
  <c r="N245" i="2"/>
  <c r="L245" i="2"/>
  <c r="X244" i="2"/>
  <c r="Q244" i="2"/>
  <c r="P244" i="2"/>
  <c r="AC244" i="2" s="1"/>
  <c r="O244" i="2"/>
  <c r="N244" i="2"/>
  <c r="T244" i="2" s="1"/>
  <c r="L244" i="2"/>
  <c r="Q243" i="2"/>
  <c r="P243" i="2"/>
  <c r="AC243" i="2" s="1"/>
  <c r="O243" i="2"/>
  <c r="T243" i="2" s="1"/>
  <c r="N243" i="2"/>
  <c r="L243" i="2"/>
  <c r="AC242" i="2"/>
  <c r="AB242" i="2"/>
  <c r="AA242" i="2"/>
  <c r="X242" i="2"/>
  <c r="V242" i="2"/>
  <c r="Q242" i="2"/>
  <c r="P242" i="2"/>
  <c r="Z242" i="2" s="1"/>
  <c r="O242" i="2"/>
  <c r="N242" i="2"/>
  <c r="T242" i="2" s="1"/>
  <c r="L242" i="2"/>
  <c r="AC241" i="2"/>
  <c r="AB241" i="2"/>
  <c r="W241" i="2"/>
  <c r="U241" i="2"/>
  <c r="Q241" i="2"/>
  <c r="P241" i="2"/>
  <c r="AA241" i="2" s="1"/>
  <c r="O241" i="2"/>
  <c r="N241" i="2"/>
  <c r="T241" i="2" s="1"/>
  <c r="L241" i="2"/>
  <c r="AB240" i="2"/>
  <c r="AA240" i="2"/>
  <c r="T240" i="2"/>
  <c r="Q240" i="2"/>
  <c r="P240" i="2"/>
  <c r="Z240" i="2" s="1"/>
  <c r="O240" i="2"/>
  <c r="N240" i="2"/>
  <c r="L240" i="2"/>
  <c r="AC239" i="2"/>
  <c r="AA239" i="2"/>
  <c r="Q239" i="2"/>
  <c r="P239" i="2"/>
  <c r="Z239" i="2" s="1"/>
  <c r="O239" i="2"/>
  <c r="N239" i="2"/>
  <c r="L239" i="2"/>
  <c r="AB238" i="2"/>
  <c r="T238" i="2"/>
  <c r="Q238" i="2"/>
  <c r="P238" i="2"/>
  <c r="Z238" i="2" s="1"/>
  <c r="O238" i="2"/>
  <c r="N238" i="2"/>
  <c r="L238" i="2"/>
  <c r="AB237" i="2"/>
  <c r="AA237" i="2"/>
  <c r="Q237" i="2"/>
  <c r="P237" i="2"/>
  <c r="AC237" i="2" s="1"/>
  <c r="O237" i="2"/>
  <c r="N237" i="2"/>
  <c r="L237" i="2"/>
  <c r="X236" i="2"/>
  <c r="Q236" i="2"/>
  <c r="P236" i="2"/>
  <c r="Z236" i="2" s="1"/>
  <c r="O236" i="2"/>
  <c r="N236" i="2"/>
  <c r="T236" i="2" s="1"/>
  <c r="L236" i="2"/>
  <c r="Q235" i="2"/>
  <c r="P235" i="2"/>
  <c r="AC235" i="2" s="1"/>
  <c r="O235" i="2"/>
  <c r="T235" i="2" s="1"/>
  <c r="Y235" i="2" s="1"/>
  <c r="N235" i="2"/>
  <c r="L235" i="2"/>
  <c r="AC234" i="2"/>
  <c r="AB234" i="2"/>
  <c r="AA234" i="2"/>
  <c r="X234" i="2"/>
  <c r="V234" i="2"/>
  <c r="Q234" i="2"/>
  <c r="P234" i="2"/>
  <c r="Z234" i="2" s="1"/>
  <c r="O234" i="2"/>
  <c r="N234" i="2"/>
  <c r="T234" i="2" s="1"/>
  <c r="Y234" i="2" s="1"/>
  <c r="L234" i="2"/>
  <c r="AC233" i="2"/>
  <c r="AB233" i="2"/>
  <c r="X233" i="2"/>
  <c r="Q233" i="2"/>
  <c r="P233" i="2"/>
  <c r="AA233" i="2" s="1"/>
  <c r="O233" i="2"/>
  <c r="N233" i="2"/>
  <c r="T233" i="2" s="1"/>
  <c r="L233" i="2"/>
  <c r="AB232" i="2"/>
  <c r="AA232" i="2"/>
  <c r="T232" i="2"/>
  <c r="Q232" i="2"/>
  <c r="P232" i="2"/>
  <c r="Z232" i="2" s="1"/>
  <c r="O232" i="2"/>
  <c r="N232" i="2"/>
  <c r="L232" i="2"/>
  <c r="Q231" i="2"/>
  <c r="P231" i="2"/>
  <c r="AB231" i="2" s="1"/>
  <c r="O231" i="2"/>
  <c r="N231" i="2"/>
  <c r="L231" i="2"/>
  <c r="AC230" i="2"/>
  <c r="AB230" i="2"/>
  <c r="Z230" i="2"/>
  <c r="Q230" i="2"/>
  <c r="P230" i="2"/>
  <c r="AA230" i="2" s="1"/>
  <c r="O230" i="2"/>
  <c r="T230" i="2" s="1"/>
  <c r="N230" i="2"/>
  <c r="L230" i="2"/>
  <c r="AB229" i="2"/>
  <c r="AA229" i="2"/>
  <c r="Q229" i="2"/>
  <c r="P229" i="2"/>
  <c r="AC229" i="2" s="1"/>
  <c r="O229" i="2"/>
  <c r="N229" i="2"/>
  <c r="T229" i="2" s="1"/>
  <c r="L229" i="2"/>
  <c r="Q228" i="2"/>
  <c r="P228" i="2"/>
  <c r="O228" i="2"/>
  <c r="N228" i="2"/>
  <c r="T228" i="2" s="1"/>
  <c r="X228" i="2" s="1"/>
  <c r="L228" i="2"/>
  <c r="Q227" i="2"/>
  <c r="P227" i="2"/>
  <c r="O227" i="2"/>
  <c r="T227" i="2" s="1"/>
  <c r="Y227" i="2" s="1"/>
  <c r="N227" i="2"/>
  <c r="L227" i="2"/>
  <c r="AC226" i="2"/>
  <c r="AB226" i="2"/>
  <c r="AA226" i="2"/>
  <c r="X226" i="2"/>
  <c r="V226" i="2"/>
  <c r="Q226" i="2"/>
  <c r="P226" i="2"/>
  <c r="Z226" i="2" s="1"/>
  <c r="O226" i="2"/>
  <c r="N226" i="2"/>
  <c r="T226" i="2" s="1"/>
  <c r="W226" i="2" s="1"/>
  <c r="L226" i="2"/>
  <c r="AC225" i="2"/>
  <c r="AB225" i="2"/>
  <c r="Q225" i="2"/>
  <c r="P225" i="2"/>
  <c r="AA225" i="2" s="1"/>
  <c r="O225" i="2"/>
  <c r="N225" i="2"/>
  <c r="T225" i="2" s="1"/>
  <c r="L225" i="2"/>
  <c r="AB224" i="2"/>
  <c r="AA224" i="2"/>
  <c r="Q224" i="2"/>
  <c r="T224" i="2" s="1"/>
  <c r="P224" i="2"/>
  <c r="Z224" i="2" s="1"/>
  <c r="O224" i="2"/>
  <c r="N224" i="2"/>
  <c r="L224" i="2"/>
  <c r="AC223" i="2"/>
  <c r="AA223" i="2"/>
  <c r="Z223" i="2"/>
  <c r="V223" i="2"/>
  <c r="U223" i="2"/>
  <c r="Q223" i="2"/>
  <c r="P223" i="2"/>
  <c r="AB223" i="2" s="1"/>
  <c r="O223" i="2"/>
  <c r="N223" i="2"/>
  <c r="T223" i="2" s="1"/>
  <c r="L223" i="2"/>
  <c r="AB222" i="2"/>
  <c r="Z222" i="2"/>
  <c r="Q222" i="2"/>
  <c r="P222" i="2"/>
  <c r="AA222" i="2" s="1"/>
  <c r="O222" i="2"/>
  <c r="T222" i="2" s="1"/>
  <c r="N222" i="2"/>
  <c r="L222" i="2"/>
  <c r="AB221" i="2"/>
  <c r="AA221" i="2"/>
  <c r="Q221" i="2"/>
  <c r="P221" i="2"/>
  <c r="AC221" i="2" s="1"/>
  <c r="O221" i="2"/>
  <c r="T221" i="2" s="1"/>
  <c r="N221" i="2"/>
  <c r="L221" i="2"/>
  <c r="Q220" i="2"/>
  <c r="P220" i="2"/>
  <c r="AA220" i="2" s="1"/>
  <c r="O220" i="2"/>
  <c r="N220" i="2"/>
  <c r="L220" i="2"/>
  <c r="Z219" i="2"/>
  <c r="Y219" i="2"/>
  <c r="W219" i="2"/>
  <c r="V219" i="2"/>
  <c r="Q219" i="2"/>
  <c r="P219" i="2"/>
  <c r="O219" i="2"/>
  <c r="T219" i="2" s="1"/>
  <c r="N219" i="2"/>
  <c r="L219" i="2"/>
  <c r="AC218" i="2"/>
  <c r="AB218" i="2"/>
  <c r="AA218" i="2"/>
  <c r="Q218" i="2"/>
  <c r="P218" i="2"/>
  <c r="Z218" i="2" s="1"/>
  <c r="O218" i="2"/>
  <c r="N218" i="2"/>
  <c r="T218" i="2" s="1"/>
  <c r="L218" i="2"/>
  <c r="AC217" i="2"/>
  <c r="AB217" i="2"/>
  <c r="Q217" i="2"/>
  <c r="T217" i="2" s="1"/>
  <c r="P217" i="2"/>
  <c r="AA217" i="2" s="1"/>
  <c r="O217" i="2"/>
  <c r="N217" i="2"/>
  <c r="L217" i="2"/>
  <c r="AA216" i="2"/>
  <c r="Q216" i="2"/>
  <c r="P216" i="2"/>
  <c r="AC216" i="2" s="1"/>
  <c r="O216" i="2"/>
  <c r="T216" i="2" s="1"/>
  <c r="N216" i="2"/>
  <c r="L216" i="2"/>
  <c r="Q215" i="2"/>
  <c r="P215" i="2"/>
  <c r="AB215" i="2" s="1"/>
  <c r="O215" i="2"/>
  <c r="N215" i="2"/>
  <c r="L215" i="2"/>
  <c r="Y214" i="2"/>
  <c r="Q214" i="2"/>
  <c r="P214" i="2"/>
  <c r="AA214" i="2" s="1"/>
  <c r="O214" i="2"/>
  <c r="N214" i="2"/>
  <c r="T214" i="2" s="1"/>
  <c r="L214" i="2"/>
  <c r="AB213" i="2"/>
  <c r="AA213" i="2"/>
  <c r="T213" i="2"/>
  <c r="Q213" i="2"/>
  <c r="P213" i="2"/>
  <c r="AC213" i="2" s="1"/>
  <c r="O213" i="2"/>
  <c r="N213" i="2"/>
  <c r="L213" i="2"/>
  <c r="Z212" i="2"/>
  <c r="Q212" i="2"/>
  <c r="P212" i="2"/>
  <c r="AB212" i="2" s="1"/>
  <c r="O212" i="2"/>
  <c r="N212" i="2"/>
  <c r="T212" i="2" s="1"/>
  <c r="L212" i="2"/>
  <c r="U211" i="2"/>
  <c r="T211" i="2"/>
  <c r="X211" i="2" s="1"/>
  <c r="Q211" i="2"/>
  <c r="P211" i="2"/>
  <c r="AA211" i="2" s="1"/>
  <c r="O211" i="2"/>
  <c r="N211" i="2"/>
  <c r="L211" i="2"/>
  <c r="AC210" i="2"/>
  <c r="AB210" i="2"/>
  <c r="AA210" i="2"/>
  <c r="Q210" i="2"/>
  <c r="P210" i="2"/>
  <c r="Z210" i="2" s="1"/>
  <c r="O210" i="2"/>
  <c r="T210" i="2" s="1"/>
  <c r="N210" i="2"/>
  <c r="L210" i="2"/>
  <c r="AA209" i="2"/>
  <c r="Q209" i="2"/>
  <c r="P209" i="2"/>
  <c r="AC209" i="2" s="1"/>
  <c r="O209" i="2"/>
  <c r="N209" i="2"/>
  <c r="T209" i="2" s="1"/>
  <c r="L209" i="2"/>
  <c r="Q208" i="2"/>
  <c r="T208" i="2" s="1"/>
  <c r="P208" i="2"/>
  <c r="AC208" i="2" s="1"/>
  <c r="O208" i="2"/>
  <c r="N208" i="2"/>
  <c r="L208" i="2"/>
  <c r="AA207" i="2"/>
  <c r="Q207" i="2"/>
  <c r="P207" i="2"/>
  <c r="AB207" i="2" s="1"/>
  <c r="O207" i="2"/>
  <c r="N207" i="2"/>
  <c r="L207" i="2"/>
  <c r="AC206" i="2"/>
  <c r="T206" i="2"/>
  <c r="Q206" i="2"/>
  <c r="P206" i="2"/>
  <c r="AA206" i="2" s="1"/>
  <c r="O206" i="2"/>
  <c r="N206" i="2"/>
  <c r="L206" i="2"/>
  <c r="AB205" i="2"/>
  <c r="Z205" i="2"/>
  <c r="Q205" i="2"/>
  <c r="P205" i="2"/>
  <c r="AC205" i="2" s="1"/>
  <c r="O205" i="2"/>
  <c r="N205" i="2"/>
  <c r="T205" i="2" s="1"/>
  <c r="L205" i="2"/>
  <c r="AC204" i="2"/>
  <c r="Z204" i="2"/>
  <c r="W204" i="2"/>
  <c r="V204" i="2"/>
  <c r="Q204" i="2"/>
  <c r="P204" i="2"/>
  <c r="AB204" i="2" s="1"/>
  <c r="O204" i="2"/>
  <c r="N204" i="2"/>
  <c r="T204" i="2" s="1"/>
  <c r="U204" i="2" s="1"/>
  <c r="L204" i="2"/>
  <c r="AC203" i="2"/>
  <c r="AB203" i="2"/>
  <c r="T203" i="2"/>
  <c r="Q203" i="2"/>
  <c r="P203" i="2"/>
  <c r="AA203" i="2" s="1"/>
  <c r="O203" i="2"/>
  <c r="N203" i="2"/>
  <c r="L203" i="2"/>
  <c r="AC202" i="2"/>
  <c r="AB202" i="2"/>
  <c r="AA202" i="2"/>
  <c r="Q202" i="2"/>
  <c r="P202" i="2"/>
  <c r="Z202" i="2" s="1"/>
  <c r="O202" i="2"/>
  <c r="T202" i="2" s="1"/>
  <c r="N202" i="2"/>
  <c r="L202" i="2"/>
  <c r="Q201" i="2"/>
  <c r="P201" i="2"/>
  <c r="AC201" i="2" s="1"/>
  <c r="O201" i="2"/>
  <c r="N201" i="2"/>
  <c r="T201" i="2" s="1"/>
  <c r="L201" i="2"/>
  <c r="AC200" i="2"/>
  <c r="Z200" i="2"/>
  <c r="Q200" i="2"/>
  <c r="T200" i="2" s="1"/>
  <c r="P200" i="2"/>
  <c r="AB200" i="2" s="1"/>
  <c r="O200" i="2"/>
  <c r="N200" i="2"/>
  <c r="L200" i="2"/>
  <c r="AC199" i="2"/>
  <c r="AB199" i="2"/>
  <c r="T199" i="2"/>
  <c r="Q199" i="2"/>
  <c r="P199" i="2"/>
  <c r="AA199" i="2" s="1"/>
  <c r="O199" i="2"/>
  <c r="N199" i="2"/>
  <c r="L199" i="2"/>
  <c r="AA198" i="2"/>
  <c r="Q198" i="2"/>
  <c r="P198" i="2"/>
  <c r="O198" i="2"/>
  <c r="T198" i="2" s="1"/>
  <c r="N198" i="2"/>
  <c r="L198" i="2"/>
  <c r="X197" i="2"/>
  <c r="Q197" i="2"/>
  <c r="P197" i="2"/>
  <c r="AC197" i="2" s="1"/>
  <c r="O197" i="2"/>
  <c r="N197" i="2"/>
  <c r="T197" i="2" s="1"/>
  <c r="L197" i="2"/>
  <c r="Q196" i="2"/>
  <c r="P196" i="2"/>
  <c r="AC196" i="2" s="1"/>
  <c r="O196" i="2"/>
  <c r="N196" i="2"/>
  <c r="T196" i="2" s="1"/>
  <c r="W196" i="2" s="1"/>
  <c r="L196" i="2"/>
  <c r="AC195" i="2"/>
  <c r="Q195" i="2"/>
  <c r="P195" i="2"/>
  <c r="AB195" i="2" s="1"/>
  <c r="O195" i="2"/>
  <c r="N195" i="2"/>
  <c r="T195" i="2" s="1"/>
  <c r="L195" i="2"/>
  <c r="AC194" i="2"/>
  <c r="AB194" i="2"/>
  <c r="U194" i="2"/>
  <c r="T194" i="2"/>
  <c r="Y194" i="2" s="1"/>
  <c r="Q194" i="2"/>
  <c r="P194" i="2"/>
  <c r="AA194" i="2" s="1"/>
  <c r="O194" i="2"/>
  <c r="N194" i="2"/>
  <c r="L194" i="2"/>
  <c r="AB193" i="2"/>
  <c r="AA193" i="2"/>
  <c r="T193" i="2"/>
  <c r="Q193" i="2"/>
  <c r="P193" i="2"/>
  <c r="Z193" i="2" s="1"/>
  <c r="O193" i="2"/>
  <c r="N193" i="2"/>
  <c r="L193" i="2"/>
  <c r="AA192" i="2"/>
  <c r="Q192" i="2"/>
  <c r="P192" i="2"/>
  <c r="Z192" i="2" s="1"/>
  <c r="O192" i="2"/>
  <c r="N192" i="2"/>
  <c r="T192" i="2" s="1"/>
  <c r="L192" i="2"/>
  <c r="Z191" i="2"/>
  <c r="Q191" i="2"/>
  <c r="P191" i="2"/>
  <c r="O191" i="2"/>
  <c r="T191" i="2" s="1"/>
  <c r="N191" i="2"/>
  <c r="L191" i="2"/>
  <c r="AC190" i="2"/>
  <c r="AB190" i="2"/>
  <c r="AA190" i="2"/>
  <c r="Q190" i="2"/>
  <c r="P190" i="2"/>
  <c r="Z190" i="2" s="1"/>
  <c r="O190" i="2"/>
  <c r="N190" i="2"/>
  <c r="T190" i="2" s="1"/>
  <c r="L190" i="2"/>
  <c r="Q189" i="2"/>
  <c r="P189" i="2"/>
  <c r="AC189" i="2" s="1"/>
  <c r="O189" i="2"/>
  <c r="N189" i="2"/>
  <c r="T189" i="2" s="1"/>
  <c r="X189" i="2" s="1"/>
  <c r="L189" i="2"/>
  <c r="W188" i="2"/>
  <c r="Q188" i="2"/>
  <c r="P188" i="2"/>
  <c r="AC188" i="2" s="1"/>
  <c r="O188" i="2"/>
  <c r="N188" i="2"/>
  <c r="T188" i="2" s="1"/>
  <c r="L188" i="2"/>
  <c r="AC187" i="2"/>
  <c r="Q187" i="2"/>
  <c r="P187" i="2"/>
  <c r="AB187" i="2" s="1"/>
  <c r="O187" i="2"/>
  <c r="N187" i="2"/>
  <c r="T187" i="2" s="1"/>
  <c r="V187" i="2" s="1"/>
  <c r="L187" i="2"/>
  <c r="AC186" i="2"/>
  <c r="AB186" i="2"/>
  <c r="U186" i="2"/>
  <c r="T186" i="2"/>
  <c r="Y186" i="2" s="1"/>
  <c r="Q186" i="2"/>
  <c r="P186" i="2"/>
  <c r="AA186" i="2" s="1"/>
  <c r="O186" i="2"/>
  <c r="N186" i="2"/>
  <c r="L186" i="2"/>
  <c r="AB185" i="2"/>
  <c r="AA185" i="2"/>
  <c r="T185" i="2"/>
  <c r="Q185" i="2"/>
  <c r="P185" i="2"/>
  <c r="Z185" i="2" s="1"/>
  <c r="O185" i="2"/>
  <c r="N185" i="2"/>
  <c r="L185" i="2"/>
  <c r="AA184" i="2"/>
  <c r="Q184" i="2"/>
  <c r="P184" i="2"/>
  <c r="Z184" i="2" s="1"/>
  <c r="O184" i="2"/>
  <c r="N184" i="2"/>
  <c r="T184" i="2" s="1"/>
  <c r="L184" i="2"/>
  <c r="Q183" i="2"/>
  <c r="P183" i="2"/>
  <c r="O183" i="2"/>
  <c r="T183" i="2" s="1"/>
  <c r="N183" i="2"/>
  <c r="L183" i="2"/>
  <c r="AC182" i="2"/>
  <c r="AB182" i="2"/>
  <c r="AA182" i="2"/>
  <c r="Q182" i="2"/>
  <c r="P182" i="2"/>
  <c r="Z182" i="2" s="1"/>
  <c r="O182" i="2"/>
  <c r="N182" i="2"/>
  <c r="L182" i="2"/>
  <c r="X181" i="2"/>
  <c r="Q181" i="2"/>
  <c r="P181" i="2"/>
  <c r="AC181" i="2" s="1"/>
  <c r="O181" i="2"/>
  <c r="N181" i="2"/>
  <c r="T181" i="2" s="1"/>
  <c r="L181" i="2"/>
  <c r="W180" i="2"/>
  <c r="Q180" i="2"/>
  <c r="P180" i="2"/>
  <c r="AC180" i="2" s="1"/>
  <c r="O180" i="2"/>
  <c r="N180" i="2"/>
  <c r="T180" i="2" s="1"/>
  <c r="L180" i="2"/>
  <c r="AC179" i="2"/>
  <c r="V179" i="2"/>
  <c r="Q179" i="2"/>
  <c r="P179" i="2"/>
  <c r="AB179" i="2" s="1"/>
  <c r="O179" i="2"/>
  <c r="N179" i="2"/>
  <c r="T179" i="2" s="1"/>
  <c r="L179" i="2"/>
  <c r="AC178" i="2"/>
  <c r="AB178" i="2"/>
  <c r="U178" i="2"/>
  <c r="T178" i="2"/>
  <c r="Y178" i="2" s="1"/>
  <c r="Q178" i="2"/>
  <c r="P178" i="2"/>
  <c r="AA178" i="2" s="1"/>
  <c r="O178" i="2"/>
  <c r="N178" i="2"/>
  <c r="L178" i="2"/>
  <c r="AB177" i="2"/>
  <c r="AA177" i="2"/>
  <c r="T177" i="2"/>
  <c r="Q177" i="2"/>
  <c r="P177" i="2"/>
  <c r="Z177" i="2" s="1"/>
  <c r="O177" i="2"/>
  <c r="N177" i="2"/>
  <c r="L177" i="2"/>
  <c r="AA176" i="2"/>
  <c r="Q176" i="2"/>
  <c r="P176" i="2"/>
  <c r="Z176" i="2" s="1"/>
  <c r="O176" i="2"/>
  <c r="N176" i="2"/>
  <c r="T176" i="2" s="1"/>
  <c r="L176" i="2"/>
  <c r="Q175" i="2"/>
  <c r="P175" i="2"/>
  <c r="O175" i="2"/>
  <c r="T175" i="2" s="1"/>
  <c r="N175" i="2"/>
  <c r="L175" i="2"/>
  <c r="AC174" i="2"/>
  <c r="AB174" i="2"/>
  <c r="AA174" i="2"/>
  <c r="Q174" i="2"/>
  <c r="P174" i="2"/>
  <c r="Z174" i="2" s="1"/>
  <c r="O174" i="2"/>
  <c r="N174" i="2"/>
  <c r="L174" i="2"/>
  <c r="Q173" i="2"/>
  <c r="P173" i="2"/>
  <c r="AC173" i="2" s="1"/>
  <c r="O173" i="2"/>
  <c r="N173" i="2"/>
  <c r="T173" i="2" s="1"/>
  <c r="L173" i="2"/>
  <c r="Q172" i="2"/>
  <c r="P172" i="2"/>
  <c r="AC172" i="2" s="1"/>
  <c r="O172" i="2"/>
  <c r="N172" i="2"/>
  <c r="T172" i="2" s="1"/>
  <c r="W172" i="2" s="1"/>
  <c r="L172" i="2"/>
  <c r="AC171" i="2"/>
  <c r="V171" i="2"/>
  <c r="Q171" i="2"/>
  <c r="P171" i="2"/>
  <c r="AB171" i="2" s="1"/>
  <c r="O171" i="2"/>
  <c r="N171" i="2"/>
  <c r="T171" i="2" s="1"/>
  <c r="L171" i="2"/>
  <c r="AC170" i="2"/>
  <c r="AB170" i="2"/>
  <c r="U170" i="2"/>
  <c r="T170" i="2"/>
  <c r="Y170" i="2" s="1"/>
  <c r="Q170" i="2"/>
  <c r="P170" i="2"/>
  <c r="AA170" i="2" s="1"/>
  <c r="O170" i="2"/>
  <c r="N170" i="2"/>
  <c r="L170" i="2"/>
  <c r="AB169" i="2"/>
  <c r="AA169" i="2"/>
  <c r="T169" i="2"/>
  <c r="Q169" i="2"/>
  <c r="P169" i="2"/>
  <c r="Z169" i="2" s="1"/>
  <c r="O169" i="2"/>
  <c r="N169" i="2"/>
  <c r="L169" i="2"/>
  <c r="AA168" i="2"/>
  <c r="Q168" i="2"/>
  <c r="P168" i="2"/>
  <c r="Z168" i="2" s="1"/>
  <c r="O168" i="2"/>
  <c r="N168" i="2"/>
  <c r="L168" i="2"/>
  <c r="Q167" i="2"/>
  <c r="P167" i="2"/>
  <c r="O167" i="2"/>
  <c r="T167" i="2" s="1"/>
  <c r="N167" i="2"/>
  <c r="L167" i="2"/>
  <c r="AA166" i="2"/>
  <c r="Q166" i="2"/>
  <c r="P166" i="2"/>
  <c r="AC166" i="2" s="1"/>
  <c r="O166" i="2"/>
  <c r="N166" i="2"/>
  <c r="L166" i="2"/>
  <c r="X165" i="2"/>
  <c r="Q165" i="2"/>
  <c r="P165" i="2"/>
  <c r="AC165" i="2" s="1"/>
  <c r="O165" i="2"/>
  <c r="N165" i="2"/>
  <c r="T165" i="2" s="1"/>
  <c r="L165" i="2"/>
  <c r="AB164" i="2"/>
  <c r="W164" i="2"/>
  <c r="Q164" i="2"/>
  <c r="P164" i="2"/>
  <c r="AC164" i="2" s="1"/>
  <c r="O164" i="2"/>
  <c r="T164" i="2" s="1"/>
  <c r="N164" i="2"/>
  <c r="L164" i="2"/>
  <c r="AC163" i="2"/>
  <c r="AA163" i="2"/>
  <c r="Q163" i="2"/>
  <c r="P163" i="2"/>
  <c r="AB163" i="2" s="1"/>
  <c r="O163" i="2"/>
  <c r="N163" i="2"/>
  <c r="T163" i="2" s="1"/>
  <c r="V163" i="2" s="1"/>
  <c r="L163" i="2"/>
  <c r="AC162" i="2"/>
  <c r="AB162" i="2"/>
  <c r="U162" i="2"/>
  <c r="T162" i="2"/>
  <c r="Y162" i="2" s="1"/>
  <c r="Q162" i="2"/>
  <c r="P162" i="2"/>
  <c r="AA162" i="2" s="1"/>
  <c r="O162" i="2"/>
  <c r="N162" i="2"/>
  <c r="L162" i="2"/>
  <c r="AB161" i="2"/>
  <c r="AA161" i="2"/>
  <c r="T161" i="2"/>
  <c r="Q161" i="2"/>
  <c r="P161" i="2"/>
  <c r="Z161" i="2" s="1"/>
  <c r="O161" i="2"/>
  <c r="N161" i="2"/>
  <c r="L161" i="2"/>
  <c r="AA160" i="2"/>
  <c r="Q160" i="2"/>
  <c r="P160" i="2"/>
  <c r="Z160" i="2" s="1"/>
  <c r="O160" i="2"/>
  <c r="N160" i="2"/>
  <c r="L160" i="2"/>
  <c r="Q159" i="2"/>
  <c r="P159" i="2"/>
  <c r="O159" i="2"/>
  <c r="T159" i="2" s="1"/>
  <c r="N159" i="2"/>
  <c r="L159" i="2"/>
  <c r="AA158" i="2"/>
  <c r="Q158" i="2"/>
  <c r="P158" i="2"/>
  <c r="AC158" i="2" s="1"/>
  <c r="O158" i="2"/>
  <c r="N158" i="2"/>
  <c r="L158" i="2"/>
  <c r="Q157" i="2"/>
  <c r="P157" i="2"/>
  <c r="AC157" i="2" s="1"/>
  <c r="O157" i="2"/>
  <c r="N157" i="2"/>
  <c r="T157" i="2" s="1"/>
  <c r="L157" i="2"/>
  <c r="AC156" i="2"/>
  <c r="AB156" i="2"/>
  <c r="Q156" i="2"/>
  <c r="P156" i="2"/>
  <c r="AA156" i="2" s="1"/>
  <c r="O156" i="2"/>
  <c r="T156" i="2" s="1"/>
  <c r="N156" i="2"/>
  <c r="L156" i="2"/>
  <c r="AC155" i="2"/>
  <c r="AA155" i="2"/>
  <c r="Q155" i="2"/>
  <c r="P155" i="2"/>
  <c r="AB155" i="2" s="1"/>
  <c r="O155" i="2"/>
  <c r="N155" i="2"/>
  <c r="T155" i="2" s="1"/>
  <c r="L155" i="2"/>
  <c r="AC154" i="2"/>
  <c r="AB154" i="2"/>
  <c r="U154" i="2"/>
  <c r="T154" i="2"/>
  <c r="Y154" i="2" s="1"/>
  <c r="Q154" i="2"/>
  <c r="P154" i="2"/>
  <c r="AA154" i="2" s="1"/>
  <c r="O154" i="2"/>
  <c r="N154" i="2"/>
  <c r="L154" i="2"/>
  <c r="AB153" i="2"/>
  <c r="AA153" i="2"/>
  <c r="T153" i="2"/>
  <c r="Q153" i="2"/>
  <c r="P153" i="2"/>
  <c r="Z153" i="2" s="1"/>
  <c r="O153" i="2"/>
  <c r="N153" i="2"/>
  <c r="L153" i="2"/>
  <c r="AA152" i="2"/>
  <c r="Q152" i="2"/>
  <c r="P152" i="2"/>
  <c r="Z152" i="2" s="1"/>
  <c r="O152" i="2"/>
  <c r="N152" i="2"/>
  <c r="T152" i="2" s="1"/>
  <c r="L152" i="2"/>
  <c r="Q151" i="2"/>
  <c r="P151" i="2"/>
  <c r="Z151" i="2" s="1"/>
  <c r="O151" i="2"/>
  <c r="T151" i="2" s="1"/>
  <c r="N151" i="2"/>
  <c r="L151" i="2"/>
  <c r="AC150" i="2"/>
  <c r="AA150" i="2"/>
  <c r="Q150" i="2"/>
  <c r="P150" i="2"/>
  <c r="AB150" i="2" s="1"/>
  <c r="O150" i="2"/>
  <c r="N150" i="2"/>
  <c r="L150" i="2"/>
  <c r="Q149" i="2"/>
  <c r="P149" i="2"/>
  <c r="AC149" i="2" s="1"/>
  <c r="O149" i="2"/>
  <c r="N149" i="2"/>
  <c r="T149" i="2" s="1"/>
  <c r="X149" i="2" s="1"/>
  <c r="L149" i="2"/>
  <c r="AC148" i="2"/>
  <c r="AB148" i="2"/>
  <c r="Q148" i="2"/>
  <c r="P148" i="2"/>
  <c r="AA148" i="2" s="1"/>
  <c r="O148" i="2"/>
  <c r="T148" i="2" s="1"/>
  <c r="N148" i="2"/>
  <c r="L148" i="2"/>
  <c r="AC147" i="2"/>
  <c r="AA147" i="2"/>
  <c r="Q147" i="2"/>
  <c r="P147" i="2"/>
  <c r="AB147" i="2" s="1"/>
  <c r="O147" i="2"/>
  <c r="N147" i="2"/>
  <c r="T147" i="2" s="1"/>
  <c r="L147" i="2"/>
  <c r="AC146" i="2"/>
  <c r="AB146" i="2"/>
  <c r="U146" i="2"/>
  <c r="T146" i="2"/>
  <c r="Y146" i="2" s="1"/>
  <c r="Q146" i="2"/>
  <c r="P146" i="2"/>
  <c r="AA146" i="2" s="1"/>
  <c r="O146" i="2"/>
  <c r="N146" i="2"/>
  <c r="L146" i="2"/>
  <c r="AC145" i="2"/>
  <c r="AB145" i="2"/>
  <c r="AA145" i="2"/>
  <c r="T145" i="2"/>
  <c r="Q145" i="2"/>
  <c r="P145" i="2"/>
  <c r="Z145" i="2" s="1"/>
  <c r="O145" i="2"/>
  <c r="N145" i="2"/>
  <c r="L145" i="2"/>
  <c r="AA144" i="2"/>
  <c r="Q144" i="2"/>
  <c r="P144" i="2"/>
  <c r="Z144" i="2" s="1"/>
  <c r="O144" i="2"/>
  <c r="N144" i="2"/>
  <c r="T144" i="2" s="1"/>
  <c r="L144" i="2"/>
  <c r="Q143" i="2"/>
  <c r="P143" i="2"/>
  <c r="O143" i="2"/>
  <c r="T143" i="2" s="1"/>
  <c r="N143" i="2"/>
  <c r="L143" i="2"/>
  <c r="AA142" i="2"/>
  <c r="Q142" i="2"/>
  <c r="P142" i="2"/>
  <c r="AC142" i="2" s="1"/>
  <c r="O142" i="2"/>
  <c r="N142" i="2"/>
  <c r="T142" i="2" s="1"/>
  <c r="L142" i="2"/>
  <c r="Q141" i="2"/>
  <c r="P141" i="2"/>
  <c r="AC141" i="2" s="1"/>
  <c r="O141" i="2"/>
  <c r="N141" i="2"/>
  <c r="T141" i="2" s="1"/>
  <c r="X141" i="2" s="1"/>
  <c r="L141" i="2"/>
  <c r="AB140" i="2"/>
  <c r="W140" i="2"/>
  <c r="Q140" i="2"/>
  <c r="P140" i="2"/>
  <c r="AC140" i="2" s="1"/>
  <c r="O140" i="2"/>
  <c r="T140" i="2" s="1"/>
  <c r="N140" i="2"/>
  <c r="L140" i="2"/>
  <c r="AC139" i="2"/>
  <c r="AA139" i="2"/>
  <c r="V139" i="2"/>
  <c r="Q139" i="2"/>
  <c r="P139" i="2"/>
  <c r="AB139" i="2" s="1"/>
  <c r="O139" i="2"/>
  <c r="N139" i="2"/>
  <c r="T139" i="2" s="1"/>
  <c r="L139" i="2"/>
  <c r="AC138" i="2"/>
  <c r="AB138" i="2"/>
  <c r="U138" i="2"/>
  <c r="T138" i="2"/>
  <c r="Y138" i="2" s="1"/>
  <c r="Q138" i="2"/>
  <c r="P138" i="2"/>
  <c r="AA138" i="2" s="1"/>
  <c r="O138" i="2"/>
  <c r="N138" i="2"/>
  <c r="L138" i="2"/>
  <c r="AB137" i="2"/>
  <c r="AA137" i="2"/>
  <c r="T137" i="2"/>
  <c r="Q137" i="2"/>
  <c r="P137" i="2"/>
  <c r="Z137" i="2" s="1"/>
  <c r="O137" i="2"/>
  <c r="N137" i="2"/>
  <c r="L137" i="2"/>
  <c r="AA136" i="2"/>
  <c r="Q136" i="2"/>
  <c r="P136" i="2"/>
  <c r="Z136" i="2" s="1"/>
  <c r="O136" i="2"/>
  <c r="N136" i="2"/>
  <c r="L136" i="2"/>
  <c r="Q135" i="2"/>
  <c r="P135" i="2"/>
  <c r="O135" i="2"/>
  <c r="T135" i="2" s="1"/>
  <c r="N135" i="2"/>
  <c r="L135" i="2"/>
  <c r="AA134" i="2"/>
  <c r="Q134" i="2"/>
  <c r="P134" i="2"/>
  <c r="AC134" i="2" s="1"/>
  <c r="O134" i="2"/>
  <c r="N134" i="2"/>
  <c r="L134" i="2"/>
  <c r="X133" i="2"/>
  <c r="Q133" i="2"/>
  <c r="P133" i="2"/>
  <c r="AC133" i="2" s="1"/>
  <c r="O133" i="2"/>
  <c r="N133" i="2"/>
  <c r="T133" i="2" s="1"/>
  <c r="L133" i="2"/>
  <c r="AB132" i="2"/>
  <c r="Q132" i="2"/>
  <c r="P132" i="2"/>
  <c r="AC132" i="2" s="1"/>
  <c r="O132" i="2"/>
  <c r="N132" i="2"/>
  <c r="T132" i="2" s="1"/>
  <c r="W132" i="2" s="1"/>
  <c r="L132" i="2"/>
  <c r="AC131" i="2"/>
  <c r="AA131" i="2"/>
  <c r="U131" i="2"/>
  <c r="Q131" i="2"/>
  <c r="P131" i="2"/>
  <c r="AB131" i="2" s="1"/>
  <c r="O131" i="2"/>
  <c r="N131" i="2"/>
  <c r="T131" i="2" s="1"/>
  <c r="V131" i="2" s="1"/>
  <c r="L131" i="2"/>
  <c r="AC130" i="2"/>
  <c r="AB130" i="2"/>
  <c r="U130" i="2"/>
  <c r="T130" i="2"/>
  <c r="Q130" i="2"/>
  <c r="P130" i="2"/>
  <c r="AA130" i="2" s="1"/>
  <c r="O130" i="2"/>
  <c r="N130" i="2"/>
  <c r="L130" i="2"/>
  <c r="AC129" i="2"/>
  <c r="AB129" i="2"/>
  <c r="AA129" i="2"/>
  <c r="Q129" i="2"/>
  <c r="T129" i="2" s="1"/>
  <c r="P129" i="2"/>
  <c r="Z129" i="2" s="1"/>
  <c r="O129" i="2"/>
  <c r="N129" i="2"/>
  <c r="L129" i="2"/>
  <c r="AA128" i="2"/>
  <c r="Q128" i="2"/>
  <c r="P128" i="2"/>
  <c r="O128" i="2"/>
  <c r="N128" i="2"/>
  <c r="T128" i="2" s="1"/>
  <c r="L128" i="2"/>
  <c r="Z127" i="2"/>
  <c r="Y127" i="2"/>
  <c r="Q127" i="2"/>
  <c r="P127" i="2"/>
  <c r="O127" i="2"/>
  <c r="T127" i="2" s="1"/>
  <c r="N127" i="2"/>
  <c r="L127" i="2"/>
  <c r="AA126" i="2"/>
  <c r="Q126" i="2"/>
  <c r="P126" i="2"/>
  <c r="AC126" i="2" s="1"/>
  <c r="O126" i="2"/>
  <c r="N126" i="2"/>
  <c r="L126" i="2"/>
  <c r="Q125" i="2"/>
  <c r="P125" i="2"/>
  <c r="AC125" i="2" s="1"/>
  <c r="O125" i="2"/>
  <c r="N125" i="2"/>
  <c r="T125" i="2" s="1"/>
  <c r="X125" i="2" s="1"/>
  <c r="L125" i="2"/>
  <c r="AB124" i="2"/>
  <c r="W124" i="2"/>
  <c r="V124" i="2"/>
  <c r="Q124" i="2"/>
  <c r="P124" i="2"/>
  <c r="AC124" i="2" s="1"/>
  <c r="O124" i="2"/>
  <c r="T124" i="2" s="1"/>
  <c r="N124" i="2"/>
  <c r="L124" i="2"/>
  <c r="AC123" i="2"/>
  <c r="AA123" i="2"/>
  <c r="U123" i="2"/>
  <c r="Q123" i="2"/>
  <c r="P123" i="2"/>
  <c r="AB123" i="2" s="1"/>
  <c r="O123" i="2"/>
  <c r="N123" i="2"/>
  <c r="T123" i="2" s="1"/>
  <c r="V123" i="2" s="1"/>
  <c r="L123" i="2"/>
  <c r="AC122" i="2"/>
  <c r="AB122" i="2"/>
  <c r="U122" i="2"/>
  <c r="T122" i="2"/>
  <c r="Q122" i="2"/>
  <c r="P122" i="2"/>
  <c r="AA122" i="2" s="1"/>
  <c r="O122" i="2"/>
  <c r="N122" i="2"/>
  <c r="L122" i="2"/>
  <c r="AC121" i="2"/>
  <c r="AB121" i="2"/>
  <c r="AA121" i="2"/>
  <c r="Q121" i="2"/>
  <c r="T121" i="2" s="1"/>
  <c r="P121" i="2"/>
  <c r="Z121" i="2" s="1"/>
  <c r="O121" i="2"/>
  <c r="N121" i="2"/>
  <c r="L121" i="2"/>
  <c r="AA120" i="2"/>
  <c r="Q120" i="2"/>
  <c r="P120" i="2"/>
  <c r="O120" i="2"/>
  <c r="N120" i="2"/>
  <c r="T120" i="2" s="1"/>
  <c r="L120" i="2"/>
  <c r="Y119" i="2"/>
  <c r="Q119" i="2"/>
  <c r="P119" i="2"/>
  <c r="Z119" i="2" s="1"/>
  <c r="O119" i="2"/>
  <c r="T119" i="2" s="1"/>
  <c r="N119" i="2"/>
  <c r="L119" i="2"/>
  <c r="AA118" i="2"/>
  <c r="Q118" i="2"/>
  <c r="P118" i="2"/>
  <c r="AC118" i="2" s="1"/>
  <c r="O118" i="2"/>
  <c r="N118" i="2"/>
  <c r="L118" i="2"/>
  <c r="Q117" i="2"/>
  <c r="P117" i="2"/>
  <c r="AC117" i="2" s="1"/>
  <c r="O117" i="2"/>
  <c r="N117" i="2"/>
  <c r="T117" i="2" s="1"/>
  <c r="X117" i="2" s="1"/>
  <c r="L117" i="2"/>
  <c r="AB116" i="2"/>
  <c r="V116" i="2"/>
  <c r="Q116" i="2"/>
  <c r="P116" i="2"/>
  <c r="AC116" i="2" s="1"/>
  <c r="O116" i="2"/>
  <c r="T116" i="2" s="1"/>
  <c r="Y116" i="2" s="1"/>
  <c r="N116" i="2"/>
  <c r="L116" i="2"/>
  <c r="AC115" i="2"/>
  <c r="AA115" i="2"/>
  <c r="X115" i="2"/>
  <c r="Q115" i="2"/>
  <c r="P115" i="2"/>
  <c r="AB115" i="2" s="1"/>
  <c r="O115" i="2"/>
  <c r="N115" i="2"/>
  <c r="T115" i="2" s="1"/>
  <c r="L115" i="2"/>
  <c r="AC114" i="2"/>
  <c r="AB114" i="2"/>
  <c r="U114" i="2"/>
  <c r="T114" i="2"/>
  <c r="Q114" i="2"/>
  <c r="P114" i="2"/>
  <c r="AA114" i="2" s="1"/>
  <c r="O114" i="2"/>
  <c r="N114" i="2"/>
  <c r="L114" i="2"/>
  <c r="AC113" i="2"/>
  <c r="AB113" i="2"/>
  <c r="AA113" i="2"/>
  <c r="V113" i="2"/>
  <c r="T113" i="2"/>
  <c r="Q113" i="2"/>
  <c r="P113" i="2"/>
  <c r="Z113" i="2" s="1"/>
  <c r="O113" i="2"/>
  <c r="N113" i="2"/>
  <c r="L113" i="2"/>
  <c r="AC112" i="2"/>
  <c r="AA112" i="2"/>
  <c r="Z112" i="2"/>
  <c r="Q112" i="2"/>
  <c r="P112" i="2"/>
  <c r="AB112" i="2" s="1"/>
  <c r="O112" i="2"/>
  <c r="N112" i="2"/>
  <c r="L112" i="2"/>
  <c r="AB111" i="2"/>
  <c r="Z111" i="2"/>
  <c r="T111" i="2"/>
  <c r="Y111" i="2" s="1"/>
  <c r="Q111" i="2"/>
  <c r="P111" i="2"/>
  <c r="O111" i="2"/>
  <c r="N111" i="2"/>
  <c r="L111" i="2"/>
  <c r="AA110" i="2"/>
  <c r="Q110" i="2"/>
  <c r="P110" i="2"/>
  <c r="AC110" i="2" s="1"/>
  <c r="O110" i="2"/>
  <c r="N110" i="2"/>
  <c r="L110" i="2"/>
  <c r="Z109" i="2"/>
  <c r="W109" i="2"/>
  <c r="Q109" i="2"/>
  <c r="P109" i="2"/>
  <c r="O109" i="2"/>
  <c r="N109" i="2"/>
  <c r="T109" i="2" s="1"/>
  <c r="X109" i="2" s="1"/>
  <c r="L109" i="2"/>
  <c r="AB108" i="2"/>
  <c r="W108" i="2"/>
  <c r="Q108" i="2"/>
  <c r="P108" i="2"/>
  <c r="AC108" i="2" s="1"/>
  <c r="O108" i="2"/>
  <c r="T108" i="2" s="1"/>
  <c r="Y108" i="2" s="1"/>
  <c r="N108" i="2"/>
  <c r="L108" i="2"/>
  <c r="AC107" i="2"/>
  <c r="AA107" i="2"/>
  <c r="U107" i="2"/>
  <c r="Q107" i="2"/>
  <c r="P107" i="2"/>
  <c r="AB107" i="2" s="1"/>
  <c r="O107" i="2"/>
  <c r="N107" i="2"/>
  <c r="T107" i="2" s="1"/>
  <c r="L107" i="2"/>
  <c r="AC106" i="2"/>
  <c r="AB106" i="2"/>
  <c r="W106" i="2"/>
  <c r="U106" i="2"/>
  <c r="T106" i="2"/>
  <c r="Q106" i="2"/>
  <c r="P106" i="2"/>
  <c r="AA106" i="2" s="1"/>
  <c r="O106" i="2"/>
  <c r="N106" i="2"/>
  <c r="L106" i="2"/>
  <c r="AB105" i="2"/>
  <c r="AA105" i="2"/>
  <c r="V105" i="2"/>
  <c r="T105" i="2"/>
  <c r="Q105" i="2"/>
  <c r="P105" i="2"/>
  <c r="Z105" i="2" s="1"/>
  <c r="O105" i="2"/>
  <c r="N105" i="2"/>
  <c r="L105" i="2"/>
  <c r="AC104" i="2"/>
  <c r="AA104" i="2"/>
  <c r="Z104" i="2"/>
  <c r="Q104" i="2"/>
  <c r="P104" i="2"/>
  <c r="AB104" i="2" s="1"/>
  <c r="O104" i="2"/>
  <c r="N104" i="2"/>
  <c r="L104" i="2"/>
  <c r="AB103" i="2"/>
  <c r="Z103" i="2"/>
  <c r="T103" i="2"/>
  <c r="Y103" i="2" s="1"/>
  <c r="Q103" i="2"/>
  <c r="P103" i="2"/>
  <c r="O103" i="2"/>
  <c r="N103" i="2"/>
  <c r="L103" i="2"/>
  <c r="AA102" i="2"/>
  <c r="Q102" i="2"/>
  <c r="P102" i="2"/>
  <c r="AC102" i="2" s="1"/>
  <c r="O102" i="2"/>
  <c r="N102" i="2"/>
  <c r="L102" i="2"/>
  <c r="Z101" i="2"/>
  <c r="W101" i="2"/>
  <c r="Q101" i="2"/>
  <c r="P101" i="2"/>
  <c r="O101" i="2"/>
  <c r="N101" i="2"/>
  <c r="T101" i="2" s="1"/>
  <c r="X101" i="2" s="1"/>
  <c r="L101" i="2"/>
  <c r="AB100" i="2"/>
  <c r="W100" i="2"/>
  <c r="Q100" i="2"/>
  <c r="P100" i="2"/>
  <c r="AC100" i="2" s="1"/>
  <c r="O100" i="2"/>
  <c r="T100" i="2" s="1"/>
  <c r="Y100" i="2" s="1"/>
  <c r="N100" i="2"/>
  <c r="L100" i="2"/>
  <c r="AC99" i="2"/>
  <c r="AA99" i="2"/>
  <c r="U99" i="2"/>
  <c r="Q99" i="2"/>
  <c r="P99" i="2"/>
  <c r="AB99" i="2" s="1"/>
  <c r="O99" i="2"/>
  <c r="N99" i="2"/>
  <c r="T99" i="2" s="1"/>
  <c r="L99" i="2"/>
  <c r="AC98" i="2"/>
  <c r="AB98" i="2"/>
  <c r="W98" i="2"/>
  <c r="U98" i="2"/>
  <c r="T98" i="2"/>
  <c r="Q98" i="2"/>
  <c r="P98" i="2"/>
  <c r="AA98" i="2" s="1"/>
  <c r="O98" i="2"/>
  <c r="N98" i="2"/>
  <c r="L98" i="2"/>
  <c r="AB97" i="2"/>
  <c r="AA97" i="2"/>
  <c r="Q97" i="2"/>
  <c r="T97" i="2" s="1"/>
  <c r="P97" i="2"/>
  <c r="Z97" i="2" s="1"/>
  <c r="O97" i="2"/>
  <c r="N97" i="2"/>
  <c r="L97" i="2"/>
  <c r="AC96" i="2"/>
  <c r="AA96" i="2"/>
  <c r="Q96" i="2"/>
  <c r="P96" i="2"/>
  <c r="AB96" i="2" s="1"/>
  <c r="O96" i="2"/>
  <c r="N96" i="2"/>
  <c r="L96" i="2"/>
  <c r="AB95" i="2"/>
  <c r="Z95" i="2"/>
  <c r="T95" i="2"/>
  <c r="Q95" i="2"/>
  <c r="P95" i="2"/>
  <c r="O95" i="2"/>
  <c r="N95" i="2"/>
  <c r="L95" i="2"/>
  <c r="AA94" i="2"/>
  <c r="Q94" i="2"/>
  <c r="P94" i="2"/>
  <c r="AC94" i="2" s="1"/>
  <c r="O94" i="2"/>
  <c r="N94" i="2"/>
  <c r="L94" i="2"/>
  <c r="W93" i="2"/>
  <c r="Q93" i="2"/>
  <c r="P93" i="2"/>
  <c r="Z93" i="2" s="1"/>
  <c r="O93" i="2"/>
  <c r="N93" i="2"/>
  <c r="T93" i="2" s="1"/>
  <c r="X93" i="2" s="1"/>
  <c r="L93" i="2"/>
  <c r="AC92" i="2"/>
  <c r="AB92" i="2"/>
  <c r="Y92" i="2"/>
  <c r="Q92" i="2"/>
  <c r="P92" i="2"/>
  <c r="AA92" i="2" s="1"/>
  <c r="O92" i="2"/>
  <c r="T92" i="2" s="1"/>
  <c r="N92" i="2"/>
  <c r="L92" i="2"/>
  <c r="AC91" i="2"/>
  <c r="AB91" i="2"/>
  <c r="AA91" i="2"/>
  <c r="X91" i="2"/>
  <c r="V91" i="2"/>
  <c r="U91" i="2"/>
  <c r="Q91" i="2"/>
  <c r="P91" i="2"/>
  <c r="Z91" i="2" s="1"/>
  <c r="O91" i="2"/>
  <c r="N91" i="2"/>
  <c r="T91" i="2" s="1"/>
  <c r="L91" i="2"/>
  <c r="Q90" i="2"/>
  <c r="P90" i="2"/>
  <c r="AA90" i="2" s="1"/>
  <c r="O90" i="2"/>
  <c r="N90" i="2"/>
  <c r="T90" i="2" s="1"/>
  <c r="L90" i="2"/>
  <c r="Q89" i="2"/>
  <c r="P89" i="2"/>
  <c r="AC89" i="2" s="1"/>
  <c r="O89" i="2"/>
  <c r="N89" i="2"/>
  <c r="T89" i="2" s="1"/>
  <c r="L89" i="2"/>
  <c r="AC88" i="2"/>
  <c r="Q88" i="2"/>
  <c r="P88" i="2"/>
  <c r="AB88" i="2" s="1"/>
  <c r="O88" i="2"/>
  <c r="N88" i="2"/>
  <c r="L88" i="2"/>
  <c r="Q87" i="2"/>
  <c r="P87" i="2"/>
  <c r="AA87" i="2" s="1"/>
  <c r="O87" i="2"/>
  <c r="N87" i="2"/>
  <c r="T87" i="2" s="1"/>
  <c r="L87" i="2"/>
  <c r="AB86" i="2"/>
  <c r="Q86" i="2"/>
  <c r="P86" i="2"/>
  <c r="Z86" i="2" s="1"/>
  <c r="O86" i="2"/>
  <c r="N86" i="2"/>
  <c r="T86" i="2" s="1"/>
  <c r="L86" i="2"/>
  <c r="Q85" i="2"/>
  <c r="P85" i="2"/>
  <c r="Z85" i="2" s="1"/>
  <c r="O85" i="2"/>
  <c r="N85" i="2"/>
  <c r="T85" i="2" s="1"/>
  <c r="L85" i="2"/>
  <c r="AC84" i="2"/>
  <c r="AB84" i="2"/>
  <c r="Q84" i="2"/>
  <c r="P84" i="2"/>
  <c r="AA84" i="2" s="1"/>
  <c r="O84" i="2"/>
  <c r="T84" i="2" s="1"/>
  <c r="N84" i="2"/>
  <c r="L84" i="2"/>
  <c r="AC83" i="2"/>
  <c r="AB83" i="2"/>
  <c r="AA83" i="2"/>
  <c r="Q83" i="2"/>
  <c r="P83" i="2"/>
  <c r="Z83" i="2" s="1"/>
  <c r="O83" i="2"/>
  <c r="N83" i="2"/>
  <c r="T83" i="2" s="1"/>
  <c r="L83" i="2"/>
  <c r="AB82" i="2"/>
  <c r="AA82" i="2"/>
  <c r="W82" i="2"/>
  <c r="T82" i="2"/>
  <c r="V82" i="2" s="1"/>
  <c r="Q82" i="2"/>
  <c r="P82" i="2"/>
  <c r="AC82" i="2" s="1"/>
  <c r="O82" i="2"/>
  <c r="N82" i="2"/>
  <c r="L82" i="2"/>
  <c r="AA81" i="2"/>
  <c r="Q81" i="2"/>
  <c r="T81" i="2" s="1"/>
  <c r="P81" i="2"/>
  <c r="AC81" i="2" s="1"/>
  <c r="O81" i="2"/>
  <c r="N81" i="2"/>
  <c r="L81" i="2"/>
  <c r="AC80" i="2"/>
  <c r="Q80" i="2"/>
  <c r="P80" i="2"/>
  <c r="AB80" i="2" s="1"/>
  <c r="O80" i="2"/>
  <c r="N80" i="2"/>
  <c r="T80" i="2" s="1"/>
  <c r="L80" i="2"/>
  <c r="AB79" i="2"/>
  <c r="T79" i="2"/>
  <c r="Y79" i="2" s="1"/>
  <c r="Q79" i="2"/>
  <c r="P79" i="2"/>
  <c r="AA79" i="2" s="1"/>
  <c r="O79" i="2"/>
  <c r="N79" i="2"/>
  <c r="L79" i="2"/>
  <c r="AA78" i="2"/>
  <c r="Q78" i="2"/>
  <c r="P78" i="2"/>
  <c r="Z78" i="2" s="1"/>
  <c r="O78" i="2"/>
  <c r="N78" i="2"/>
  <c r="T78" i="2" s="1"/>
  <c r="L78" i="2"/>
  <c r="Q77" i="2"/>
  <c r="P77" i="2"/>
  <c r="AC77" i="2" s="1"/>
  <c r="O77" i="2"/>
  <c r="N77" i="2"/>
  <c r="T77" i="2" s="1"/>
  <c r="L77" i="2"/>
  <c r="AC76" i="2"/>
  <c r="AB76" i="2"/>
  <c r="Q76" i="2"/>
  <c r="T76" i="2" s="1"/>
  <c r="P76" i="2"/>
  <c r="AA76" i="2" s="1"/>
  <c r="O76" i="2"/>
  <c r="N76" i="2"/>
  <c r="L76" i="2"/>
  <c r="AC75" i="2"/>
  <c r="AB75" i="2"/>
  <c r="Q75" i="2"/>
  <c r="P75" i="2"/>
  <c r="AA75" i="2" s="1"/>
  <c r="O75" i="2"/>
  <c r="N75" i="2"/>
  <c r="T75" i="2" s="1"/>
  <c r="L75" i="2"/>
  <c r="AB74" i="2"/>
  <c r="AA74" i="2"/>
  <c r="W74" i="2"/>
  <c r="T74" i="2"/>
  <c r="V74" i="2" s="1"/>
  <c r="Q74" i="2"/>
  <c r="P74" i="2"/>
  <c r="AC74" i="2" s="1"/>
  <c r="O74" i="2"/>
  <c r="N74" i="2"/>
  <c r="L74" i="2"/>
  <c r="AA73" i="2"/>
  <c r="Q73" i="2"/>
  <c r="P73" i="2"/>
  <c r="AC73" i="2" s="1"/>
  <c r="O73" i="2"/>
  <c r="N73" i="2"/>
  <c r="T73" i="2" s="1"/>
  <c r="L73" i="2"/>
  <c r="AC72" i="2"/>
  <c r="Q72" i="2"/>
  <c r="P72" i="2"/>
  <c r="AB72" i="2" s="1"/>
  <c r="O72" i="2"/>
  <c r="N72" i="2"/>
  <c r="T72" i="2" s="1"/>
  <c r="L72" i="2"/>
  <c r="AB71" i="2"/>
  <c r="T71" i="2"/>
  <c r="Y71" i="2" s="1"/>
  <c r="Q71" i="2"/>
  <c r="P71" i="2"/>
  <c r="AA71" i="2" s="1"/>
  <c r="O71" i="2"/>
  <c r="N71" i="2"/>
  <c r="L71" i="2"/>
  <c r="AC70" i="2"/>
  <c r="AA70" i="2"/>
  <c r="Q70" i="2"/>
  <c r="P70" i="2"/>
  <c r="Z70" i="2" s="1"/>
  <c r="O70" i="2"/>
  <c r="N70" i="2"/>
  <c r="T70" i="2" s="1"/>
  <c r="L70" i="2"/>
  <c r="W69" i="2"/>
  <c r="V69" i="2"/>
  <c r="T69" i="2"/>
  <c r="Y69" i="2" s="1"/>
  <c r="Q69" i="2"/>
  <c r="P69" i="2"/>
  <c r="Z69" i="2" s="1"/>
  <c r="O69" i="2"/>
  <c r="N69" i="2"/>
  <c r="L69" i="2"/>
  <c r="AC68" i="2"/>
  <c r="AB68" i="2"/>
  <c r="AA68" i="2"/>
  <c r="Q68" i="2"/>
  <c r="T68" i="2" s="1"/>
  <c r="P68" i="2"/>
  <c r="Z68" i="2" s="1"/>
  <c r="O68" i="2"/>
  <c r="N68" i="2"/>
  <c r="L68" i="2"/>
  <c r="AC67" i="2"/>
  <c r="AB67" i="2"/>
  <c r="Q67" i="2"/>
  <c r="P67" i="2"/>
  <c r="AA67" i="2" s="1"/>
  <c r="O67" i="2"/>
  <c r="N67" i="2"/>
  <c r="T67" i="2" s="1"/>
  <c r="L67" i="2"/>
  <c r="AB66" i="2"/>
  <c r="AA66" i="2"/>
  <c r="W66" i="2"/>
  <c r="T66" i="2"/>
  <c r="V66" i="2" s="1"/>
  <c r="Q66" i="2"/>
  <c r="P66" i="2"/>
  <c r="AC66" i="2" s="1"/>
  <c r="O66" i="2"/>
  <c r="N66" i="2"/>
  <c r="L66" i="2"/>
  <c r="AA65" i="2"/>
  <c r="Q65" i="2"/>
  <c r="P65" i="2"/>
  <c r="AC65" i="2" s="1"/>
  <c r="O65" i="2"/>
  <c r="N65" i="2"/>
  <c r="T65" i="2" s="1"/>
  <c r="L65" i="2"/>
  <c r="AC64" i="2"/>
  <c r="Q64" i="2"/>
  <c r="P64" i="2"/>
  <c r="AB64" i="2" s="1"/>
  <c r="O64" i="2"/>
  <c r="N64" i="2"/>
  <c r="T64" i="2" s="1"/>
  <c r="L64" i="2"/>
  <c r="AB63" i="2"/>
  <c r="T63" i="2"/>
  <c r="Y63" i="2" s="1"/>
  <c r="Q63" i="2"/>
  <c r="P63" i="2"/>
  <c r="AA63" i="2" s="1"/>
  <c r="O63" i="2"/>
  <c r="N63" i="2"/>
  <c r="L63" i="2"/>
  <c r="AC62" i="2"/>
  <c r="AA62" i="2"/>
  <c r="Q62" i="2"/>
  <c r="P62" i="2"/>
  <c r="Z62" i="2" s="1"/>
  <c r="O62" i="2"/>
  <c r="N62" i="2"/>
  <c r="T62" i="2" s="1"/>
  <c r="L62" i="2"/>
  <c r="W61" i="2"/>
  <c r="V61" i="2"/>
  <c r="T61" i="2"/>
  <c r="Y61" i="2" s="1"/>
  <c r="Q61" i="2"/>
  <c r="P61" i="2"/>
  <c r="Z61" i="2" s="1"/>
  <c r="O61" i="2"/>
  <c r="N61" i="2"/>
  <c r="L61" i="2"/>
  <c r="AC60" i="2"/>
  <c r="AB60" i="2"/>
  <c r="AA60" i="2"/>
  <c r="Q60" i="2"/>
  <c r="T60" i="2" s="1"/>
  <c r="P60" i="2"/>
  <c r="Z60" i="2" s="1"/>
  <c r="O60" i="2"/>
  <c r="N60" i="2"/>
  <c r="L60" i="2"/>
  <c r="AC59" i="2"/>
  <c r="Q59" i="2"/>
  <c r="P59" i="2"/>
  <c r="AB59" i="2" s="1"/>
  <c r="O59" i="2"/>
  <c r="N59" i="2"/>
  <c r="T59" i="2" s="1"/>
  <c r="L59" i="2"/>
  <c r="AB58" i="2"/>
  <c r="AA58" i="2"/>
  <c r="W58" i="2"/>
  <c r="T58" i="2"/>
  <c r="V58" i="2" s="1"/>
  <c r="Q58" i="2"/>
  <c r="P58" i="2"/>
  <c r="AC58" i="2" s="1"/>
  <c r="O58" i="2"/>
  <c r="N58" i="2"/>
  <c r="L58" i="2"/>
  <c r="AA57" i="2"/>
  <c r="Q57" i="2"/>
  <c r="P57" i="2"/>
  <c r="AC57" i="2" s="1"/>
  <c r="O57" i="2"/>
  <c r="N57" i="2"/>
  <c r="T57" i="2" s="1"/>
  <c r="L57" i="2"/>
  <c r="AC56" i="2"/>
  <c r="Q56" i="2"/>
  <c r="P56" i="2"/>
  <c r="AB56" i="2" s="1"/>
  <c r="O56" i="2"/>
  <c r="N56" i="2"/>
  <c r="T56" i="2" s="1"/>
  <c r="L56" i="2"/>
  <c r="AB55" i="2"/>
  <c r="T55" i="2"/>
  <c r="Y55" i="2" s="1"/>
  <c r="Q55" i="2"/>
  <c r="P55" i="2"/>
  <c r="AA55" i="2" s="1"/>
  <c r="O55" i="2"/>
  <c r="N55" i="2"/>
  <c r="L55" i="2"/>
  <c r="AC54" i="2"/>
  <c r="AA54" i="2"/>
  <c r="Q54" i="2"/>
  <c r="P54" i="2"/>
  <c r="Z54" i="2" s="1"/>
  <c r="O54" i="2"/>
  <c r="N54" i="2"/>
  <c r="T54" i="2" s="1"/>
  <c r="L54" i="2"/>
  <c r="W53" i="2"/>
  <c r="T53" i="2"/>
  <c r="Y53" i="2" s="1"/>
  <c r="Q53" i="2"/>
  <c r="P53" i="2"/>
  <c r="Z53" i="2" s="1"/>
  <c r="O53" i="2"/>
  <c r="N53" i="2"/>
  <c r="L53" i="2"/>
  <c r="AC52" i="2"/>
  <c r="AA52" i="2"/>
  <c r="Q52" i="2"/>
  <c r="P52" i="2"/>
  <c r="AB52" i="2" s="1"/>
  <c r="O52" i="2"/>
  <c r="N52" i="2"/>
  <c r="T52" i="2" s="1"/>
  <c r="L52" i="2"/>
  <c r="AC51" i="2"/>
  <c r="Q51" i="2"/>
  <c r="P51" i="2"/>
  <c r="AB51" i="2" s="1"/>
  <c r="O51" i="2"/>
  <c r="N51" i="2"/>
  <c r="T51" i="2" s="1"/>
  <c r="L51" i="2"/>
  <c r="AB50" i="2"/>
  <c r="AA50" i="2"/>
  <c r="W50" i="2"/>
  <c r="T50" i="2"/>
  <c r="V50" i="2" s="1"/>
  <c r="Q50" i="2"/>
  <c r="P50" i="2"/>
  <c r="AC50" i="2" s="1"/>
  <c r="O50" i="2"/>
  <c r="N50" i="2"/>
  <c r="L50" i="2"/>
  <c r="AA49" i="2"/>
  <c r="Q49" i="2"/>
  <c r="P49" i="2"/>
  <c r="AC49" i="2" s="1"/>
  <c r="O49" i="2"/>
  <c r="N49" i="2"/>
  <c r="T49" i="2" s="1"/>
  <c r="L49" i="2"/>
  <c r="AC48" i="2"/>
  <c r="Q48" i="2"/>
  <c r="P48" i="2"/>
  <c r="AB48" i="2" s="1"/>
  <c r="O48" i="2"/>
  <c r="N48" i="2"/>
  <c r="T48" i="2" s="1"/>
  <c r="L48" i="2"/>
  <c r="AB47" i="2"/>
  <c r="T47" i="2"/>
  <c r="Y47" i="2" s="1"/>
  <c r="Q47" i="2"/>
  <c r="P47" i="2"/>
  <c r="AA47" i="2" s="1"/>
  <c r="O47" i="2"/>
  <c r="N47" i="2"/>
  <c r="L47" i="2"/>
  <c r="AC46" i="2"/>
  <c r="AA46" i="2"/>
  <c r="Q46" i="2"/>
  <c r="P46" i="2"/>
  <c r="Z46" i="2" s="1"/>
  <c r="O46" i="2"/>
  <c r="N46" i="2"/>
  <c r="T46" i="2" s="1"/>
  <c r="L46" i="2"/>
  <c r="W45" i="2"/>
  <c r="T45" i="2"/>
  <c r="Y45" i="2" s="1"/>
  <c r="Q45" i="2"/>
  <c r="P45" i="2"/>
  <c r="Z45" i="2" s="1"/>
  <c r="O45" i="2"/>
  <c r="N45" i="2"/>
  <c r="L45" i="2"/>
  <c r="AC44" i="2"/>
  <c r="AA44" i="2"/>
  <c r="Q44" i="2"/>
  <c r="P44" i="2"/>
  <c r="AB44" i="2" s="1"/>
  <c r="O44" i="2"/>
  <c r="N44" i="2"/>
  <c r="T44" i="2" s="1"/>
  <c r="L44" i="2"/>
  <c r="AC43" i="2"/>
  <c r="Q43" i="2"/>
  <c r="P43" i="2"/>
  <c r="AB43" i="2" s="1"/>
  <c r="O43" i="2"/>
  <c r="N43" i="2"/>
  <c r="T43" i="2" s="1"/>
  <c r="L43" i="2"/>
  <c r="AB42" i="2"/>
  <c r="AA42" i="2"/>
  <c r="W42" i="2"/>
  <c r="T42" i="2"/>
  <c r="V42" i="2" s="1"/>
  <c r="Q42" i="2"/>
  <c r="P42" i="2"/>
  <c r="AC42" i="2" s="1"/>
  <c r="O42" i="2"/>
  <c r="N42" i="2"/>
  <c r="L42" i="2"/>
  <c r="AA41" i="2"/>
  <c r="Q41" i="2"/>
  <c r="P41" i="2"/>
  <c r="AC41" i="2" s="1"/>
  <c r="O41" i="2"/>
  <c r="N41" i="2"/>
  <c r="T41" i="2" s="1"/>
  <c r="L41" i="2"/>
  <c r="AC40" i="2"/>
  <c r="Q40" i="2"/>
  <c r="P40" i="2"/>
  <c r="AB40" i="2" s="1"/>
  <c r="O40" i="2"/>
  <c r="N40" i="2"/>
  <c r="T40" i="2" s="1"/>
  <c r="L40" i="2"/>
  <c r="AB39" i="2"/>
  <c r="T39" i="2"/>
  <c r="Y39" i="2" s="1"/>
  <c r="Q39" i="2"/>
  <c r="P39" i="2"/>
  <c r="AA39" i="2" s="1"/>
  <c r="O39" i="2"/>
  <c r="N39" i="2"/>
  <c r="L39" i="2"/>
  <c r="AC38" i="2"/>
  <c r="AA38" i="2"/>
  <c r="Q38" i="2"/>
  <c r="P38" i="2"/>
  <c r="Z38" i="2" s="1"/>
  <c r="O38" i="2"/>
  <c r="N38" i="2"/>
  <c r="T38" i="2" s="1"/>
  <c r="L38" i="2"/>
  <c r="W37" i="2"/>
  <c r="T37" i="2"/>
  <c r="Y37" i="2" s="1"/>
  <c r="Q37" i="2"/>
  <c r="P37" i="2"/>
  <c r="Z37" i="2" s="1"/>
  <c r="O37" i="2"/>
  <c r="N37" i="2"/>
  <c r="L37" i="2"/>
  <c r="AC36" i="2"/>
  <c r="AA36" i="2"/>
  <c r="Q36" i="2"/>
  <c r="P36" i="2"/>
  <c r="AB36" i="2" s="1"/>
  <c r="O36" i="2"/>
  <c r="N36" i="2"/>
  <c r="T36" i="2" s="1"/>
  <c r="L36" i="2"/>
  <c r="AC35" i="2"/>
  <c r="Q35" i="2"/>
  <c r="P35" i="2"/>
  <c r="AB35" i="2" s="1"/>
  <c r="O35" i="2"/>
  <c r="N35" i="2"/>
  <c r="T35" i="2" s="1"/>
  <c r="L35" i="2"/>
  <c r="AB34" i="2"/>
  <c r="AA34" i="2"/>
  <c r="W34" i="2"/>
  <c r="T34" i="2"/>
  <c r="V34" i="2" s="1"/>
  <c r="Q34" i="2"/>
  <c r="P34" i="2"/>
  <c r="AC34" i="2" s="1"/>
  <c r="O34" i="2"/>
  <c r="N34" i="2"/>
  <c r="L34" i="2"/>
  <c r="AA33" i="2"/>
  <c r="Q33" i="2"/>
  <c r="P33" i="2"/>
  <c r="AC33" i="2" s="1"/>
  <c r="O33" i="2"/>
  <c r="N33" i="2"/>
  <c r="T33" i="2" s="1"/>
  <c r="L33" i="2"/>
  <c r="AC32" i="2"/>
  <c r="Q32" i="2"/>
  <c r="P32" i="2"/>
  <c r="AB32" i="2" s="1"/>
  <c r="O32" i="2"/>
  <c r="N32" i="2"/>
  <c r="T32" i="2" s="1"/>
  <c r="L32" i="2"/>
  <c r="AB31" i="2"/>
  <c r="T31" i="2"/>
  <c r="Y31" i="2" s="1"/>
  <c r="Q31" i="2"/>
  <c r="P31" i="2"/>
  <c r="AA31" i="2" s="1"/>
  <c r="O31" i="2"/>
  <c r="N31" i="2"/>
  <c r="L31" i="2"/>
  <c r="AC30" i="2"/>
  <c r="AA30" i="2"/>
  <c r="Q30" i="2"/>
  <c r="P30" i="2"/>
  <c r="Z30" i="2" s="1"/>
  <c r="O30" i="2"/>
  <c r="N30" i="2"/>
  <c r="T30" i="2" s="1"/>
  <c r="L30" i="2"/>
  <c r="W29" i="2"/>
  <c r="T29" i="2"/>
  <c r="Y29" i="2" s="1"/>
  <c r="Q29" i="2"/>
  <c r="P29" i="2"/>
  <c r="Z29" i="2" s="1"/>
  <c r="O29" i="2"/>
  <c r="N29" i="2"/>
  <c r="L29" i="2"/>
  <c r="AC28" i="2"/>
  <c r="AA28" i="2"/>
  <c r="Q28" i="2"/>
  <c r="P28" i="2"/>
  <c r="AB28" i="2" s="1"/>
  <c r="O28" i="2"/>
  <c r="N28" i="2"/>
  <c r="T28" i="2" s="1"/>
  <c r="L28" i="2"/>
  <c r="AC27" i="2"/>
  <c r="Q27" i="2"/>
  <c r="P27" i="2"/>
  <c r="AB27" i="2" s="1"/>
  <c r="O27" i="2"/>
  <c r="N27" i="2"/>
  <c r="T27" i="2" s="1"/>
  <c r="L27" i="2"/>
  <c r="AB26" i="2"/>
  <c r="W26" i="2"/>
  <c r="T26" i="2"/>
  <c r="V26" i="2" s="1"/>
  <c r="Q26" i="2"/>
  <c r="P26" i="2"/>
  <c r="AC26" i="2" s="1"/>
  <c r="O26" i="2"/>
  <c r="N26" i="2"/>
  <c r="L26" i="2"/>
  <c r="AA25" i="2"/>
  <c r="Q25" i="2"/>
  <c r="P25" i="2"/>
  <c r="AC25" i="2" s="1"/>
  <c r="O25" i="2"/>
  <c r="N25" i="2"/>
  <c r="T25" i="2" s="1"/>
  <c r="L25" i="2"/>
  <c r="AC24" i="2"/>
  <c r="Q24" i="2"/>
  <c r="P24" i="2"/>
  <c r="AB24" i="2" s="1"/>
  <c r="O24" i="2"/>
  <c r="N24" i="2"/>
  <c r="T24" i="2" s="1"/>
  <c r="L24" i="2"/>
  <c r="AB23" i="2"/>
  <c r="T23" i="2"/>
  <c r="Y23" i="2" s="1"/>
  <c r="Q23" i="2"/>
  <c r="P23" i="2"/>
  <c r="AA23" i="2" s="1"/>
  <c r="O23" i="2"/>
  <c r="N23" i="2"/>
  <c r="L23" i="2"/>
  <c r="AC22" i="2"/>
  <c r="AA22" i="2"/>
  <c r="Q22" i="2"/>
  <c r="P22" i="2"/>
  <c r="Z22" i="2" s="1"/>
  <c r="O22" i="2"/>
  <c r="N22" i="2"/>
  <c r="T22" i="2" s="1"/>
  <c r="L22" i="2"/>
  <c r="W21" i="2"/>
  <c r="T21" i="2"/>
  <c r="Y21" i="2" s="1"/>
  <c r="Q21" i="2"/>
  <c r="P21" i="2"/>
  <c r="AC21" i="2" s="1"/>
  <c r="O21" i="2"/>
  <c r="N21" i="2"/>
  <c r="L21" i="2"/>
  <c r="AA20" i="2"/>
  <c r="Q20" i="2"/>
  <c r="P20" i="2"/>
  <c r="AC20" i="2" s="1"/>
  <c r="O20" i="2"/>
  <c r="N20" i="2"/>
  <c r="T20" i="2" s="1"/>
  <c r="L20" i="2"/>
  <c r="AC19" i="2"/>
  <c r="Q19" i="2"/>
  <c r="P19" i="2"/>
  <c r="AB19" i="2" s="1"/>
  <c r="O19" i="2"/>
  <c r="N19" i="2"/>
  <c r="T19" i="2" s="1"/>
  <c r="L19" i="2"/>
  <c r="AC18" i="2"/>
  <c r="AB18" i="2"/>
  <c r="W18" i="2"/>
  <c r="T18" i="2"/>
  <c r="V18" i="2" s="1"/>
  <c r="Q18" i="2"/>
  <c r="P18" i="2"/>
  <c r="AA18" i="2" s="1"/>
  <c r="O18" i="2"/>
  <c r="N18" i="2"/>
  <c r="L18" i="2"/>
  <c r="AC17" i="2"/>
  <c r="AB17" i="2"/>
  <c r="AA17" i="2"/>
  <c r="Q17" i="2"/>
  <c r="P17" i="2"/>
  <c r="Z17" i="2" s="1"/>
  <c r="O17" i="2"/>
  <c r="N17" i="2"/>
  <c r="T17" i="2" s="1"/>
  <c r="L17" i="2"/>
  <c r="AC16" i="2"/>
  <c r="Q16" i="2"/>
  <c r="P16" i="2"/>
  <c r="AB16" i="2" s="1"/>
  <c r="O16" i="2"/>
  <c r="N16" i="2"/>
  <c r="T16" i="2" s="1"/>
  <c r="L16" i="2"/>
  <c r="AB15" i="2"/>
  <c r="T15" i="2"/>
  <c r="Y15" i="2" s="1"/>
  <c r="Q15" i="2"/>
  <c r="P15" i="2"/>
  <c r="AA15" i="2" s="1"/>
  <c r="O15" i="2"/>
  <c r="N15" i="2"/>
  <c r="L15" i="2"/>
  <c r="AC14" i="2"/>
  <c r="AA14" i="2"/>
  <c r="Q14" i="2"/>
  <c r="P14" i="2"/>
  <c r="Z14" i="2" s="1"/>
  <c r="O14" i="2"/>
  <c r="N14" i="2"/>
  <c r="T14" i="2" s="1"/>
  <c r="L14" i="2"/>
  <c r="W13" i="2"/>
  <c r="T13" i="2"/>
  <c r="Y13" i="2" s="1"/>
  <c r="Q13" i="2"/>
  <c r="P13" i="2"/>
  <c r="AC13" i="2" s="1"/>
  <c r="O13" i="2"/>
  <c r="N13" i="2"/>
  <c r="L13" i="2"/>
  <c r="AA12" i="2"/>
  <c r="Q12" i="2"/>
  <c r="P12" i="2"/>
  <c r="AC12" i="2" s="1"/>
  <c r="O12" i="2"/>
  <c r="N12" i="2"/>
  <c r="T12" i="2" s="1"/>
  <c r="L12" i="2"/>
  <c r="AC11" i="2"/>
  <c r="Q11" i="2"/>
  <c r="P11" i="2"/>
  <c r="AB11" i="2" s="1"/>
  <c r="O11" i="2"/>
  <c r="N11" i="2"/>
  <c r="T11" i="2" s="1"/>
  <c r="L11" i="2"/>
  <c r="AB10" i="2"/>
  <c r="W10" i="2"/>
  <c r="T10" i="2"/>
  <c r="V10" i="2" s="1"/>
  <c r="Q10" i="2"/>
  <c r="P10" i="2"/>
  <c r="AC10" i="2" s="1"/>
  <c r="O10" i="2"/>
  <c r="N10" i="2"/>
  <c r="L10" i="2"/>
  <c r="AA9" i="2"/>
  <c r="Q9" i="2"/>
  <c r="P9" i="2"/>
  <c r="AC9" i="2" s="1"/>
  <c r="O9" i="2"/>
  <c r="N9" i="2"/>
  <c r="T9" i="2" s="1"/>
  <c r="L9" i="2"/>
  <c r="AC8" i="2"/>
  <c r="Q8" i="2"/>
  <c r="P8" i="2"/>
  <c r="AB8" i="2" s="1"/>
  <c r="O8" i="2"/>
  <c r="N8" i="2"/>
  <c r="T8" i="2" s="1"/>
  <c r="L8" i="2"/>
  <c r="AB7" i="2"/>
  <c r="T7" i="2"/>
  <c r="Y7" i="2" s="1"/>
  <c r="Q7" i="2"/>
  <c r="P7" i="2"/>
  <c r="AA7" i="2" s="1"/>
  <c r="O7" i="2"/>
  <c r="N7" i="2"/>
  <c r="L7" i="2"/>
  <c r="AC6" i="2"/>
  <c r="AA6" i="2"/>
  <c r="Q6" i="2"/>
  <c r="P6" i="2"/>
  <c r="Z6" i="2" s="1"/>
  <c r="O6" i="2"/>
  <c r="N6" i="2"/>
  <c r="T6" i="2" s="1"/>
  <c r="L6" i="2"/>
  <c r="Q5" i="2"/>
  <c r="P5" i="2"/>
  <c r="AC5" i="2" s="1"/>
  <c r="O5" i="2"/>
  <c r="T5" i="2" s="1"/>
  <c r="N5" i="2"/>
  <c r="L5" i="2"/>
  <c r="AA4" i="2"/>
  <c r="Q4" i="2"/>
  <c r="P4" i="2"/>
  <c r="AC4" i="2" s="1"/>
  <c r="O4" i="2"/>
  <c r="N4" i="2"/>
  <c r="T4" i="2" s="1"/>
  <c r="L4" i="2"/>
  <c r="AC3" i="2"/>
  <c r="Q3" i="2"/>
  <c r="P3" i="2"/>
  <c r="AB3" i="2" s="1"/>
  <c r="O3" i="2"/>
  <c r="N3" i="2"/>
  <c r="T3" i="2" s="1"/>
  <c r="L3" i="2"/>
  <c r="AB2" i="2"/>
  <c r="W2" i="2"/>
  <c r="T2" i="2"/>
  <c r="V2" i="2" s="1"/>
  <c r="Q2" i="2"/>
  <c r="P2" i="2"/>
  <c r="AC2" i="2" s="1"/>
  <c r="O2" i="2"/>
  <c r="N2" i="2"/>
  <c r="L2" i="2"/>
  <c r="Y46" i="2" l="1"/>
  <c r="X46" i="2"/>
  <c r="W46" i="2"/>
  <c r="V46" i="2"/>
  <c r="U46" i="2"/>
  <c r="W11" i="2"/>
  <c r="V11" i="2"/>
  <c r="U11" i="2"/>
  <c r="X11" i="2"/>
  <c r="Y11" i="2"/>
  <c r="W19" i="2"/>
  <c r="V19" i="2"/>
  <c r="U19" i="2"/>
  <c r="X19" i="2"/>
  <c r="Y19" i="2"/>
  <c r="Y38" i="2"/>
  <c r="X38" i="2"/>
  <c r="W38" i="2"/>
  <c r="V38" i="2"/>
  <c r="U38" i="2"/>
  <c r="X52" i="2"/>
  <c r="W52" i="2"/>
  <c r="V52" i="2"/>
  <c r="U52" i="2"/>
  <c r="Y52" i="2"/>
  <c r="Y85" i="2"/>
  <c r="X85" i="2"/>
  <c r="W85" i="2"/>
  <c r="V85" i="2"/>
  <c r="U85" i="2"/>
  <c r="U16" i="2"/>
  <c r="Y16" i="2"/>
  <c r="X16" i="2"/>
  <c r="W16" i="2"/>
  <c r="V16" i="2"/>
  <c r="Y24" i="2"/>
  <c r="X24" i="2"/>
  <c r="W24" i="2"/>
  <c r="V24" i="2"/>
  <c r="U24" i="2"/>
  <c r="Y30" i="2"/>
  <c r="X30" i="2"/>
  <c r="W30" i="2"/>
  <c r="V30" i="2"/>
  <c r="U30" i="2"/>
  <c r="X44" i="2"/>
  <c r="Y44" i="2"/>
  <c r="W44" i="2"/>
  <c r="V44" i="2"/>
  <c r="U44" i="2"/>
  <c r="W59" i="2"/>
  <c r="X59" i="2"/>
  <c r="V59" i="2"/>
  <c r="U59" i="2"/>
  <c r="Y59" i="2"/>
  <c r="Y70" i="2"/>
  <c r="X70" i="2"/>
  <c r="W70" i="2"/>
  <c r="V70" i="2"/>
  <c r="U70" i="2"/>
  <c r="W83" i="2"/>
  <c r="V83" i="2"/>
  <c r="U83" i="2"/>
  <c r="X83" i="2"/>
  <c r="Y83" i="2"/>
  <c r="Y97" i="2"/>
  <c r="X97" i="2"/>
  <c r="W97" i="2"/>
  <c r="U97" i="2"/>
  <c r="V97" i="2"/>
  <c r="U17" i="2"/>
  <c r="Y17" i="2"/>
  <c r="V17" i="2"/>
  <c r="X17" i="2"/>
  <c r="W17" i="2"/>
  <c r="Y78" i="2"/>
  <c r="X78" i="2"/>
  <c r="W78" i="2"/>
  <c r="V78" i="2"/>
  <c r="U78" i="2"/>
  <c r="Y5" i="2"/>
  <c r="X5" i="2"/>
  <c r="W5" i="2"/>
  <c r="V5" i="2"/>
  <c r="U5" i="2"/>
  <c r="U9" i="2"/>
  <c r="Y9" i="2"/>
  <c r="V9" i="2"/>
  <c r="X9" i="2"/>
  <c r="W9" i="2"/>
  <c r="X36" i="2"/>
  <c r="W36" i="2"/>
  <c r="V36" i="2"/>
  <c r="U36" i="2"/>
  <c r="Y36" i="2"/>
  <c r="W51" i="2"/>
  <c r="V51" i="2"/>
  <c r="U51" i="2"/>
  <c r="X51" i="2"/>
  <c r="Y51" i="2"/>
  <c r="U57" i="2"/>
  <c r="V57" i="2"/>
  <c r="Y57" i="2"/>
  <c r="X57" i="2"/>
  <c r="W57" i="2"/>
  <c r="X60" i="2"/>
  <c r="W60" i="2"/>
  <c r="V60" i="2"/>
  <c r="U60" i="2"/>
  <c r="Y60" i="2"/>
  <c r="W67" i="2"/>
  <c r="V67" i="2"/>
  <c r="U67" i="2"/>
  <c r="X67" i="2"/>
  <c r="Y67" i="2"/>
  <c r="Y77" i="2"/>
  <c r="X77" i="2"/>
  <c r="W77" i="2"/>
  <c r="V77" i="2"/>
  <c r="U77" i="2"/>
  <c r="X84" i="2"/>
  <c r="W84" i="2"/>
  <c r="V84" i="2"/>
  <c r="U84" i="2"/>
  <c r="Y84" i="2"/>
  <c r="Y32" i="2"/>
  <c r="U32" i="2"/>
  <c r="X32" i="2"/>
  <c r="W32" i="2"/>
  <c r="V32" i="2"/>
  <c r="X4" i="2"/>
  <c r="Y4" i="2"/>
  <c r="W4" i="2"/>
  <c r="V4" i="2"/>
  <c r="U4" i="2"/>
  <c r="Y14" i="2"/>
  <c r="X14" i="2"/>
  <c r="W14" i="2"/>
  <c r="V14" i="2"/>
  <c r="U14" i="2"/>
  <c r="Y22" i="2"/>
  <c r="X22" i="2"/>
  <c r="W22" i="2"/>
  <c r="V22" i="2"/>
  <c r="U22" i="2"/>
  <c r="X28" i="2"/>
  <c r="Y28" i="2"/>
  <c r="W28" i="2"/>
  <c r="V28" i="2"/>
  <c r="U28" i="2"/>
  <c r="W43" i="2"/>
  <c r="V43" i="2"/>
  <c r="U43" i="2"/>
  <c r="X43" i="2"/>
  <c r="Y43" i="2"/>
  <c r="U49" i="2"/>
  <c r="Y49" i="2"/>
  <c r="X49" i="2"/>
  <c r="V49" i="2"/>
  <c r="W49" i="2"/>
  <c r="U65" i="2"/>
  <c r="V65" i="2"/>
  <c r="Y65" i="2"/>
  <c r="X65" i="2"/>
  <c r="W65" i="2"/>
  <c r="U87" i="2"/>
  <c r="Y87" i="2"/>
  <c r="X87" i="2"/>
  <c r="W87" i="2"/>
  <c r="V87" i="2"/>
  <c r="Y90" i="2"/>
  <c r="V90" i="2"/>
  <c r="U90" i="2"/>
  <c r="X90" i="2"/>
  <c r="W90" i="2"/>
  <c r="Y72" i="2"/>
  <c r="X72" i="2"/>
  <c r="W72" i="2"/>
  <c r="U72" i="2"/>
  <c r="V72" i="2"/>
  <c r="Y8" i="2"/>
  <c r="X8" i="2"/>
  <c r="U8" i="2"/>
  <c r="W8" i="2"/>
  <c r="V8" i="2"/>
  <c r="W35" i="2"/>
  <c r="V35" i="2"/>
  <c r="U35" i="2"/>
  <c r="Y35" i="2"/>
  <c r="X35" i="2"/>
  <c r="U41" i="2"/>
  <c r="V41" i="2"/>
  <c r="Y41" i="2"/>
  <c r="X41" i="2"/>
  <c r="W41" i="2"/>
  <c r="U56" i="2"/>
  <c r="Y56" i="2"/>
  <c r="X56" i="2"/>
  <c r="W56" i="2"/>
  <c r="V56" i="2"/>
  <c r="X68" i="2"/>
  <c r="W68" i="2"/>
  <c r="V68" i="2"/>
  <c r="U68" i="2"/>
  <c r="Y68" i="2"/>
  <c r="W75" i="2"/>
  <c r="V75" i="2"/>
  <c r="U75" i="2"/>
  <c r="X75" i="2"/>
  <c r="Y75" i="2"/>
  <c r="Y80" i="2"/>
  <c r="U80" i="2"/>
  <c r="X80" i="2"/>
  <c r="W80" i="2"/>
  <c r="V80" i="2"/>
  <c r="Y129" i="2"/>
  <c r="X129" i="2"/>
  <c r="W129" i="2"/>
  <c r="V129" i="2"/>
  <c r="U129" i="2"/>
  <c r="W3" i="2"/>
  <c r="V3" i="2"/>
  <c r="U3" i="2"/>
  <c r="X3" i="2"/>
  <c r="Y3" i="2"/>
  <c r="W27" i="2"/>
  <c r="V27" i="2"/>
  <c r="U27" i="2"/>
  <c r="Y27" i="2"/>
  <c r="X27" i="2"/>
  <c r="U33" i="2"/>
  <c r="V33" i="2"/>
  <c r="Y33" i="2"/>
  <c r="X33" i="2"/>
  <c r="W33" i="2"/>
  <c r="Y48" i="2"/>
  <c r="X48" i="2"/>
  <c r="W48" i="2"/>
  <c r="U48" i="2"/>
  <c r="V48" i="2"/>
  <c r="Y64" i="2"/>
  <c r="U64" i="2"/>
  <c r="X64" i="2"/>
  <c r="W64" i="2"/>
  <c r="V64" i="2"/>
  <c r="U73" i="2"/>
  <c r="Y73" i="2"/>
  <c r="X73" i="2"/>
  <c r="V73" i="2"/>
  <c r="W73" i="2"/>
  <c r="U81" i="2"/>
  <c r="V81" i="2"/>
  <c r="Y81" i="2"/>
  <c r="X81" i="2"/>
  <c r="W81" i="2"/>
  <c r="Y86" i="2"/>
  <c r="X86" i="2"/>
  <c r="W86" i="2"/>
  <c r="V86" i="2"/>
  <c r="U86" i="2"/>
  <c r="U25" i="2"/>
  <c r="Y25" i="2"/>
  <c r="X25" i="2"/>
  <c r="W25" i="2"/>
  <c r="V25" i="2"/>
  <c r="Y62" i="2"/>
  <c r="X62" i="2"/>
  <c r="W62" i="2"/>
  <c r="V62" i="2"/>
  <c r="U62" i="2"/>
  <c r="Y6" i="2"/>
  <c r="X6" i="2"/>
  <c r="W6" i="2"/>
  <c r="V6" i="2"/>
  <c r="U6" i="2"/>
  <c r="X12" i="2"/>
  <c r="Y12" i="2"/>
  <c r="W12" i="2"/>
  <c r="V12" i="2"/>
  <c r="U12" i="2"/>
  <c r="X20" i="2"/>
  <c r="Y20" i="2"/>
  <c r="W20" i="2"/>
  <c r="V20" i="2"/>
  <c r="U20" i="2"/>
  <c r="Y40" i="2"/>
  <c r="X40" i="2"/>
  <c r="W40" i="2"/>
  <c r="U40" i="2"/>
  <c r="V40" i="2"/>
  <c r="Y54" i="2"/>
  <c r="X54" i="2"/>
  <c r="W54" i="2"/>
  <c r="V54" i="2"/>
  <c r="U54" i="2"/>
  <c r="X76" i="2"/>
  <c r="W76" i="2"/>
  <c r="V76" i="2"/>
  <c r="U76" i="2"/>
  <c r="Y76" i="2"/>
  <c r="U89" i="2"/>
  <c r="Y89" i="2"/>
  <c r="X89" i="2"/>
  <c r="W89" i="2"/>
  <c r="V89" i="2"/>
  <c r="Y121" i="2"/>
  <c r="X121" i="2"/>
  <c r="W121" i="2"/>
  <c r="V121" i="2"/>
  <c r="U121" i="2"/>
  <c r="Z5" i="2"/>
  <c r="X95" i="2"/>
  <c r="W95" i="2"/>
  <c r="V95" i="2"/>
  <c r="U95" i="2"/>
  <c r="Y144" i="2"/>
  <c r="X144" i="2"/>
  <c r="W144" i="2"/>
  <c r="V144" i="2"/>
  <c r="U144" i="2"/>
  <c r="W218" i="2"/>
  <c r="Y218" i="2"/>
  <c r="X218" i="2"/>
  <c r="V218" i="2"/>
  <c r="U218" i="2"/>
  <c r="X2" i="2"/>
  <c r="Z4" i="2"/>
  <c r="AA5" i="2"/>
  <c r="AB6" i="2"/>
  <c r="U7" i="2"/>
  <c r="AC7" i="2"/>
  <c r="X10" i="2"/>
  <c r="Z12" i="2"/>
  <c r="AA13" i="2"/>
  <c r="AB14" i="2"/>
  <c r="U15" i="2"/>
  <c r="AC15" i="2"/>
  <c r="X18" i="2"/>
  <c r="Z20" i="2"/>
  <c r="AA21" i="2"/>
  <c r="AB22" i="2"/>
  <c r="U23" i="2"/>
  <c r="AC23" i="2"/>
  <c r="X26" i="2"/>
  <c r="Z28" i="2"/>
  <c r="AA29" i="2"/>
  <c r="AB30" i="2"/>
  <c r="U31" i="2"/>
  <c r="AC31" i="2"/>
  <c r="X34" i="2"/>
  <c r="Z36" i="2"/>
  <c r="AA37" i="2"/>
  <c r="AB38" i="2"/>
  <c r="U39" i="2"/>
  <c r="AC39" i="2"/>
  <c r="X42" i="2"/>
  <c r="Z44" i="2"/>
  <c r="AA45" i="2"/>
  <c r="AB46" i="2"/>
  <c r="U47" i="2"/>
  <c r="AC47" i="2"/>
  <c r="X50" i="2"/>
  <c r="Z52" i="2"/>
  <c r="AA53" i="2"/>
  <c r="AB54" i="2"/>
  <c r="U55" i="2"/>
  <c r="AC55" i="2"/>
  <c r="X58" i="2"/>
  <c r="AA61" i="2"/>
  <c r="AB62" i="2"/>
  <c r="U63" i="2"/>
  <c r="AC63" i="2"/>
  <c r="X66" i="2"/>
  <c r="AA69" i="2"/>
  <c r="AB70" i="2"/>
  <c r="U71" i="2"/>
  <c r="AC71" i="2"/>
  <c r="X74" i="2"/>
  <c r="Z76" i="2"/>
  <c r="AA77" i="2"/>
  <c r="AB78" i="2"/>
  <c r="U79" i="2"/>
  <c r="AC79" i="2"/>
  <c r="X82" i="2"/>
  <c r="Z84" i="2"/>
  <c r="AA85" i="2"/>
  <c r="AC86" i="2"/>
  <c r="T88" i="2"/>
  <c r="AB89" i="2"/>
  <c r="Y95" i="2"/>
  <c r="Y99" i="2"/>
  <c r="W99" i="2"/>
  <c r="Y107" i="2"/>
  <c r="W107" i="2"/>
  <c r="W116" i="2"/>
  <c r="W117" i="2"/>
  <c r="W125" i="2"/>
  <c r="Y137" i="2"/>
  <c r="X137" i="2"/>
  <c r="W137" i="2"/>
  <c r="V137" i="2"/>
  <c r="U137" i="2"/>
  <c r="V148" i="2"/>
  <c r="U148" i="2"/>
  <c r="Y148" i="2"/>
  <c r="X148" i="2"/>
  <c r="T158" i="2"/>
  <c r="Y159" i="2"/>
  <c r="X159" i="2"/>
  <c r="W159" i="2"/>
  <c r="V159" i="2"/>
  <c r="U159" i="2"/>
  <c r="Y169" i="2"/>
  <c r="X169" i="2"/>
  <c r="W169" i="2"/>
  <c r="V169" i="2"/>
  <c r="U169" i="2"/>
  <c r="T174" i="2"/>
  <c r="Y184" i="2"/>
  <c r="X184" i="2"/>
  <c r="W184" i="2"/>
  <c r="V184" i="2"/>
  <c r="U184" i="2"/>
  <c r="U195" i="2"/>
  <c r="Y195" i="2"/>
  <c r="X195" i="2"/>
  <c r="W195" i="2"/>
  <c r="Y202" i="2"/>
  <c r="X202" i="2"/>
  <c r="W202" i="2"/>
  <c r="V202" i="2"/>
  <c r="U202" i="2"/>
  <c r="U205" i="2"/>
  <c r="Y205" i="2"/>
  <c r="X205" i="2"/>
  <c r="W205" i="2"/>
  <c r="V205" i="2"/>
  <c r="X208" i="2"/>
  <c r="U208" i="2"/>
  <c r="Y208" i="2"/>
  <c r="W208" i="2"/>
  <c r="V208" i="2"/>
  <c r="Y212" i="2"/>
  <c r="X212" i="2"/>
  <c r="W212" i="2"/>
  <c r="V212" i="2"/>
  <c r="U212" i="2"/>
  <c r="Y224" i="2"/>
  <c r="X224" i="2"/>
  <c r="U224" i="2"/>
  <c r="W224" i="2"/>
  <c r="V224" i="2"/>
  <c r="Y255" i="2"/>
  <c r="X255" i="2"/>
  <c r="W255" i="2"/>
  <c r="V255" i="2"/>
  <c r="U255" i="2"/>
  <c r="U290" i="2"/>
  <c r="Y290" i="2"/>
  <c r="X290" i="2"/>
  <c r="W290" i="2"/>
  <c r="V290" i="2"/>
  <c r="W335" i="2"/>
  <c r="V335" i="2"/>
  <c r="U335" i="2"/>
  <c r="Y335" i="2"/>
  <c r="X335" i="2"/>
  <c r="Z13" i="2"/>
  <c r="Z21" i="2"/>
  <c r="Y161" i="2"/>
  <c r="X161" i="2"/>
  <c r="W161" i="2"/>
  <c r="V161" i="2"/>
  <c r="U161" i="2"/>
  <c r="V456" i="2"/>
  <c r="U456" i="2"/>
  <c r="Y456" i="2"/>
  <c r="X456" i="2"/>
  <c r="W456" i="2"/>
  <c r="Y2" i="2"/>
  <c r="Z3" i="2"/>
  <c r="AB5" i="2"/>
  <c r="V7" i="2"/>
  <c r="Y10" i="2"/>
  <c r="Z11" i="2"/>
  <c r="AB13" i="2"/>
  <c r="V15" i="2"/>
  <c r="Y18" i="2"/>
  <c r="Z19" i="2"/>
  <c r="AB21" i="2"/>
  <c r="V23" i="2"/>
  <c r="Y26" i="2"/>
  <c r="Z27" i="2"/>
  <c r="AB29" i="2"/>
  <c r="V31" i="2"/>
  <c r="Y34" i="2"/>
  <c r="Z35" i="2"/>
  <c r="AB37" i="2"/>
  <c r="V39" i="2"/>
  <c r="Y42" i="2"/>
  <c r="Z43" i="2"/>
  <c r="AB45" i="2"/>
  <c r="V47" i="2"/>
  <c r="Y50" i="2"/>
  <c r="Z51" i="2"/>
  <c r="AB53" i="2"/>
  <c r="V55" i="2"/>
  <c r="Y58" i="2"/>
  <c r="Z59" i="2"/>
  <c r="AB61" i="2"/>
  <c r="V63" i="2"/>
  <c r="Y66" i="2"/>
  <c r="Z67" i="2"/>
  <c r="AB69" i="2"/>
  <c r="V71" i="2"/>
  <c r="Y74" i="2"/>
  <c r="Z75" i="2"/>
  <c r="AB77" i="2"/>
  <c r="AC78" i="2"/>
  <c r="V79" i="2"/>
  <c r="Y82" i="2"/>
  <c r="AB85" i="2"/>
  <c r="Z88" i="2"/>
  <c r="Z96" i="2"/>
  <c r="Y105" i="2"/>
  <c r="X105" i="2"/>
  <c r="W105" i="2"/>
  <c r="U105" i="2"/>
  <c r="Y113" i="2"/>
  <c r="X113" i="2"/>
  <c r="W113" i="2"/>
  <c r="U113" i="2"/>
  <c r="Y115" i="2"/>
  <c r="W115" i="2"/>
  <c r="T134" i="2"/>
  <c r="Y135" i="2"/>
  <c r="X135" i="2"/>
  <c r="W135" i="2"/>
  <c r="V135" i="2"/>
  <c r="U135" i="2"/>
  <c r="Y145" i="2"/>
  <c r="X145" i="2"/>
  <c r="W145" i="2"/>
  <c r="V145" i="2"/>
  <c r="U145" i="2"/>
  <c r="AC159" i="2"/>
  <c r="AB159" i="2"/>
  <c r="AA159" i="2"/>
  <c r="T166" i="2"/>
  <c r="Y167" i="2"/>
  <c r="X167" i="2"/>
  <c r="W167" i="2"/>
  <c r="V167" i="2"/>
  <c r="U167" i="2"/>
  <c r="Y177" i="2"/>
  <c r="X177" i="2"/>
  <c r="W177" i="2"/>
  <c r="V177" i="2"/>
  <c r="U177" i="2"/>
  <c r="T182" i="2"/>
  <c r="Y192" i="2"/>
  <c r="X192" i="2"/>
  <c r="W192" i="2"/>
  <c r="V192" i="2"/>
  <c r="U192" i="2"/>
  <c r="Y201" i="2"/>
  <c r="W201" i="2"/>
  <c r="V201" i="2"/>
  <c r="U201" i="2"/>
  <c r="W306" i="2"/>
  <c r="V306" i="2"/>
  <c r="U306" i="2"/>
  <c r="Y306" i="2"/>
  <c r="X306" i="2"/>
  <c r="Z77" i="2"/>
  <c r="X230" i="2"/>
  <c r="W230" i="2"/>
  <c r="V230" i="2"/>
  <c r="U230" i="2"/>
  <c r="Z2" i="2"/>
  <c r="AA3" i="2"/>
  <c r="AB4" i="2"/>
  <c r="W7" i="2"/>
  <c r="Z10" i="2"/>
  <c r="AA11" i="2"/>
  <c r="AB12" i="2"/>
  <c r="U13" i="2"/>
  <c r="W15" i="2"/>
  <c r="Z18" i="2"/>
  <c r="AA19" i="2"/>
  <c r="AB20" i="2"/>
  <c r="U21" i="2"/>
  <c r="W23" i="2"/>
  <c r="Z26" i="2"/>
  <c r="AA27" i="2"/>
  <c r="U29" i="2"/>
  <c r="AC29" i="2"/>
  <c r="W31" i="2"/>
  <c r="Z34" i="2"/>
  <c r="AA35" i="2"/>
  <c r="U37" i="2"/>
  <c r="AC37" i="2"/>
  <c r="W39" i="2"/>
  <c r="Z42" i="2"/>
  <c r="AA43" i="2"/>
  <c r="U45" i="2"/>
  <c r="AC45" i="2"/>
  <c r="W47" i="2"/>
  <c r="Z50" i="2"/>
  <c r="AA51" i="2"/>
  <c r="U53" i="2"/>
  <c r="AC53" i="2"/>
  <c r="W55" i="2"/>
  <c r="Z58" i="2"/>
  <c r="AA59" i="2"/>
  <c r="U61" i="2"/>
  <c r="AC61" i="2"/>
  <c r="W63" i="2"/>
  <c r="Z66" i="2"/>
  <c r="U69" i="2"/>
  <c r="AC69" i="2"/>
  <c r="W71" i="2"/>
  <c r="Z74" i="2"/>
  <c r="W79" i="2"/>
  <c r="Z82" i="2"/>
  <c r="AC85" i="2"/>
  <c r="AA88" i="2"/>
  <c r="Z90" i="2"/>
  <c r="U92" i="2"/>
  <c r="X92" i="2"/>
  <c r="Y98" i="2"/>
  <c r="X98" i="2"/>
  <c r="V98" i="2"/>
  <c r="Y106" i="2"/>
  <c r="X106" i="2"/>
  <c r="V106" i="2"/>
  <c r="Y120" i="2"/>
  <c r="X120" i="2"/>
  <c r="W120" i="2"/>
  <c r="V120" i="2"/>
  <c r="U120" i="2"/>
  <c r="Y128" i="2"/>
  <c r="X128" i="2"/>
  <c r="W128" i="2"/>
  <c r="V128" i="2"/>
  <c r="U128" i="2"/>
  <c r="AC135" i="2"/>
  <c r="AB135" i="2"/>
  <c r="AA135" i="2"/>
  <c r="X142" i="2"/>
  <c r="W142" i="2"/>
  <c r="V142" i="2"/>
  <c r="U142" i="2"/>
  <c r="Y143" i="2"/>
  <c r="X143" i="2"/>
  <c r="W143" i="2"/>
  <c r="V143" i="2"/>
  <c r="U143" i="2"/>
  <c r="U155" i="2"/>
  <c r="Y155" i="2"/>
  <c r="X155" i="2"/>
  <c r="W155" i="2"/>
  <c r="W157" i="2"/>
  <c r="V157" i="2"/>
  <c r="U157" i="2"/>
  <c r="Y157" i="2"/>
  <c r="AC167" i="2"/>
  <c r="AB167" i="2"/>
  <c r="AA167" i="2"/>
  <c r="W173" i="2"/>
  <c r="V173" i="2"/>
  <c r="U173" i="2"/>
  <c r="Y173" i="2"/>
  <c r="Y175" i="2"/>
  <c r="X175" i="2"/>
  <c r="W175" i="2"/>
  <c r="V175" i="2"/>
  <c r="U175" i="2"/>
  <c r="Y185" i="2"/>
  <c r="X185" i="2"/>
  <c r="W185" i="2"/>
  <c r="V185" i="2"/>
  <c r="U185" i="2"/>
  <c r="X190" i="2"/>
  <c r="W190" i="2"/>
  <c r="V190" i="2"/>
  <c r="U190" i="2"/>
  <c r="Y209" i="2"/>
  <c r="V209" i="2"/>
  <c r="W209" i="2"/>
  <c r="U209" i="2"/>
  <c r="W210" i="2"/>
  <c r="Y210" i="2"/>
  <c r="X210" i="2"/>
  <c r="V210" i="2"/>
  <c r="U210" i="2"/>
  <c r="U213" i="2"/>
  <c r="Y213" i="2"/>
  <c r="X213" i="2"/>
  <c r="W213" i="2"/>
  <c r="V213" i="2"/>
  <c r="X216" i="2"/>
  <c r="U216" i="2"/>
  <c r="W216" i="2"/>
  <c r="V216" i="2"/>
  <c r="Y230" i="2"/>
  <c r="U147" i="2"/>
  <c r="Y147" i="2"/>
  <c r="X147" i="2"/>
  <c r="W147" i="2"/>
  <c r="AA2" i="2"/>
  <c r="X7" i="2"/>
  <c r="Z9" i="2"/>
  <c r="AA10" i="2"/>
  <c r="V13" i="2"/>
  <c r="X15" i="2"/>
  <c r="V21" i="2"/>
  <c r="X23" i="2"/>
  <c r="Z25" i="2"/>
  <c r="AA26" i="2"/>
  <c r="V29" i="2"/>
  <c r="X31" i="2"/>
  <c r="Z33" i="2"/>
  <c r="V37" i="2"/>
  <c r="X39" i="2"/>
  <c r="Z41" i="2"/>
  <c r="V45" i="2"/>
  <c r="X47" i="2"/>
  <c r="Z49" i="2"/>
  <c r="V53" i="2"/>
  <c r="X55" i="2"/>
  <c r="Z57" i="2"/>
  <c r="X63" i="2"/>
  <c r="Z65" i="2"/>
  <c r="X71" i="2"/>
  <c r="Z73" i="2"/>
  <c r="X79" i="2"/>
  <c r="Z81" i="2"/>
  <c r="AB90" i="2"/>
  <c r="V93" i="2"/>
  <c r="U93" i="2"/>
  <c r="Y93" i="2"/>
  <c r="T94" i="2"/>
  <c r="U100" i="2"/>
  <c r="X100" i="2"/>
  <c r="V101" i="2"/>
  <c r="U101" i="2"/>
  <c r="Y101" i="2"/>
  <c r="T102" i="2"/>
  <c r="U108" i="2"/>
  <c r="X108" i="2"/>
  <c r="V109" i="2"/>
  <c r="U109" i="2"/>
  <c r="Y109" i="2"/>
  <c r="T110" i="2"/>
  <c r="Y114" i="2"/>
  <c r="X114" i="2"/>
  <c r="V114" i="2"/>
  <c r="T118" i="2"/>
  <c r="Y123" i="2"/>
  <c r="X123" i="2"/>
  <c r="W123" i="2"/>
  <c r="T126" i="2"/>
  <c r="Y131" i="2"/>
  <c r="X131" i="2"/>
  <c r="W131" i="2"/>
  <c r="W133" i="2"/>
  <c r="V133" i="2"/>
  <c r="U133" i="2"/>
  <c r="Y133" i="2"/>
  <c r="AC143" i="2"/>
  <c r="AB143" i="2"/>
  <c r="AA143" i="2"/>
  <c r="V147" i="2"/>
  <c r="W148" i="2"/>
  <c r="Y152" i="2"/>
  <c r="X152" i="2"/>
  <c r="W152" i="2"/>
  <c r="V152" i="2"/>
  <c r="U152" i="2"/>
  <c r="V156" i="2"/>
  <c r="U156" i="2"/>
  <c r="Y156" i="2"/>
  <c r="X156" i="2"/>
  <c r="Z159" i="2"/>
  <c r="W165" i="2"/>
  <c r="V165" i="2"/>
  <c r="U165" i="2"/>
  <c r="Y165" i="2"/>
  <c r="AC175" i="2"/>
  <c r="AB175" i="2"/>
  <c r="AA175" i="2"/>
  <c r="W181" i="2"/>
  <c r="V181" i="2"/>
  <c r="U181" i="2"/>
  <c r="Y181" i="2"/>
  <c r="Y183" i="2"/>
  <c r="X183" i="2"/>
  <c r="W183" i="2"/>
  <c r="V183" i="2"/>
  <c r="U183" i="2"/>
  <c r="Y193" i="2"/>
  <c r="X193" i="2"/>
  <c r="W193" i="2"/>
  <c r="V193" i="2"/>
  <c r="U193" i="2"/>
  <c r="Y203" i="2"/>
  <c r="X203" i="2"/>
  <c r="W203" i="2"/>
  <c r="V203" i="2"/>
  <c r="U203" i="2"/>
  <c r="V206" i="2"/>
  <c r="Y206" i="2"/>
  <c r="X206" i="2"/>
  <c r="W206" i="2"/>
  <c r="U206" i="2"/>
  <c r="Y217" i="2"/>
  <c r="V217" i="2"/>
  <c r="X217" i="2"/>
  <c r="W217" i="2"/>
  <c r="U217" i="2"/>
  <c r="U266" i="2"/>
  <c r="Y266" i="2"/>
  <c r="X266" i="2"/>
  <c r="W266" i="2"/>
  <c r="V266" i="2"/>
  <c r="X320" i="2"/>
  <c r="Y320" i="2"/>
  <c r="W320" i="2"/>
  <c r="V320" i="2"/>
  <c r="U320" i="2"/>
  <c r="AC151" i="2"/>
  <c r="AB151" i="2"/>
  <c r="AA151" i="2"/>
  <c r="U187" i="2"/>
  <c r="Y187" i="2"/>
  <c r="X187" i="2"/>
  <c r="W187" i="2"/>
  <c r="V196" i="2"/>
  <c r="U196" i="2"/>
  <c r="Y196" i="2"/>
  <c r="X196" i="2"/>
  <c r="Z8" i="2"/>
  <c r="Z16" i="2"/>
  <c r="Z24" i="2"/>
  <c r="Z32" i="2"/>
  <c r="Z40" i="2"/>
  <c r="Z48" i="2"/>
  <c r="Z56" i="2"/>
  <c r="Z64" i="2"/>
  <c r="Z72" i="2"/>
  <c r="Z80" i="2"/>
  <c r="Z87" i="2"/>
  <c r="AC90" i="2"/>
  <c r="T96" i="2"/>
  <c r="T104" i="2"/>
  <c r="T112" i="2"/>
  <c r="U116" i="2"/>
  <c r="X116" i="2"/>
  <c r="V117" i="2"/>
  <c r="U117" i="2"/>
  <c r="Y117" i="2"/>
  <c r="X119" i="2"/>
  <c r="W119" i="2"/>
  <c r="V119" i="2"/>
  <c r="U119" i="2"/>
  <c r="AC120" i="2"/>
  <c r="AB120" i="2"/>
  <c r="V125" i="2"/>
  <c r="U125" i="2"/>
  <c r="Y125" i="2"/>
  <c r="X127" i="2"/>
  <c r="W127" i="2"/>
  <c r="V127" i="2"/>
  <c r="U127" i="2"/>
  <c r="AC128" i="2"/>
  <c r="AB128" i="2"/>
  <c r="V132" i="2"/>
  <c r="U132" i="2"/>
  <c r="Y132" i="2"/>
  <c r="X132" i="2"/>
  <c r="Z135" i="2"/>
  <c r="W141" i="2"/>
  <c r="V141" i="2"/>
  <c r="U141" i="2"/>
  <c r="Y141" i="2"/>
  <c r="U163" i="2"/>
  <c r="Y163" i="2"/>
  <c r="X163" i="2"/>
  <c r="W163" i="2"/>
  <c r="Z167" i="2"/>
  <c r="V172" i="2"/>
  <c r="U172" i="2"/>
  <c r="Y172" i="2"/>
  <c r="X172" i="2"/>
  <c r="AC183" i="2"/>
  <c r="AB183" i="2"/>
  <c r="AA183" i="2"/>
  <c r="W189" i="2"/>
  <c r="V189" i="2"/>
  <c r="U189" i="2"/>
  <c r="Y189" i="2"/>
  <c r="Y191" i="2"/>
  <c r="X191" i="2"/>
  <c r="W191" i="2"/>
  <c r="V191" i="2"/>
  <c r="U191" i="2"/>
  <c r="V195" i="2"/>
  <c r="V198" i="2"/>
  <c r="Y198" i="2"/>
  <c r="X198" i="2"/>
  <c r="W198" i="2"/>
  <c r="U198" i="2"/>
  <c r="X200" i="2"/>
  <c r="U200" i="2"/>
  <c r="Y200" i="2"/>
  <c r="W200" i="2"/>
  <c r="Y225" i="2"/>
  <c r="V225" i="2"/>
  <c r="X225" i="2"/>
  <c r="W225" i="2"/>
  <c r="U225" i="2"/>
  <c r="Y240" i="2"/>
  <c r="X240" i="2"/>
  <c r="W240" i="2"/>
  <c r="U240" i="2"/>
  <c r="V240" i="2"/>
  <c r="W149" i="2"/>
  <c r="V149" i="2"/>
  <c r="U149" i="2"/>
  <c r="Y149" i="2"/>
  <c r="AC227" i="2"/>
  <c r="AB227" i="2"/>
  <c r="AA227" i="2"/>
  <c r="Z227" i="2"/>
  <c r="U2" i="2"/>
  <c r="Z7" i="2"/>
  <c r="AA8" i="2"/>
  <c r="AB9" i="2"/>
  <c r="U10" i="2"/>
  <c r="X13" i="2"/>
  <c r="Z15" i="2"/>
  <c r="AA16" i="2"/>
  <c r="U18" i="2"/>
  <c r="X21" i="2"/>
  <c r="Z23" i="2"/>
  <c r="AA24" i="2"/>
  <c r="AB25" i="2"/>
  <c r="U26" i="2"/>
  <c r="X29" i="2"/>
  <c r="Z31" i="2"/>
  <c r="AA32" i="2"/>
  <c r="AB33" i="2"/>
  <c r="U34" i="2"/>
  <c r="X37" i="2"/>
  <c r="Z39" i="2"/>
  <c r="AA40" i="2"/>
  <c r="AB41" i="2"/>
  <c r="U42" i="2"/>
  <c r="X45" i="2"/>
  <c r="Z47" i="2"/>
  <c r="AA48" i="2"/>
  <c r="AB49" i="2"/>
  <c r="U50" i="2"/>
  <c r="X53" i="2"/>
  <c r="Z55" i="2"/>
  <c r="AA56" i="2"/>
  <c r="AB57" i="2"/>
  <c r="U58" i="2"/>
  <c r="X61" i="2"/>
  <c r="Z63" i="2"/>
  <c r="AA64" i="2"/>
  <c r="AB65" i="2"/>
  <c r="U66" i="2"/>
  <c r="X69" i="2"/>
  <c r="Z71" i="2"/>
  <c r="AA72" i="2"/>
  <c r="AB73" i="2"/>
  <c r="U74" i="2"/>
  <c r="Z79" i="2"/>
  <c r="AA80" i="2"/>
  <c r="AB81" i="2"/>
  <c r="U82" i="2"/>
  <c r="AB87" i="2"/>
  <c r="V92" i="2"/>
  <c r="AC93" i="2"/>
  <c r="AB93" i="2"/>
  <c r="AA93" i="2"/>
  <c r="AC95" i="2"/>
  <c r="AA95" i="2"/>
  <c r="V99" i="2"/>
  <c r="AC101" i="2"/>
  <c r="AB101" i="2"/>
  <c r="AA101" i="2"/>
  <c r="AC103" i="2"/>
  <c r="AA103" i="2"/>
  <c r="V107" i="2"/>
  <c r="AC109" i="2"/>
  <c r="AB109" i="2"/>
  <c r="AA109" i="2"/>
  <c r="AC111" i="2"/>
  <c r="AA111" i="2"/>
  <c r="W114" i="2"/>
  <c r="U115" i="2"/>
  <c r="AC119" i="2"/>
  <c r="AB119" i="2"/>
  <c r="AA119" i="2"/>
  <c r="U124" i="2"/>
  <c r="Y124" i="2"/>
  <c r="X124" i="2"/>
  <c r="AC127" i="2"/>
  <c r="AB127" i="2"/>
  <c r="AA127" i="2"/>
  <c r="U139" i="2"/>
  <c r="Y139" i="2"/>
  <c r="X139" i="2"/>
  <c r="W139" i="2"/>
  <c r="Z143" i="2"/>
  <c r="T150" i="2"/>
  <c r="Y153" i="2"/>
  <c r="X153" i="2"/>
  <c r="W153" i="2"/>
  <c r="V153" i="2"/>
  <c r="U153" i="2"/>
  <c r="T160" i="2"/>
  <c r="V164" i="2"/>
  <c r="U164" i="2"/>
  <c r="Y164" i="2"/>
  <c r="X164" i="2"/>
  <c r="U171" i="2"/>
  <c r="Y171" i="2"/>
  <c r="X171" i="2"/>
  <c r="W171" i="2"/>
  <c r="Z175" i="2"/>
  <c r="V180" i="2"/>
  <c r="U180" i="2"/>
  <c r="Y180" i="2"/>
  <c r="X180" i="2"/>
  <c r="AC191" i="2"/>
  <c r="AB191" i="2"/>
  <c r="AA191" i="2"/>
  <c r="W197" i="2"/>
  <c r="V197" i="2"/>
  <c r="U197" i="2"/>
  <c r="Y197" i="2"/>
  <c r="Z198" i="2"/>
  <c r="AC198" i="2"/>
  <c r="AB198" i="2"/>
  <c r="W199" i="2"/>
  <c r="Y199" i="2"/>
  <c r="X199" i="2"/>
  <c r="V199" i="2"/>
  <c r="U199" i="2"/>
  <c r="V200" i="2"/>
  <c r="X201" i="2"/>
  <c r="Y216" i="2"/>
  <c r="X222" i="2"/>
  <c r="W222" i="2"/>
  <c r="V222" i="2"/>
  <c r="Y222" i="2"/>
  <c r="U222" i="2"/>
  <c r="Y238" i="2"/>
  <c r="X238" i="2"/>
  <c r="W238" i="2"/>
  <c r="V238" i="2"/>
  <c r="U238" i="2"/>
  <c r="X261" i="2"/>
  <c r="W261" i="2"/>
  <c r="V261" i="2"/>
  <c r="U261" i="2"/>
  <c r="Y261" i="2"/>
  <c r="Z310" i="2"/>
  <c r="AC310" i="2"/>
  <c r="AB310" i="2"/>
  <c r="AA310" i="2"/>
  <c r="AA89" i="2"/>
  <c r="X103" i="2"/>
  <c r="W103" i="2"/>
  <c r="V103" i="2"/>
  <c r="U103" i="2"/>
  <c r="X111" i="2"/>
  <c r="W111" i="2"/>
  <c r="V111" i="2"/>
  <c r="U111" i="2"/>
  <c r="Y176" i="2"/>
  <c r="X176" i="2"/>
  <c r="W176" i="2"/>
  <c r="V176" i="2"/>
  <c r="U176" i="2"/>
  <c r="W229" i="2"/>
  <c r="V229" i="2"/>
  <c r="U229" i="2"/>
  <c r="Y229" i="2"/>
  <c r="X229" i="2"/>
  <c r="AA86" i="2"/>
  <c r="AC87" i="2"/>
  <c r="Z89" i="2"/>
  <c r="Y91" i="2"/>
  <c r="W91" i="2"/>
  <c r="W92" i="2"/>
  <c r="X99" i="2"/>
  <c r="V100" i="2"/>
  <c r="X107" i="2"/>
  <c r="V108" i="2"/>
  <c r="V115" i="2"/>
  <c r="Z120" i="2"/>
  <c r="Y122" i="2"/>
  <c r="X122" i="2"/>
  <c r="W122" i="2"/>
  <c r="V122" i="2"/>
  <c r="Z128" i="2"/>
  <c r="Y130" i="2"/>
  <c r="X130" i="2"/>
  <c r="W130" i="2"/>
  <c r="V130" i="2"/>
  <c r="T136" i="2"/>
  <c r="V140" i="2"/>
  <c r="U140" i="2"/>
  <c r="Y140" i="2"/>
  <c r="X140" i="2"/>
  <c r="Y142" i="2"/>
  <c r="Y151" i="2"/>
  <c r="X151" i="2"/>
  <c r="W151" i="2"/>
  <c r="V151" i="2"/>
  <c r="U151" i="2"/>
  <c r="V155" i="2"/>
  <c r="W156" i="2"/>
  <c r="X157" i="2"/>
  <c r="T168" i="2"/>
  <c r="X173" i="2"/>
  <c r="U179" i="2"/>
  <c r="Y179" i="2"/>
  <c r="X179" i="2"/>
  <c r="W179" i="2"/>
  <c r="Z183" i="2"/>
  <c r="V188" i="2"/>
  <c r="U188" i="2"/>
  <c r="Y188" i="2"/>
  <c r="X188" i="2"/>
  <c r="Y190" i="2"/>
  <c r="X209" i="2"/>
  <c r="V214" i="2"/>
  <c r="X214" i="2"/>
  <c r="W214" i="2"/>
  <c r="U214" i="2"/>
  <c r="W221" i="2"/>
  <c r="V221" i="2"/>
  <c r="U221" i="2"/>
  <c r="Y221" i="2"/>
  <c r="X221" i="2"/>
  <c r="U309" i="2"/>
  <c r="W309" i="2"/>
  <c r="V309" i="2"/>
  <c r="Y309" i="2"/>
  <c r="X309" i="2"/>
  <c r="Z94" i="2"/>
  <c r="AC97" i="2"/>
  <c r="Z102" i="2"/>
  <c r="AC105" i="2"/>
  <c r="Z110" i="2"/>
  <c r="Z118" i="2"/>
  <c r="Z126" i="2"/>
  <c r="Z134" i="2"/>
  <c r="AB136" i="2"/>
  <c r="AC137" i="2"/>
  <c r="V138" i="2"/>
  <c r="Z142" i="2"/>
  <c r="AB144" i="2"/>
  <c r="V146" i="2"/>
  <c r="Z150" i="2"/>
  <c r="AB152" i="2"/>
  <c r="AC153" i="2"/>
  <c r="V154" i="2"/>
  <c r="Z158" i="2"/>
  <c r="AB160" i="2"/>
  <c r="AC161" i="2"/>
  <c r="V162" i="2"/>
  <c r="Z166" i="2"/>
  <c r="AB168" i="2"/>
  <c r="AC169" i="2"/>
  <c r="V170" i="2"/>
  <c r="AB176" i="2"/>
  <c r="AC177" i="2"/>
  <c r="V178" i="2"/>
  <c r="AB184" i="2"/>
  <c r="AC185" i="2"/>
  <c r="V186" i="2"/>
  <c r="AB192" i="2"/>
  <c r="AC193" i="2"/>
  <c r="V194" i="2"/>
  <c r="Z201" i="2"/>
  <c r="X204" i="2"/>
  <c r="AA205" i="2"/>
  <c r="T207" i="2"/>
  <c r="Z207" i="2"/>
  <c r="Z209" i="2"/>
  <c r="V211" i="2"/>
  <c r="AA212" i="2"/>
  <c r="Z214" i="2"/>
  <c r="Z216" i="2"/>
  <c r="AC222" i="2"/>
  <c r="Y226" i="2"/>
  <c r="AC228" i="2"/>
  <c r="AB228" i="2"/>
  <c r="Y233" i="2"/>
  <c r="V233" i="2"/>
  <c r="V243" i="2"/>
  <c r="U243" i="2"/>
  <c r="Y243" i="2"/>
  <c r="X243" i="2"/>
  <c r="T253" i="2"/>
  <c r="U258" i="2"/>
  <c r="Y258" i="2"/>
  <c r="X258" i="2"/>
  <c r="W258" i="2"/>
  <c r="Y279" i="2"/>
  <c r="X279" i="2"/>
  <c r="W279" i="2"/>
  <c r="V279" i="2"/>
  <c r="U279" i="2"/>
  <c r="W284" i="2"/>
  <c r="V284" i="2"/>
  <c r="U284" i="2"/>
  <c r="Y284" i="2"/>
  <c r="AC286" i="2"/>
  <c r="AB286" i="2"/>
  <c r="AA286" i="2"/>
  <c r="Y288" i="2"/>
  <c r="X288" i="2"/>
  <c r="W288" i="2"/>
  <c r="V288" i="2"/>
  <c r="U288" i="2"/>
  <c r="W311" i="2"/>
  <c r="Y311" i="2"/>
  <c r="X311" i="2"/>
  <c r="V311" i="2"/>
  <c r="U311" i="2"/>
  <c r="Y315" i="2"/>
  <c r="X315" i="2"/>
  <c r="W315" i="2"/>
  <c r="V315" i="2"/>
  <c r="U315" i="2"/>
  <c r="W331" i="2"/>
  <c r="V331" i="2"/>
  <c r="U331" i="2"/>
  <c r="Y331" i="2"/>
  <c r="X343" i="2"/>
  <c r="W343" i="2"/>
  <c r="V343" i="2"/>
  <c r="U343" i="2"/>
  <c r="Y343" i="2"/>
  <c r="AC382" i="2"/>
  <c r="AA382" i="2"/>
  <c r="Z382" i="2"/>
  <c r="AB382" i="2"/>
  <c r="Z117" i="2"/>
  <c r="Z125" i="2"/>
  <c r="Z133" i="2"/>
  <c r="AC136" i="2"/>
  <c r="W138" i="2"/>
  <c r="Z141" i="2"/>
  <c r="AC144" i="2"/>
  <c r="W146" i="2"/>
  <c r="Z149" i="2"/>
  <c r="AC152" i="2"/>
  <c r="W154" i="2"/>
  <c r="Z157" i="2"/>
  <c r="AC160" i="2"/>
  <c r="W162" i="2"/>
  <c r="Z165" i="2"/>
  <c r="AC168" i="2"/>
  <c r="W170" i="2"/>
  <c r="Z173" i="2"/>
  <c r="AC176" i="2"/>
  <c r="W178" i="2"/>
  <c r="Z181" i="2"/>
  <c r="AC184" i="2"/>
  <c r="W186" i="2"/>
  <c r="Z189" i="2"/>
  <c r="AC192" i="2"/>
  <c r="W194" i="2"/>
  <c r="Z197" i="2"/>
  <c r="AA201" i="2"/>
  <c r="Y204" i="2"/>
  <c r="W211" i="2"/>
  <c r="AC212" i="2"/>
  <c r="AB214" i="2"/>
  <c r="V227" i="2"/>
  <c r="W235" i="2"/>
  <c r="W260" i="2"/>
  <c r="V260" i="2"/>
  <c r="U260" i="2"/>
  <c r="Y260" i="2"/>
  <c r="AC262" i="2"/>
  <c r="AB262" i="2"/>
  <c r="AA262" i="2"/>
  <c r="Y264" i="2"/>
  <c r="X264" i="2"/>
  <c r="W264" i="2"/>
  <c r="V264" i="2"/>
  <c r="U264" i="2"/>
  <c r="V267" i="2"/>
  <c r="U267" i="2"/>
  <c r="Y267" i="2"/>
  <c r="X267" i="2"/>
  <c r="X277" i="2"/>
  <c r="W277" i="2"/>
  <c r="V277" i="2"/>
  <c r="U277" i="2"/>
  <c r="U282" i="2"/>
  <c r="Y282" i="2"/>
  <c r="X282" i="2"/>
  <c r="W282" i="2"/>
  <c r="V291" i="2"/>
  <c r="U291" i="2"/>
  <c r="Y291" i="2"/>
  <c r="X291" i="2"/>
  <c r="W303" i="2"/>
  <c r="Y303" i="2"/>
  <c r="X303" i="2"/>
  <c r="V303" i="2"/>
  <c r="U303" i="2"/>
  <c r="V330" i="2"/>
  <c r="U330" i="2"/>
  <c r="Y330" i="2"/>
  <c r="X330" i="2"/>
  <c r="W330" i="2"/>
  <c r="Y425" i="2"/>
  <c r="X425" i="2"/>
  <c r="W425" i="2"/>
  <c r="U425" i="2"/>
  <c r="V425" i="2"/>
  <c r="Z92" i="2"/>
  <c r="AB94" i="2"/>
  <c r="Z100" i="2"/>
  <c r="AB102" i="2"/>
  <c r="Z108" i="2"/>
  <c r="AB110" i="2"/>
  <c r="Z116" i="2"/>
  <c r="AA117" i="2"/>
  <c r="AB118" i="2"/>
  <c r="Z124" i="2"/>
  <c r="AA125" i="2"/>
  <c r="AB126" i="2"/>
  <c r="Z132" i="2"/>
  <c r="AA133" i="2"/>
  <c r="AB134" i="2"/>
  <c r="X138" i="2"/>
  <c r="Z140" i="2"/>
  <c r="AA141" i="2"/>
  <c r="AB142" i="2"/>
  <c r="X146" i="2"/>
  <c r="Z148" i="2"/>
  <c r="AA149" i="2"/>
  <c r="X154" i="2"/>
  <c r="Z156" i="2"/>
  <c r="AA157" i="2"/>
  <c r="AB158" i="2"/>
  <c r="X162" i="2"/>
  <c r="Z164" i="2"/>
  <c r="AA165" i="2"/>
  <c r="AB166" i="2"/>
  <c r="X170" i="2"/>
  <c r="Z172" i="2"/>
  <c r="AA173" i="2"/>
  <c r="X178" i="2"/>
  <c r="Z180" i="2"/>
  <c r="AA181" i="2"/>
  <c r="X186" i="2"/>
  <c r="Z188" i="2"/>
  <c r="AA189" i="2"/>
  <c r="X194" i="2"/>
  <c r="Z196" i="2"/>
  <c r="AA197" i="2"/>
  <c r="AB201" i="2"/>
  <c r="AC207" i="2"/>
  <c r="AB209" i="2"/>
  <c r="Y211" i="2"/>
  <c r="AC214" i="2"/>
  <c r="AB216" i="2"/>
  <c r="Z220" i="2"/>
  <c r="Y223" i="2"/>
  <c r="X223" i="2"/>
  <c r="W223" i="2"/>
  <c r="W227" i="2"/>
  <c r="W228" i="2"/>
  <c r="Z231" i="2"/>
  <c r="Y232" i="2"/>
  <c r="X232" i="2"/>
  <c r="U232" i="2"/>
  <c r="U234" i="2"/>
  <c r="W234" i="2"/>
  <c r="Y247" i="2"/>
  <c r="X247" i="2"/>
  <c r="W247" i="2"/>
  <c r="V247" i="2"/>
  <c r="U247" i="2"/>
  <c r="W252" i="2"/>
  <c r="V252" i="2"/>
  <c r="U252" i="2"/>
  <c r="Y252" i="2"/>
  <c r="AC254" i="2"/>
  <c r="AB254" i="2"/>
  <c r="AA254" i="2"/>
  <c r="Y256" i="2"/>
  <c r="X256" i="2"/>
  <c r="W256" i="2"/>
  <c r="V256" i="2"/>
  <c r="U256" i="2"/>
  <c r="V259" i="2"/>
  <c r="U259" i="2"/>
  <c r="Y259" i="2"/>
  <c r="X259" i="2"/>
  <c r="V302" i="2"/>
  <c r="X302" i="2"/>
  <c r="W302" i="2"/>
  <c r="U302" i="2"/>
  <c r="Z303" i="2"/>
  <c r="AC303" i="2"/>
  <c r="AB303" i="2"/>
  <c r="X304" i="2"/>
  <c r="Y304" i="2"/>
  <c r="W304" i="2"/>
  <c r="V304" i="2"/>
  <c r="U304" i="2"/>
  <c r="AA307" i="2"/>
  <c r="AC307" i="2"/>
  <c r="AB307" i="2"/>
  <c r="V322" i="2"/>
  <c r="Y322" i="2"/>
  <c r="X322" i="2"/>
  <c r="W322" i="2"/>
  <c r="U322" i="2"/>
  <c r="W323" i="2"/>
  <c r="U323" i="2"/>
  <c r="Y323" i="2"/>
  <c r="X323" i="2"/>
  <c r="V326" i="2"/>
  <c r="Y326" i="2"/>
  <c r="X326" i="2"/>
  <c r="W326" i="2"/>
  <c r="U326" i="2"/>
  <c r="AC333" i="2"/>
  <c r="AB333" i="2"/>
  <c r="AA333" i="2"/>
  <c r="Z333" i="2"/>
  <c r="X374" i="2"/>
  <c r="W374" i="2"/>
  <c r="V374" i="2"/>
  <c r="U374" i="2"/>
  <c r="Y374" i="2"/>
  <c r="V379" i="2"/>
  <c r="U379" i="2"/>
  <c r="X379" i="2"/>
  <c r="W379" i="2"/>
  <c r="Y379" i="2"/>
  <c r="Z99" i="2"/>
  <c r="AA100" i="2"/>
  <c r="Z107" i="2"/>
  <c r="AA108" i="2"/>
  <c r="Z115" i="2"/>
  <c r="AA116" i="2"/>
  <c r="AB117" i="2"/>
  <c r="Z123" i="2"/>
  <c r="AA124" i="2"/>
  <c r="AB125" i="2"/>
  <c r="Z131" i="2"/>
  <c r="AA132" i="2"/>
  <c r="AB133" i="2"/>
  <c r="Z139" i="2"/>
  <c r="AA140" i="2"/>
  <c r="AB141" i="2"/>
  <c r="Z147" i="2"/>
  <c r="AB149" i="2"/>
  <c r="Z155" i="2"/>
  <c r="AB157" i="2"/>
  <c r="Z163" i="2"/>
  <c r="AA164" i="2"/>
  <c r="AB165" i="2"/>
  <c r="Z171" i="2"/>
  <c r="AA172" i="2"/>
  <c r="AB173" i="2"/>
  <c r="Z179" i="2"/>
  <c r="AA180" i="2"/>
  <c r="AB181" i="2"/>
  <c r="Z187" i="2"/>
  <c r="AA188" i="2"/>
  <c r="AB189" i="2"/>
  <c r="Z195" i="2"/>
  <c r="AA196" i="2"/>
  <c r="AB197" i="2"/>
  <c r="AA200" i="2"/>
  <c r="AA204" i="2"/>
  <c r="Z211" i="2"/>
  <c r="AA231" i="2"/>
  <c r="V232" i="2"/>
  <c r="T237" i="2"/>
  <c r="T239" i="2"/>
  <c r="W243" i="2"/>
  <c r="T245" i="2"/>
  <c r="U250" i="2"/>
  <c r="Y250" i="2"/>
  <c r="X250" i="2"/>
  <c r="W250" i="2"/>
  <c r="T271" i="2"/>
  <c r="W276" i="2"/>
  <c r="V276" i="2"/>
  <c r="U276" i="2"/>
  <c r="Y276" i="2"/>
  <c r="AC278" i="2"/>
  <c r="AB278" i="2"/>
  <c r="AA278" i="2"/>
  <c r="Y280" i="2"/>
  <c r="X280" i="2"/>
  <c r="W280" i="2"/>
  <c r="V280" i="2"/>
  <c r="U280" i="2"/>
  <c r="V283" i="2"/>
  <c r="U283" i="2"/>
  <c r="Y283" i="2"/>
  <c r="X283" i="2"/>
  <c r="Z286" i="2"/>
  <c r="T295" i="2"/>
  <c r="Z98" i="2"/>
  <c r="Z106" i="2"/>
  <c r="Z114" i="2"/>
  <c r="Z122" i="2"/>
  <c r="Z130" i="2"/>
  <c r="Z138" i="2"/>
  <c r="Z146" i="2"/>
  <c r="Z154" i="2"/>
  <c r="Z162" i="2"/>
  <c r="Z170" i="2"/>
  <c r="AA171" i="2"/>
  <c r="AB172" i="2"/>
  <c r="Z178" i="2"/>
  <c r="AA179" i="2"/>
  <c r="AB180" i="2"/>
  <c r="Z186" i="2"/>
  <c r="AA187" i="2"/>
  <c r="AB188" i="2"/>
  <c r="Z194" i="2"/>
  <c r="AA195" i="2"/>
  <c r="AB196" i="2"/>
  <c r="Z199" i="2"/>
  <c r="Z206" i="2"/>
  <c r="Z208" i="2"/>
  <c r="AB211" i="2"/>
  <c r="T215" i="2"/>
  <c r="Z215" i="2"/>
  <c r="U219" i="2"/>
  <c r="X219" i="2"/>
  <c r="T220" i="2"/>
  <c r="Z228" i="2"/>
  <c r="T231" i="2"/>
  <c r="AC231" i="2"/>
  <c r="W232" i="2"/>
  <c r="U233" i="2"/>
  <c r="W236" i="2"/>
  <c r="V236" i="2"/>
  <c r="U236" i="2"/>
  <c r="Y236" i="2"/>
  <c r="Y241" i="2"/>
  <c r="X241" i="2"/>
  <c r="V241" i="2"/>
  <c r="V258" i="2"/>
  <c r="Z262" i="2"/>
  <c r="W267" i="2"/>
  <c r="T269" i="2"/>
  <c r="U274" i="2"/>
  <c r="Y274" i="2"/>
  <c r="X274" i="2"/>
  <c r="W274" i="2"/>
  <c r="X284" i="2"/>
  <c r="W291" i="2"/>
  <c r="T293" i="2"/>
  <c r="AA303" i="2"/>
  <c r="U317" i="2"/>
  <c r="Y317" i="2"/>
  <c r="X317" i="2"/>
  <c r="W317" i="2"/>
  <c r="V317" i="2"/>
  <c r="X331" i="2"/>
  <c r="Y367" i="2"/>
  <c r="X367" i="2"/>
  <c r="W367" i="2"/>
  <c r="V367" i="2"/>
  <c r="U367" i="2"/>
  <c r="Z203" i="2"/>
  <c r="AB206" i="2"/>
  <c r="AA208" i="2"/>
  <c r="AC211" i="2"/>
  <c r="AA215" i="2"/>
  <c r="AC219" i="2"/>
  <c r="AB219" i="2"/>
  <c r="AA219" i="2"/>
  <c r="U226" i="2"/>
  <c r="AA228" i="2"/>
  <c r="W233" i="2"/>
  <c r="AC238" i="2"/>
  <c r="AA238" i="2"/>
  <c r="U242" i="2"/>
  <c r="Y242" i="2"/>
  <c r="W242" i="2"/>
  <c r="W244" i="2"/>
  <c r="V244" i="2"/>
  <c r="U244" i="2"/>
  <c r="Y244" i="2"/>
  <c r="AC246" i="2"/>
  <c r="AB246" i="2"/>
  <c r="AA246" i="2"/>
  <c r="Y248" i="2"/>
  <c r="X248" i="2"/>
  <c r="W248" i="2"/>
  <c r="V248" i="2"/>
  <c r="U248" i="2"/>
  <c r="V251" i="2"/>
  <c r="U251" i="2"/>
  <c r="Y251" i="2"/>
  <c r="X251" i="2"/>
  <c r="Z254" i="2"/>
  <c r="W259" i="2"/>
  <c r="X260" i="2"/>
  <c r="Y277" i="2"/>
  <c r="V282" i="2"/>
  <c r="T287" i="2"/>
  <c r="U298" i="2"/>
  <c r="Y298" i="2"/>
  <c r="X298" i="2"/>
  <c r="W298" i="2"/>
  <c r="W299" i="2"/>
  <c r="V299" i="2"/>
  <c r="U299" i="2"/>
  <c r="Y299" i="2"/>
  <c r="AB300" i="2"/>
  <c r="Z300" i="2"/>
  <c r="AC300" i="2"/>
  <c r="Z307" i="2"/>
  <c r="X312" i="2"/>
  <c r="U312" i="2"/>
  <c r="Y312" i="2"/>
  <c r="W312" i="2"/>
  <c r="Y313" i="2"/>
  <c r="W313" i="2"/>
  <c r="V313" i="2"/>
  <c r="U313" i="2"/>
  <c r="AC365" i="2"/>
  <c r="AB365" i="2"/>
  <c r="AA365" i="2"/>
  <c r="Z365" i="2"/>
  <c r="AB208" i="2"/>
  <c r="AC215" i="2"/>
  <c r="AC220" i="2"/>
  <c r="AB220" i="2"/>
  <c r="U227" i="2"/>
  <c r="X227" i="2"/>
  <c r="V228" i="2"/>
  <c r="U228" i="2"/>
  <c r="Y228" i="2"/>
  <c r="V235" i="2"/>
  <c r="U235" i="2"/>
  <c r="X235" i="2"/>
  <c r="AC236" i="2"/>
  <c r="AB236" i="2"/>
  <c r="AA236" i="2"/>
  <c r="Y263" i="2"/>
  <c r="X263" i="2"/>
  <c r="W263" i="2"/>
  <c r="V263" i="2"/>
  <c r="U263" i="2"/>
  <c r="W268" i="2"/>
  <c r="V268" i="2"/>
  <c r="U268" i="2"/>
  <c r="Y268" i="2"/>
  <c r="AC270" i="2"/>
  <c r="AB270" i="2"/>
  <c r="AA270" i="2"/>
  <c r="Y272" i="2"/>
  <c r="X272" i="2"/>
  <c r="W272" i="2"/>
  <c r="V272" i="2"/>
  <c r="U272" i="2"/>
  <c r="V275" i="2"/>
  <c r="U275" i="2"/>
  <c r="Y275" i="2"/>
  <c r="X275" i="2"/>
  <c r="T285" i="2"/>
  <c r="W292" i="2"/>
  <c r="V292" i="2"/>
  <c r="U292" i="2"/>
  <c r="Y292" i="2"/>
  <c r="AC294" i="2"/>
  <c r="AB294" i="2"/>
  <c r="AA294" i="2"/>
  <c r="Y296" i="2"/>
  <c r="X296" i="2"/>
  <c r="W296" i="2"/>
  <c r="V296" i="2"/>
  <c r="U296" i="2"/>
  <c r="Y305" i="2"/>
  <c r="U305" i="2"/>
  <c r="X305" i="2"/>
  <c r="W305" i="2"/>
  <c r="W319" i="2"/>
  <c r="X319" i="2"/>
  <c r="V319" i="2"/>
  <c r="U319" i="2"/>
  <c r="W327" i="2"/>
  <c r="Y327" i="2"/>
  <c r="X327" i="2"/>
  <c r="V327" i="2"/>
  <c r="U327" i="2"/>
  <c r="Z213" i="2"/>
  <c r="Z221" i="2"/>
  <c r="AC224" i="2"/>
  <c r="Z229" i="2"/>
  <c r="AC232" i="2"/>
  <c r="Z237" i="2"/>
  <c r="AB239" i="2"/>
  <c r="AC240" i="2"/>
  <c r="Z245" i="2"/>
  <c r="AB247" i="2"/>
  <c r="AC248" i="2"/>
  <c r="V249" i="2"/>
  <c r="Z253" i="2"/>
  <c r="AB255" i="2"/>
  <c r="AC256" i="2"/>
  <c r="V257" i="2"/>
  <c r="Z261" i="2"/>
  <c r="AB263" i="2"/>
  <c r="AC264" i="2"/>
  <c r="V265" i="2"/>
  <c r="Z269" i="2"/>
  <c r="AB271" i="2"/>
  <c r="AC272" i="2"/>
  <c r="V273" i="2"/>
  <c r="Z277" i="2"/>
  <c r="AB279" i="2"/>
  <c r="AC280" i="2"/>
  <c r="V281" i="2"/>
  <c r="Z285" i="2"/>
  <c r="AB287" i="2"/>
  <c r="AC288" i="2"/>
  <c r="V289" i="2"/>
  <c r="Z293" i="2"/>
  <c r="AB295" i="2"/>
  <c r="AC296" i="2"/>
  <c r="V297" i="2"/>
  <c r="W301" i="2"/>
  <c r="Z302" i="2"/>
  <c r="Z313" i="2"/>
  <c r="X316" i="2"/>
  <c r="AB317" i="2"/>
  <c r="W318" i="2"/>
  <c r="Z319" i="2"/>
  <c r="Z321" i="2"/>
  <c r="AC324" i="2"/>
  <c r="Y353" i="2"/>
  <c r="X353" i="2"/>
  <c r="W353" i="2"/>
  <c r="U353" i="2"/>
  <c r="W357" i="2"/>
  <c r="V357" i="2"/>
  <c r="U357" i="2"/>
  <c r="Y357" i="2"/>
  <c r="X357" i="2"/>
  <c r="Y361" i="2"/>
  <c r="X361" i="2"/>
  <c r="W361" i="2"/>
  <c r="U361" i="2"/>
  <c r="W380" i="2"/>
  <c r="Y380" i="2"/>
  <c r="X380" i="2"/>
  <c r="V380" i="2"/>
  <c r="U380" i="2"/>
  <c r="Y398" i="2"/>
  <c r="W398" i="2"/>
  <c r="V398" i="2"/>
  <c r="U398" i="2"/>
  <c r="X398" i="2"/>
  <c r="AC406" i="2"/>
  <c r="AA406" i="2"/>
  <c r="Z406" i="2"/>
  <c r="AB406" i="2"/>
  <c r="Z244" i="2"/>
  <c r="Z252" i="2"/>
  <c r="Z260" i="2"/>
  <c r="Z268" i="2"/>
  <c r="Z276" i="2"/>
  <c r="Z284" i="2"/>
  <c r="Z292" i="2"/>
  <c r="Z299" i="2"/>
  <c r="AA302" i="2"/>
  <c r="AA313" i="2"/>
  <c r="Y316" i="2"/>
  <c r="AB319" i="2"/>
  <c r="Y337" i="2"/>
  <c r="X337" i="2"/>
  <c r="W337" i="2"/>
  <c r="U337" i="2"/>
  <c r="X350" i="2"/>
  <c r="W350" i="2"/>
  <c r="V350" i="2"/>
  <c r="U350" i="2"/>
  <c r="Y350" i="2"/>
  <c r="U355" i="2"/>
  <c r="Y355" i="2"/>
  <c r="W355" i="2"/>
  <c r="V355" i="2"/>
  <c r="V356" i="2"/>
  <c r="U356" i="2"/>
  <c r="X356" i="2"/>
  <c r="W356" i="2"/>
  <c r="Y360" i="2"/>
  <c r="X360" i="2"/>
  <c r="W360" i="2"/>
  <c r="V360" i="2"/>
  <c r="W373" i="2"/>
  <c r="V373" i="2"/>
  <c r="U373" i="2"/>
  <c r="Y373" i="2"/>
  <c r="X373" i="2"/>
  <c r="X377" i="2"/>
  <c r="V377" i="2"/>
  <c r="U377" i="2"/>
  <c r="Y377" i="2"/>
  <c r="W377" i="2"/>
  <c r="W388" i="2"/>
  <c r="U388" i="2"/>
  <c r="Y388" i="2"/>
  <c r="X388" i="2"/>
  <c r="V388" i="2"/>
  <c r="T391" i="2"/>
  <c r="X498" i="2"/>
  <c r="W498" i="2"/>
  <c r="V498" i="2"/>
  <c r="Y498" i="2"/>
  <c r="U498" i="2"/>
  <c r="W650" i="2"/>
  <c r="V650" i="2"/>
  <c r="U650" i="2"/>
  <c r="Y650" i="2"/>
  <c r="X650" i="2"/>
  <c r="Z235" i="2"/>
  <c r="Z243" i="2"/>
  <c r="AA244" i="2"/>
  <c r="U246" i="2"/>
  <c r="X249" i="2"/>
  <c r="Z251" i="2"/>
  <c r="AA252" i="2"/>
  <c r="U254" i="2"/>
  <c r="X257" i="2"/>
  <c r="Z259" i="2"/>
  <c r="AA260" i="2"/>
  <c r="U262" i="2"/>
  <c r="X265" i="2"/>
  <c r="Z267" i="2"/>
  <c r="AA268" i="2"/>
  <c r="U270" i="2"/>
  <c r="X273" i="2"/>
  <c r="Z275" i="2"/>
  <c r="AA276" i="2"/>
  <c r="U278" i="2"/>
  <c r="X281" i="2"/>
  <c r="Z283" i="2"/>
  <c r="AA284" i="2"/>
  <c r="U286" i="2"/>
  <c r="X289" i="2"/>
  <c r="Z291" i="2"/>
  <c r="AA292" i="2"/>
  <c r="U294" i="2"/>
  <c r="X297" i="2"/>
  <c r="AB299" i="2"/>
  <c r="Y301" i="2"/>
  <c r="AB302" i="2"/>
  <c r="U307" i="2"/>
  <c r="AA309" i="2"/>
  <c r="U310" i="2"/>
  <c r="AB313" i="2"/>
  <c r="U314" i="2"/>
  <c r="Y318" i="2"/>
  <c r="AC319" i="2"/>
  <c r="AB321" i="2"/>
  <c r="AB328" i="2"/>
  <c r="AA328" i="2"/>
  <c r="Y339" i="2"/>
  <c r="W339" i="2"/>
  <c r="V339" i="2"/>
  <c r="W342" i="2"/>
  <c r="V342" i="2"/>
  <c r="U342" i="2"/>
  <c r="Y342" i="2"/>
  <c r="AC357" i="2"/>
  <c r="AB357" i="2"/>
  <c r="AA357" i="2"/>
  <c r="Y359" i="2"/>
  <c r="X359" i="2"/>
  <c r="W359" i="2"/>
  <c r="V359" i="2"/>
  <c r="U359" i="2"/>
  <c r="U360" i="2"/>
  <c r="U371" i="2"/>
  <c r="Y371" i="2"/>
  <c r="W371" i="2"/>
  <c r="V371" i="2"/>
  <c r="V372" i="2"/>
  <c r="U372" i="2"/>
  <c r="X372" i="2"/>
  <c r="W372" i="2"/>
  <c r="U386" i="2"/>
  <c r="Y386" i="2"/>
  <c r="W386" i="2"/>
  <c r="V386" i="2"/>
  <c r="X386" i="2"/>
  <c r="Y390" i="2"/>
  <c r="W390" i="2"/>
  <c r="U390" i="2"/>
  <c r="X390" i="2"/>
  <c r="V390" i="2"/>
  <c r="V403" i="2"/>
  <c r="W403" i="2"/>
  <c r="U403" i="2"/>
  <c r="Y403" i="2"/>
  <c r="X403" i="2"/>
  <c r="V420" i="2"/>
  <c r="U420" i="2"/>
  <c r="Y420" i="2"/>
  <c r="W420" i="2"/>
  <c r="X420" i="2"/>
  <c r="X486" i="2"/>
  <c r="W486" i="2"/>
  <c r="Y486" i="2"/>
  <c r="V486" i="2"/>
  <c r="U486" i="2"/>
  <c r="W489" i="2"/>
  <c r="V489" i="2"/>
  <c r="U489" i="2"/>
  <c r="X489" i="2"/>
  <c r="Y489" i="2"/>
  <c r="AA235" i="2"/>
  <c r="AA243" i="2"/>
  <c r="AB244" i="2"/>
  <c r="V246" i="2"/>
  <c r="AA251" i="2"/>
  <c r="AB252" i="2"/>
  <c r="V254" i="2"/>
  <c r="AB260" i="2"/>
  <c r="V262" i="2"/>
  <c r="AA267" i="2"/>
  <c r="AB268" i="2"/>
  <c r="V270" i="2"/>
  <c r="AA275" i="2"/>
  <c r="AB276" i="2"/>
  <c r="V278" i="2"/>
  <c r="AA283" i="2"/>
  <c r="AB284" i="2"/>
  <c r="V286" i="2"/>
  <c r="AA291" i="2"/>
  <c r="AB292" i="2"/>
  <c r="V294" i="2"/>
  <c r="AA298" i="2"/>
  <c r="AC299" i="2"/>
  <c r="Z301" i="2"/>
  <c r="V307" i="2"/>
  <c r="T308" i="2"/>
  <c r="AB309" i="2"/>
  <c r="W310" i="2"/>
  <c r="V314" i="2"/>
  <c r="AA316" i="2"/>
  <c r="AB323" i="2"/>
  <c r="AA325" i="2"/>
  <c r="T328" i="2"/>
  <c r="T329" i="2"/>
  <c r="AB336" i="2"/>
  <c r="AA336" i="2"/>
  <c r="T340" i="2"/>
  <c r="V341" i="2"/>
  <c r="U341" i="2"/>
  <c r="Y341" i="2"/>
  <c r="X341" i="2"/>
  <c r="T345" i="2"/>
  <c r="W349" i="2"/>
  <c r="V349" i="2"/>
  <c r="U349" i="2"/>
  <c r="Y349" i="2"/>
  <c r="X349" i="2"/>
  <c r="T366" i="2"/>
  <c r="AC373" i="2"/>
  <c r="AB373" i="2"/>
  <c r="AA373" i="2"/>
  <c r="Y375" i="2"/>
  <c r="X375" i="2"/>
  <c r="W375" i="2"/>
  <c r="V375" i="2"/>
  <c r="U375" i="2"/>
  <c r="AC388" i="2"/>
  <c r="AA388" i="2"/>
  <c r="AB388" i="2"/>
  <c r="Z388" i="2"/>
  <c r="Z217" i="2"/>
  <c r="Z225" i="2"/>
  <c r="Z233" i="2"/>
  <c r="AB235" i="2"/>
  <c r="Z241" i="2"/>
  <c r="AB243" i="2"/>
  <c r="W246" i="2"/>
  <c r="Z249" i="2"/>
  <c r="AB251" i="2"/>
  <c r="W254" i="2"/>
  <c r="Z257" i="2"/>
  <c r="W262" i="2"/>
  <c r="Z265" i="2"/>
  <c r="AB267" i="2"/>
  <c r="W270" i="2"/>
  <c r="Z273" i="2"/>
  <c r="AB275" i="2"/>
  <c r="W278" i="2"/>
  <c r="Z281" i="2"/>
  <c r="AB283" i="2"/>
  <c r="W286" i="2"/>
  <c r="AB291" i="2"/>
  <c r="W294" i="2"/>
  <c r="AA301" i="2"/>
  <c r="Z304" i="2"/>
  <c r="W307" i="2"/>
  <c r="Z308" i="2"/>
  <c r="X310" i="2"/>
  <c r="Z311" i="2"/>
  <c r="W314" i="2"/>
  <c r="Z320" i="2"/>
  <c r="Y321" i="2"/>
  <c r="U321" i="2"/>
  <c r="AB325" i="2"/>
  <c r="X332" i="2"/>
  <c r="W332" i="2"/>
  <c r="Y336" i="2"/>
  <c r="X336" i="2"/>
  <c r="W336" i="2"/>
  <c r="V336" i="2"/>
  <c r="Y338" i="2"/>
  <c r="X338" i="2"/>
  <c r="V338" i="2"/>
  <c r="U338" i="2"/>
  <c r="Y347" i="2"/>
  <c r="W347" i="2"/>
  <c r="V347" i="2"/>
  <c r="Y352" i="2"/>
  <c r="X352" i="2"/>
  <c r="W352" i="2"/>
  <c r="V352" i="2"/>
  <c r="V353" i="2"/>
  <c r="Z357" i="2"/>
  <c r="Y369" i="2"/>
  <c r="X369" i="2"/>
  <c r="W369" i="2"/>
  <c r="U369" i="2"/>
  <c r="U378" i="2"/>
  <c r="Y378" i="2"/>
  <c r="X378" i="2"/>
  <c r="W378" i="2"/>
  <c r="V378" i="2"/>
  <c r="W384" i="2"/>
  <c r="V384" i="2"/>
  <c r="U384" i="2"/>
  <c r="Y384" i="2"/>
  <c r="X384" i="2"/>
  <c r="U402" i="2"/>
  <c r="Y402" i="2"/>
  <c r="X402" i="2"/>
  <c r="W402" i="2"/>
  <c r="V402" i="2"/>
  <c r="X407" i="2"/>
  <c r="W407" i="2"/>
  <c r="V407" i="2"/>
  <c r="U407" i="2"/>
  <c r="Y407" i="2"/>
  <c r="V411" i="2"/>
  <c r="U411" i="2"/>
  <c r="X411" i="2"/>
  <c r="W411" i="2"/>
  <c r="Y411" i="2"/>
  <c r="X246" i="2"/>
  <c r="X254" i="2"/>
  <c r="X262" i="2"/>
  <c r="X270" i="2"/>
  <c r="X278" i="2"/>
  <c r="X286" i="2"/>
  <c r="X294" i="2"/>
  <c r="T300" i="2"/>
  <c r="X307" i="2"/>
  <c r="AA308" i="2"/>
  <c r="Y310" i="2"/>
  <c r="X314" i="2"/>
  <c r="Z315" i="2"/>
  <c r="U316" i="2"/>
  <c r="AA320" i="2"/>
  <c r="V321" i="2"/>
  <c r="AB327" i="2"/>
  <c r="AC329" i="2"/>
  <c r="AB329" i="2"/>
  <c r="U333" i="2"/>
  <c r="Y333" i="2"/>
  <c r="X333" i="2"/>
  <c r="T334" i="2"/>
  <c r="U336" i="2"/>
  <c r="V337" i="2"/>
  <c r="W338" i="2"/>
  <c r="AC341" i="2"/>
  <c r="AB341" i="2"/>
  <c r="AA341" i="2"/>
  <c r="AB344" i="2"/>
  <c r="AA344" i="2"/>
  <c r="T348" i="2"/>
  <c r="AC349" i="2"/>
  <c r="AB349" i="2"/>
  <c r="AA349" i="2"/>
  <c r="Y351" i="2"/>
  <c r="X351" i="2"/>
  <c r="W351" i="2"/>
  <c r="V351" i="2"/>
  <c r="U351" i="2"/>
  <c r="U352" i="2"/>
  <c r="X355" i="2"/>
  <c r="Y356" i="2"/>
  <c r="W365" i="2"/>
  <c r="V365" i="2"/>
  <c r="U365" i="2"/>
  <c r="Y365" i="2"/>
  <c r="X365" i="2"/>
  <c r="Y368" i="2"/>
  <c r="X368" i="2"/>
  <c r="W368" i="2"/>
  <c r="V368" i="2"/>
  <c r="V369" i="2"/>
  <c r="Z373" i="2"/>
  <c r="Y382" i="2"/>
  <c r="U382" i="2"/>
  <c r="X382" i="2"/>
  <c r="W382" i="2"/>
  <c r="V382" i="2"/>
  <c r="X399" i="2"/>
  <c r="W399" i="2"/>
  <c r="V399" i="2"/>
  <c r="Y399" i="2"/>
  <c r="U399" i="2"/>
  <c r="U541" i="2"/>
  <c r="Y541" i="2"/>
  <c r="X541" i="2"/>
  <c r="W541" i="2"/>
  <c r="V541" i="2"/>
  <c r="AC320" i="2"/>
  <c r="T324" i="2"/>
  <c r="U325" i="2"/>
  <c r="Y325" i="2"/>
  <c r="Y344" i="2"/>
  <c r="X344" i="2"/>
  <c r="W344" i="2"/>
  <c r="V344" i="2"/>
  <c r="Y346" i="2"/>
  <c r="X346" i="2"/>
  <c r="V346" i="2"/>
  <c r="U346" i="2"/>
  <c r="X358" i="2"/>
  <c r="W358" i="2"/>
  <c r="V358" i="2"/>
  <c r="U358" i="2"/>
  <c r="Y358" i="2"/>
  <c r="U363" i="2"/>
  <c r="Y363" i="2"/>
  <c r="W363" i="2"/>
  <c r="V363" i="2"/>
  <c r="T364" i="2"/>
  <c r="V383" i="2"/>
  <c r="Y383" i="2"/>
  <c r="X383" i="2"/>
  <c r="U383" i="2"/>
  <c r="Y406" i="2"/>
  <c r="W406" i="2"/>
  <c r="V406" i="2"/>
  <c r="U406" i="2"/>
  <c r="X406" i="2"/>
  <c r="W520" i="2"/>
  <c r="Y520" i="2"/>
  <c r="X520" i="2"/>
  <c r="V520" i="2"/>
  <c r="U520" i="2"/>
  <c r="Z335" i="2"/>
  <c r="AB337" i="2"/>
  <c r="Z343" i="2"/>
  <c r="AB345" i="2"/>
  <c r="Z351" i="2"/>
  <c r="AA352" i="2"/>
  <c r="AB353" i="2"/>
  <c r="U354" i="2"/>
  <c r="Z359" i="2"/>
  <c r="AA360" i="2"/>
  <c r="AB361" i="2"/>
  <c r="U362" i="2"/>
  <c r="Z367" i="2"/>
  <c r="AA368" i="2"/>
  <c r="AB369" i="2"/>
  <c r="U370" i="2"/>
  <c r="AC376" i="2"/>
  <c r="AB378" i="2"/>
  <c r="U394" i="2"/>
  <c r="Y394" i="2"/>
  <c r="V396" i="2"/>
  <c r="U400" i="2"/>
  <c r="AC404" i="2"/>
  <c r="AB404" i="2"/>
  <c r="AA404" i="2"/>
  <c r="Y414" i="2"/>
  <c r="X414" i="2"/>
  <c r="W414" i="2"/>
  <c r="V414" i="2"/>
  <c r="U414" i="2"/>
  <c r="AC428" i="2"/>
  <c r="AA428" i="2"/>
  <c r="U432" i="2"/>
  <c r="Z437" i="2"/>
  <c r="Y440" i="2"/>
  <c r="X440" i="2"/>
  <c r="W440" i="2"/>
  <c r="V440" i="2"/>
  <c r="U440" i="2"/>
  <c r="W445" i="2"/>
  <c r="V445" i="2"/>
  <c r="Y445" i="2"/>
  <c r="U445" i="2"/>
  <c r="Y447" i="2"/>
  <c r="X447" i="2"/>
  <c r="W447" i="2"/>
  <c r="V447" i="2"/>
  <c r="U447" i="2"/>
  <c r="X474" i="2"/>
  <c r="W474" i="2"/>
  <c r="V474" i="2"/>
  <c r="Y474" i="2"/>
  <c r="U474" i="2"/>
  <c r="Y477" i="2"/>
  <c r="W477" i="2"/>
  <c r="V477" i="2"/>
  <c r="U477" i="2"/>
  <c r="AC503" i="2"/>
  <c r="AB503" i="2"/>
  <c r="AA503" i="2"/>
  <c r="Z503" i="2"/>
  <c r="V512" i="2"/>
  <c r="U512" i="2"/>
  <c r="Y512" i="2"/>
  <c r="X512" i="2"/>
  <c r="W512" i="2"/>
  <c r="W513" i="2"/>
  <c r="V513" i="2"/>
  <c r="U513" i="2"/>
  <c r="X513" i="2"/>
  <c r="Y516" i="2"/>
  <c r="X516" i="2"/>
  <c r="V516" i="2"/>
  <c r="U516" i="2"/>
  <c r="W527" i="2"/>
  <c r="V527" i="2"/>
  <c r="Y527" i="2"/>
  <c r="X527" i="2"/>
  <c r="U527" i="2"/>
  <c r="Y546" i="2"/>
  <c r="V546" i="2"/>
  <c r="U546" i="2"/>
  <c r="W546" i="2"/>
  <c r="X546" i="2"/>
  <c r="AB585" i="2"/>
  <c r="Z585" i="2"/>
  <c r="AC585" i="2"/>
  <c r="AA585" i="2"/>
  <c r="AC337" i="2"/>
  <c r="AA343" i="2"/>
  <c r="AC345" i="2"/>
  <c r="AB352" i="2"/>
  <c r="AC353" i="2"/>
  <c r="V354" i="2"/>
  <c r="AB360" i="2"/>
  <c r="AC361" i="2"/>
  <c r="V362" i="2"/>
  <c r="AA367" i="2"/>
  <c r="AB368" i="2"/>
  <c r="AC369" i="2"/>
  <c r="V370" i="2"/>
  <c r="U376" i="2"/>
  <c r="AB380" i="2"/>
  <c r="Y392" i="2"/>
  <c r="W392" i="2"/>
  <c r="T393" i="2"/>
  <c r="V394" i="2"/>
  <c r="AC405" i="2"/>
  <c r="AB405" i="2"/>
  <c r="Y408" i="2"/>
  <c r="X408" i="2"/>
  <c r="W408" i="2"/>
  <c r="U410" i="2"/>
  <c r="Y410" i="2"/>
  <c r="Y424" i="2"/>
  <c r="X424" i="2"/>
  <c r="W424" i="2"/>
  <c r="V424" i="2"/>
  <c r="U424" i="2"/>
  <c r="W429" i="2"/>
  <c r="V429" i="2"/>
  <c r="Y429" i="2"/>
  <c r="U429" i="2"/>
  <c r="Y431" i="2"/>
  <c r="X431" i="2"/>
  <c r="W431" i="2"/>
  <c r="V431" i="2"/>
  <c r="U431" i="2"/>
  <c r="V436" i="2"/>
  <c r="U436" i="2"/>
  <c r="Y436" i="2"/>
  <c r="W436" i="2"/>
  <c r="Y441" i="2"/>
  <c r="X441" i="2"/>
  <c r="W441" i="2"/>
  <c r="U441" i="2"/>
  <c r="X445" i="2"/>
  <c r="Y460" i="2"/>
  <c r="X460" i="2"/>
  <c r="V460" i="2"/>
  <c r="U460" i="2"/>
  <c r="W460" i="2"/>
  <c r="AB466" i="2"/>
  <c r="AA466" i="2"/>
  <c r="AC466" i="2"/>
  <c r="Z466" i="2"/>
  <c r="Y469" i="2"/>
  <c r="W469" i="2"/>
  <c r="V469" i="2"/>
  <c r="U469" i="2"/>
  <c r="W473" i="2"/>
  <c r="V473" i="2"/>
  <c r="U473" i="2"/>
  <c r="Y473" i="2"/>
  <c r="X473" i="2"/>
  <c r="X477" i="2"/>
  <c r="AB490" i="2"/>
  <c r="AA490" i="2"/>
  <c r="AC490" i="2"/>
  <c r="Z490" i="2"/>
  <c r="W516" i="2"/>
  <c r="Y517" i="2"/>
  <c r="W517" i="2"/>
  <c r="V517" i="2"/>
  <c r="X517" i="2"/>
  <c r="U517" i="2"/>
  <c r="W547" i="2"/>
  <c r="V547" i="2"/>
  <c r="X547" i="2"/>
  <c r="U547" i="2"/>
  <c r="Y547" i="2"/>
  <c r="U655" i="2"/>
  <c r="Y655" i="2"/>
  <c r="X655" i="2"/>
  <c r="W655" i="2"/>
  <c r="V655" i="2"/>
  <c r="AB673" i="2"/>
  <c r="AC673" i="2"/>
  <c r="AA673" i="2"/>
  <c r="Z673" i="2"/>
  <c r="Z332" i="2"/>
  <c r="Z340" i="2"/>
  <c r="Z348" i="2"/>
  <c r="X354" i="2"/>
  <c r="Z356" i="2"/>
  <c r="X362" i="2"/>
  <c r="Z364" i="2"/>
  <c r="X370" i="2"/>
  <c r="Z372" i="2"/>
  <c r="AB384" i="2"/>
  <c r="AC386" i="2"/>
  <c r="AA386" i="2"/>
  <c r="T389" i="2"/>
  <c r="Z397" i="2"/>
  <c r="U409" i="2"/>
  <c r="Y448" i="2"/>
  <c r="X448" i="2"/>
  <c r="V448" i="2"/>
  <c r="Y452" i="2"/>
  <c r="V452" i="2"/>
  <c r="U452" i="2"/>
  <c r="W452" i="2"/>
  <c r="W465" i="2"/>
  <c r="V465" i="2"/>
  <c r="U465" i="2"/>
  <c r="Y465" i="2"/>
  <c r="X465" i="2"/>
  <c r="V480" i="2"/>
  <c r="U480" i="2"/>
  <c r="Y480" i="2"/>
  <c r="X480" i="2"/>
  <c r="W480" i="2"/>
  <c r="W481" i="2"/>
  <c r="V481" i="2"/>
  <c r="U481" i="2"/>
  <c r="X481" i="2"/>
  <c r="Y484" i="2"/>
  <c r="X484" i="2"/>
  <c r="V484" i="2"/>
  <c r="U484" i="2"/>
  <c r="Y493" i="2"/>
  <c r="W493" i="2"/>
  <c r="V493" i="2"/>
  <c r="X493" i="2"/>
  <c r="U493" i="2"/>
  <c r="AC511" i="2"/>
  <c r="AB511" i="2"/>
  <c r="AA511" i="2"/>
  <c r="Z511" i="2"/>
  <c r="AB544" i="2"/>
  <c r="AA544" i="2"/>
  <c r="AC544" i="2"/>
  <c r="Z544" i="2"/>
  <c r="Y560" i="2"/>
  <c r="X560" i="2"/>
  <c r="U560" i="2"/>
  <c r="W560" i="2"/>
  <c r="V560" i="2"/>
  <c r="Y565" i="2"/>
  <c r="W565" i="2"/>
  <c r="V565" i="2"/>
  <c r="X565" i="2"/>
  <c r="U565" i="2"/>
  <c r="V579" i="2"/>
  <c r="U579" i="2"/>
  <c r="X579" i="2"/>
  <c r="W579" i="2"/>
  <c r="Y579" i="2"/>
  <c r="Y592" i="2"/>
  <c r="W592" i="2"/>
  <c r="V592" i="2"/>
  <c r="X592" i="2"/>
  <c r="U592" i="2"/>
  <c r="V630" i="2"/>
  <c r="Y630" i="2"/>
  <c r="X630" i="2"/>
  <c r="W630" i="2"/>
  <c r="U630" i="2"/>
  <c r="AC633" i="2"/>
  <c r="AB633" i="2"/>
  <c r="AA633" i="2"/>
  <c r="Z633" i="2"/>
  <c r="Z331" i="2"/>
  <c r="AA332" i="2"/>
  <c r="Z339" i="2"/>
  <c r="AA340" i="2"/>
  <c r="Z347" i="2"/>
  <c r="AA348" i="2"/>
  <c r="Z355" i="2"/>
  <c r="AA356" i="2"/>
  <c r="Z363" i="2"/>
  <c r="AA364" i="2"/>
  <c r="Z371" i="2"/>
  <c r="AA372" i="2"/>
  <c r="X376" i="2"/>
  <c r="AC377" i="2"/>
  <c r="T381" i="2"/>
  <c r="Z381" i="2"/>
  <c r="AC384" i="2"/>
  <c r="T387" i="2"/>
  <c r="Z394" i="2"/>
  <c r="Z398" i="2"/>
  <c r="V409" i="2"/>
  <c r="Y432" i="2"/>
  <c r="X432" i="2"/>
  <c r="V432" i="2"/>
  <c r="W437" i="2"/>
  <c r="V437" i="2"/>
  <c r="Y437" i="2"/>
  <c r="X437" i="2"/>
  <c r="U437" i="2"/>
  <c r="AC471" i="2"/>
  <c r="AB471" i="2"/>
  <c r="AA471" i="2"/>
  <c r="Z471" i="2"/>
  <c r="W484" i="2"/>
  <c r="Y485" i="2"/>
  <c r="W485" i="2"/>
  <c r="V485" i="2"/>
  <c r="X485" i="2"/>
  <c r="U485" i="2"/>
  <c r="AB498" i="2"/>
  <c r="AA498" i="2"/>
  <c r="AC498" i="2"/>
  <c r="Z498" i="2"/>
  <c r="Y508" i="2"/>
  <c r="X508" i="2"/>
  <c r="V508" i="2"/>
  <c r="U508" i="2"/>
  <c r="X510" i="2"/>
  <c r="W510" i="2"/>
  <c r="Y510" i="2"/>
  <c r="V510" i="2"/>
  <c r="U510" i="2"/>
  <c r="AB524" i="2"/>
  <c r="AA524" i="2"/>
  <c r="AC524" i="2"/>
  <c r="Z524" i="2"/>
  <c r="Y530" i="2"/>
  <c r="V530" i="2"/>
  <c r="W530" i="2"/>
  <c r="U530" i="2"/>
  <c r="V542" i="2"/>
  <c r="U542" i="2"/>
  <c r="Y542" i="2"/>
  <c r="W542" i="2"/>
  <c r="X542" i="2"/>
  <c r="AB348" i="2"/>
  <c r="AA381" i="2"/>
  <c r="Z390" i="2"/>
  <c r="Z392" i="2"/>
  <c r="AC396" i="2"/>
  <c r="AB396" i="2"/>
  <c r="AA396" i="2"/>
  <c r="T397" i="2"/>
  <c r="AA398" i="2"/>
  <c r="Z404" i="2"/>
  <c r="Z405" i="2"/>
  <c r="V410" i="2"/>
  <c r="T412" i="2"/>
  <c r="T413" i="2"/>
  <c r="Y416" i="2"/>
  <c r="X416" i="2"/>
  <c r="V416" i="2"/>
  <c r="W421" i="2"/>
  <c r="V421" i="2"/>
  <c r="Y421" i="2"/>
  <c r="X421" i="2"/>
  <c r="U421" i="2"/>
  <c r="V444" i="2"/>
  <c r="U444" i="2"/>
  <c r="Y444" i="2"/>
  <c r="X444" i="2"/>
  <c r="W444" i="2"/>
  <c r="W449" i="2"/>
  <c r="V449" i="2"/>
  <c r="U449" i="2"/>
  <c r="Y449" i="2"/>
  <c r="X451" i="2"/>
  <c r="U451" i="2"/>
  <c r="Y451" i="2"/>
  <c r="W451" i="2"/>
  <c r="V451" i="2"/>
  <c r="AB458" i="2"/>
  <c r="AA458" i="2"/>
  <c r="AC458" i="2"/>
  <c r="Z458" i="2"/>
  <c r="Y461" i="2"/>
  <c r="W461" i="2"/>
  <c r="V461" i="2"/>
  <c r="X461" i="2"/>
  <c r="U461" i="2"/>
  <c r="Y468" i="2"/>
  <c r="X468" i="2"/>
  <c r="V468" i="2"/>
  <c r="U468" i="2"/>
  <c r="W468" i="2"/>
  <c r="X469" i="2"/>
  <c r="X506" i="2"/>
  <c r="W506" i="2"/>
  <c r="V506" i="2"/>
  <c r="Y506" i="2"/>
  <c r="U506" i="2"/>
  <c r="W508" i="2"/>
  <c r="Y509" i="2"/>
  <c r="W509" i="2"/>
  <c r="V509" i="2"/>
  <c r="U509" i="2"/>
  <c r="AC529" i="2"/>
  <c r="AB529" i="2"/>
  <c r="AA529" i="2"/>
  <c r="Z529" i="2"/>
  <c r="X530" i="2"/>
  <c r="AC533" i="2"/>
  <c r="AB533" i="2"/>
  <c r="AA533" i="2"/>
  <c r="Z533" i="2"/>
  <c r="V534" i="2"/>
  <c r="U534" i="2"/>
  <c r="Y534" i="2"/>
  <c r="X534" i="2"/>
  <c r="W534" i="2"/>
  <c r="AC537" i="2"/>
  <c r="AB537" i="2"/>
  <c r="AA537" i="2"/>
  <c r="Z537" i="2"/>
  <c r="V601" i="2"/>
  <c r="X601" i="2"/>
  <c r="W601" i="2"/>
  <c r="Y601" i="2"/>
  <c r="U601" i="2"/>
  <c r="Z376" i="2"/>
  <c r="Z378" i="2"/>
  <c r="AC381" i="2"/>
  <c r="T385" i="2"/>
  <c r="AB392" i="2"/>
  <c r="AC394" i="2"/>
  <c r="AA394" i="2"/>
  <c r="AB398" i="2"/>
  <c r="Y401" i="2"/>
  <c r="X401" i="2"/>
  <c r="T404" i="2"/>
  <c r="AC414" i="2"/>
  <c r="AA414" i="2"/>
  <c r="V428" i="2"/>
  <c r="U428" i="2"/>
  <c r="Y428" i="2"/>
  <c r="X428" i="2"/>
  <c r="W428" i="2"/>
  <c r="W433" i="2"/>
  <c r="V433" i="2"/>
  <c r="U433" i="2"/>
  <c r="Y433" i="2"/>
  <c r="AC437" i="2"/>
  <c r="AA437" i="2"/>
  <c r="X438" i="2"/>
  <c r="W438" i="2"/>
  <c r="Y438" i="2"/>
  <c r="V438" i="2"/>
  <c r="T446" i="2"/>
  <c r="AA447" i="2"/>
  <c r="Z447" i="2"/>
  <c r="AC447" i="2"/>
  <c r="X454" i="2"/>
  <c r="W454" i="2"/>
  <c r="Y454" i="2"/>
  <c r="V454" i="2"/>
  <c r="U454" i="2"/>
  <c r="W457" i="2"/>
  <c r="V457" i="2"/>
  <c r="U457" i="2"/>
  <c r="X457" i="2"/>
  <c r="AC479" i="2"/>
  <c r="AB479" i="2"/>
  <c r="AA479" i="2"/>
  <c r="Z479" i="2"/>
  <c r="V488" i="2"/>
  <c r="U488" i="2"/>
  <c r="Y488" i="2"/>
  <c r="X488" i="2"/>
  <c r="W488" i="2"/>
  <c r="W497" i="2"/>
  <c r="V497" i="2"/>
  <c r="U497" i="2"/>
  <c r="Y497" i="2"/>
  <c r="X497" i="2"/>
  <c r="Y501" i="2"/>
  <c r="W501" i="2"/>
  <c r="V501" i="2"/>
  <c r="U501" i="2"/>
  <c r="W505" i="2"/>
  <c r="V505" i="2"/>
  <c r="U505" i="2"/>
  <c r="Y505" i="2"/>
  <c r="X505" i="2"/>
  <c r="X548" i="2"/>
  <c r="W548" i="2"/>
  <c r="Y548" i="2"/>
  <c r="V548" i="2"/>
  <c r="U548" i="2"/>
  <c r="X552" i="2"/>
  <c r="W552" i="2"/>
  <c r="Y552" i="2"/>
  <c r="V552" i="2"/>
  <c r="U552" i="2"/>
  <c r="W557" i="2"/>
  <c r="V557" i="2"/>
  <c r="Y557" i="2"/>
  <c r="X557" i="2"/>
  <c r="U557" i="2"/>
  <c r="AC392" i="2"/>
  <c r="T395" i="2"/>
  <c r="W396" i="2"/>
  <c r="U396" i="2"/>
  <c r="AC397" i="2"/>
  <c r="AB397" i="2"/>
  <c r="Y400" i="2"/>
  <c r="X400" i="2"/>
  <c r="W400" i="2"/>
  <c r="T405" i="2"/>
  <c r="Y409" i="2"/>
  <c r="X409" i="2"/>
  <c r="AC412" i="2"/>
  <c r="AB412" i="2"/>
  <c r="AA412" i="2"/>
  <c r="Y415" i="2"/>
  <c r="X415" i="2"/>
  <c r="W415" i="2"/>
  <c r="V415" i="2"/>
  <c r="W417" i="2"/>
  <c r="V417" i="2"/>
  <c r="U417" i="2"/>
  <c r="Y417" i="2"/>
  <c r="AC421" i="2"/>
  <c r="AA421" i="2"/>
  <c r="X422" i="2"/>
  <c r="W422" i="2"/>
  <c r="Y422" i="2"/>
  <c r="V422" i="2"/>
  <c r="X430" i="2"/>
  <c r="W430" i="2"/>
  <c r="V430" i="2"/>
  <c r="U430" i="2"/>
  <c r="AA431" i="2"/>
  <c r="Z431" i="2"/>
  <c r="AC431" i="2"/>
  <c r="AC444" i="2"/>
  <c r="AA444" i="2"/>
  <c r="AC451" i="2"/>
  <c r="AB451" i="2"/>
  <c r="Z451" i="2"/>
  <c r="X466" i="2"/>
  <c r="W466" i="2"/>
  <c r="V466" i="2"/>
  <c r="Y466" i="2"/>
  <c r="U466" i="2"/>
  <c r="Y476" i="2"/>
  <c r="X476" i="2"/>
  <c r="V476" i="2"/>
  <c r="U476" i="2"/>
  <c r="X478" i="2"/>
  <c r="W478" i="2"/>
  <c r="Y478" i="2"/>
  <c r="V478" i="2"/>
  <c r="U478" i="2"/>
  <c r="Y492" i="2"/>
  <c r="X492" i="2"/>
  <c r="V492" i="2"/>
  <c r="U492" i="2"/>
  <c r="W492" i="2"/>
  <c r="X518" i="2"/>
  <c r="W518" i="2"/>
  <c r="Y518" i="2"/>
  <c r="V518" i="2"/>
  <c r="U518" i="2"/>
  <c r="V550" i="2"/>
  <c r="U550" i="2"/>
  <c r="Y550" i="2"/>
  <c r="X550" i="2"/>
  <c r="W550" i="2"/>
  <c r="Z413" i="2"/>
  <c r="T419" i="2"/>
  <c r="T426" i="2"/>
  <c r="T435" i="2"/>
  <c r="T442" i="2"/>
  <c r="W453" i="2"/>
  <c r="V453" i="2"/>
  <c r="AC459" i="2"/>
  <c r="AB459" i="2"/>
  <c r="Y467" i="2"/>
  <c r="X467" i="2"/>
  <c r="W467" i="2"/>
  <c r="U467" i="2"/>
  <c r="U471" i="2"/>
  <c r="Y471" i="2"/>
  <c r="X471" i="2"/>
  <c r="AC491" i="2"/>
  <c r="AB491" i="2"/>
  <c r="T499" i="2"/>
  <c r="U502" i="2"/>
  <c r="U503" i="2"/>
  <c r="Y503" i="2"/>
  <c r="X503" i="2"/>
  <c r="T519" i="2"/>
  <c r="AC526" i="2"/>
  <c r="Z526" i="2"/>
  <c r="AB528" i="2"/>
  <c r="AA528" i="2"/>
  <c r="Z528" i="2"/>
  <c r="Y529" i="2"/>
  <c r="X529" i="2"/>
  <c r="U529" i="2"/>
  <c r="V529" i="2"/>
  <c r="W539" i="2"/>
  <c r="V539" i="2"/>
  <c r="Y539" i="2"/>
  <c r="Y545" i="2"/>
  <c r="X545" i="2"/>
  <c r="U545" i="2"/>
  <c r="W545" i="2"/>
  <c r="V545" i="2"/>
  <c r="V622" i="2"/>
  <c r="Y622" i="2"/>
  <c r="X622" i="2"/>
  <c r="W622" i="2"/>
  <c r="U622" i="2"/>
  <c r="X643" i="2"/>
  <c r="W643" i="2"/>
  <c r="V643" i="2"/>
  <c r="Y643" i="2"/>
  <c r="U643" i="2"/>
  <c r="AC694" i="2"/>
  <c r="AB694" i="2"/>
  <c r="AA694" i="2"/>
  <c r="Z694" i="2"/>
  <c r="Y720" i="2"/>
  <c r="V720" i="2"/>
  <c r="U720" i="2"/>
  <c r="X720" i="2"/>
  <c r="W720" i="2"/>
  <c r="AB413" i="2"/>
  <c r="AC419" i="2"/>
  <c r="AB419" i="2"/>
  <c r="AA423" i="2"/>
  <c r="AB426" i="2"/>
  <c r="AA426" i="2"/>
  <c r="AC426" i="2"/>
  <c r="AC435" i="2"/>
  <c r="AB435" i="2"/>
  <c r="AA439" i="2"/>
  <c r="AB442" i="2"/>
  <c r="AA442" i="2"/>
  <c r="AC442" i="2"/>
  <c r="AB452" i="2"/>
  <c r="X453" i="2"/>
  <c r="AC467" i="2"/>
  <c r="AB467" i="2"/>
  <c r="W471" i="2"/>
  <c r="T475" i="2"/>
  <c r="U479" i="2"/>
  <c r="Y479" i="2"/>
  <c r="X479" i="2"/>
  <c r="AC499" i="2"/>
  <c r="AB499" i="2"/>
  <c r="T507" i="2"/>
  <c r="U511" i="2"/>
  <c r="Y511" i="2"/>
  <c r="X511" i="2"/>
  <c r="X536" i="2"/>
  <c r="W536" i="2"/>
  <c r="Y536" i="2"/>
  <c r="V536" i="2"/>
  <c r="Y538" i="2"/>
  <c r="V538" i="2"/>
  <c r="U538" i="2"/>
  <c r="X538" i="2"/>
  <c r="W538" i="2"/>
  <c r="W543" i="2"/>
  <c r="V543" i="2"/>
  <c r="Y543" i="2"/>
  <c r="X543" i="2"/>
  <c r="Z402" i="2"/>
  <c r="Z410" i="2"/>
  <c r="Z420" i="2"/>
  <c r="AB423" i="2"/>
  <c r="Z429" i="2"/>
  <c r="Z436" i="2"/>
  <c r="AB439" i="2"/>
  <c r="Z445" i="2"/>
  <c r="Y453" i="2"/>
  <c r="AC455" i="2"/>
  <c r="AB455" i="2"/>
  <c r="AA455" i="2"/>
  <c r="Z459" i="2"/>
  <c r="X462" i="2"/>
  <c r="W462" i="2"/>
  <c r="V464" i="2"/>
  <c r="U464" i="2"/>
  <c r="Y464" i="2"/>
  <c r="AB474" i="2"/>
  <c r="AA474" i="2"/>
  <c r="X482" i="2"/>
  <c r="W482" i="2"/>
  <c r="V482" i="2"/>
  <c r="AC487" i="2"/>
  <c r="AB487" i="2"/>
  <c r="AA487" i="2"/>
  <c r="X494" i="2"/>
  <c r="W494" i="2"/>
  <c r="V496" i="2"/>
  <c r="U496" i="2"/>
  <c r="Y496" i="2"/>
  <c r="AB506" i="2"/>
  <c r="AA506" i="2"/>
  <c r="T514" i="2"/>
  <c r="AC520" i="2"/>
  <c r="AB520" i="2"/>
  <c r="V523" i="2"/>
  <c r="U523" i="2"/>
  <c r="Y523" i="2"/>
  <c r="AB540" i="2"/>
  <c r="AA540" i="2"/>
  <c r="AC540" i="2"/>
  <c r="Z540" i="2"/>
  <c r="X566" i="2"/>
  <c r="W566" i="2"/>
  <c r="Y566" i="2"/>
  <c r="V566" i="2"/>
  <c r="AA567" i="2"/>
  <c r="Z567" i="2"/>
  <c r="AB567" i="2"/>
  <c r="U569" i="2"/>
  <c r="Y569" i="2"/>
  <c r="X569" i="2"/>
  <c r="X574" i="2"/>
  <c r="W574" i="2"/>
  <c r="Y574" i="2"/>
  <c r="V574" i="2"/>
  <c r="Y606" i="2"/>
  <c r="X606" i="2"/>
  <c r="W606" i="2"/>
  <c r="V606" i="2"/>
  <c r="X608" i="2"/>
  <c r="U608" i="2"/>
  <c r="Y608" i="2"/>
  <c r="W608" i="2"/>
  <c r="AB625" i="2"/>
  <c r="AA625" i="2"/>
  <c r="Z625" i="2"/>
  <c r="AC625" i="2"/>
  <c r="V638" i="2"/>
  <c r="Y638" i="2"/>
  <c r="W638" i="2"/>
  <c r="U638" i="2"/>
  <c r="Y641" i="2"/>
  <c r="V641" i="2"/>
  <c r="U641" i="2"/>
  <c r="X641" i="2"/>
  <c r="W641" i="2"/>
  <c r="V646" i="2"/>
  <c r="Y646" i="2"/>
  <c r="X646" i="2"/>
  <c r="W646" i="2"/>
  <c r="U646" i="2"/>
  <c r="X666" i="2"/>
  <c r="W666" i="2"/>
  <c r="Y666" i="2"/>
  <c r="V666" i="2"/>
  <c r="U666" i="2"/>
  <c r="V670" i="2"/>
  <c r="X670" i="2"/>
  <c r="W670" i="2"/>
  <c r="U670" i="2"/>
  <c r="Y670" i="2"/>
  <c r="Z385" i="2"/>
  <c r="Z393" i="2"/>
  <c r="Z401" i="2"/>
  <c r="AA402" i="2"/>
  <c r="Z409" i="2"/>
  <c r="AA410" i="2"/>
  <c r="T418" i="2"/>
  <c r="AA420" i="2"/>
  <c r="T427" i="2"/>
  <c r="AA429" i="2"/>
  <c r="T434" i="2"/>
  <c r="AA436" i="2"/>
  <c r="T443" i="2"/>
  <c r="AA445" i="2"/>
  <c r="T450" i="2"/>
  <c r="U455" i="2"/>
  <c r="Y455" i="2"/>
  <c r="X455" i="2"/>
  <c r="AA459" i="2"/>
  <c r="V467" i="2"/>
  <c r="AC475" i="2"/>
  <c r="AB475" i="2"/>
  <c r="T483" i="2"/>
  <c r="U487" i="2"/>
  <c r="Y487" i="2"/>
  <c r="X487" i="2"/>
  <c r="Y500" i="2"/>
  <c r="X500" i="2"/>
  <c r="V500" i="2"/>
  <c r="U500" i="2"/>
  <c r="AC507" i="2"/>
  <c r="AB507" i="2"/>
  <c r="T515" i="2"/>
  <c r="X572" i="2"/>
  <c r="V572" i="2"/>
  <c r="U572" i="2"/>
  <c r="Y572" i="2"/>
  <c r="AA573" i="2"/>
  <c r="Z573" i="2"/>
  <c r="AC573" i="2"/>
  <c r="AB573" i="2"/>
  <c r="U583" i="2"/>
  <c r="X583" i="2"/>
  <c r="W583" i="2"/>
  <c r="Y583" i="2"/>
  <c r="T586" i="2"/>
  <c r="W588" i="2"/>
  <c r="X588" i="2"/>
  <c r="V588" i="2"/>
  <c r="Y588" i="2"/>
  <c r="U588" i="2"/>
  <c r="X589" i="2"/>
  <c r="Y589" i="2"/>
  <c r="W589" i="2"/>
  <c r="V589" i="2"/>
  <c r="U589" i="2"/>
  <c r="Z408" i="2"/>
  <c r="AB420" i="2"/>
  <c r="Y423" i="2"/>
  <c r="X423" i="2"/>
  <c r="AB429" i="2"/>
  <c r="AB436" i="2"/>
  <c r="Y439" i="2"/>
  <c r="X439" i="2"/>
  <c r="AB445" i="2"/>
  <c r="X458" i="2"/>
  <c r="W458" i="2"/>
  <c r="V458" i="2"/>
  <c r="AC463" i="2"/>
  <c r="AB463" i="2"/>
  <c r="AA463" i="2"/>
  <c r="X470" i="2"/>
  <c r="W470" i="2"/>
  <c r="T472" i="2"/>
  <c r="AB482" i="2"/>
  <c r="AA482" i="2"/>
  <c r="X490" i="2"/>
  <c r="W490" i="2"/>
  <c r="V490" i="2"/>
  <c r="AC495" i="2"/>
  <c r="AB495" i="2"/>
  <c r="AA495" i="2"/>
  <c r="X502" i="2"/>
  <c r="W502" i="2"/>
  <c r="V504" i="2"/>
  <c r="U504" i="2"/>
  <c r="Y504" i="2"/>
  <c r="AB514" i="2"/>
  <c r="AA514" i="2"/>
  <c r="X521" i="2"/>
  <c r="Y521" i="2"/>
  <c r="V521" i="2"/>
  <c r="U521" i="2"/>
  <c r="X524" i="2"/>
  <c r="W524" i="2"/>
  <c r="V524" i="2"/>
  <c r="U525" i="2"/>
  <c r="Y525" i="2"/>
  <c r="X525" i="2"/>
  <c r="AC556" i="2"/>
  <c r="Z556" i="2"/>
  <c r="AB556" i="2"/>
  <c r="AA556" i="2"/>
  <c r="X562" i="2"/>
  <c r="W562" i="2"/>
  <c r="Y562" i="2"/>
  <c r="V562" i="2"/>
  <c r="U562" i="2"/>
  <c r="W572" i="2"/>
  <c r="Z575" i="2"/>
  <c r="AB575" i="2"/>
  <c r="AA575" i="2"/>
  <c r="AB418" i="2"/>
  <c r="AA418" i="2"/>
  <c r="AC418" i="2"/>
  <c r="U423" i="2"/>
  <c r="AC427" i="2"/>
  <c r="AB427" i="2"/>
  <c r="AB434" i="2"/>
  <c r="AA434" i="2"/>
  <c r="AC434" i="2"/>
  <c r="U439" i="2"/>
  <c r="AC443" i="2"/>
  <c r="AB443" i="2"/>
  <c r="AB450" i="2"/>
  <c r="AA450" i="2"/>
  <c r="W455" i="2"/>
  <c r="T459" i="2"/>
  <c r="U462" i="2"/>
  <c r="U463" i="2"/>
  <c r="Y463" i="2"/>
  <c r="X463" i="2"/>
  <c r="AA467" i="2"/>
  <c r="AC483" i="2"/>
  <c r="AB483" i="2"/>
  <c r="W487" i="2"/>
  <c r="T491" i="2"/>
  <c r="U494" i="2"/>
  <c r="U495" i="2"/>
  <c r="Y495" i="2"/>
  <c r="X495" i="2"/>
  <c r="AA499" i="2"/>
  <c r="AC515" i="2"/>
  <c r="AB515" i="2"/>
  <c r="Z520" i="2"/>
  <c r="W521" i="2"/>
  <c r="T526" i="2"/>
  <c r="W531" i="2"/>
  <c r="V531" i="2"/>
  <c r="X531" i="2"/>
  <c r="U531" i="2"/>
  <c r="W551" i="2"/>
  <c r="V551" i="2"/>
  <c r="Y551" i="2"/>
  <c r="U551" i="2"/>
  <c r="U574" i="2"/>
  <c r="Z417" i="2"/>
  <c r="Z425" i="2"/>
  <c r="Z433" i="2"/>
  <c r="Z441" i="2"/>
  <c r="Z449" i="2"/>
  <c r="Z457" i="2"/>
  <c r="AC460" i="2"/>
  <c r="Z465" i="2"/>
  <c r="AC468" i="2"/>
  <c r="Z473" i="2"/>
  <c r="AC476" i="2"/>
  <c r="Z481" i="2"/>
  <c r="AC484" i="2"/>
  <c r="Z489" i="2"/>
  <c r="AC492" i="2"/>
  <c r="Z497" i="2"/>
  <c r="AC500" i="2"/>
  <c r="Z505" i="2"/>
  <c r="AC508" i="2"/>
  <c r="Z513" i="2"/>
  <c r="AC516" i="2"/>
  <c r="Z519" i="2"/>
  <c r="W522" i="2"/>
  <c r="T528" i="2"/>
  <c r="V532" i="2"/>
  <c r="Y537" i="2"/>
  <c r="X537" i="2"/>
  <c r="U537" i="2"/>
  <c r="T544" i="2"/>
  <c r="Z553" i="2"/>
  <c r="V554" i="2"/>
  <c r="Z557" i="2"/>
  <c r="AC557" i="2"/>
  <c r="T563" i="2"/>
  <c r="AB565" i="2"/>
  <c r="Z581" i="2"/>
  <c r="AC581" i="2"/>
  <c r="AB581" i="2"/>
  <c r="W584" i="2"/>
  <c r="U584" i="2"/>
  <c r="Y584" i="2"/>
  <c r="X584" i="2"/>
  <c r="W597" i="2"/>
  <c r="X522" i="2"/>
  <c r="Z527" i="2"/>
  <c r="AC541" i="2"/>
  <c r="AB541" i="2"/>
  <c r="AC545" i="2"/>
  <c r="AB545" i="2"/>
  <c r="AB548" i="2"/>
  <c r="AA548" i="2"/>
  <c r="T549" i="2"/>
  <c r="AB552" i="2"/>
  <c r="AA552" i="2"/>
  <c r="U576" i="2"/>
  <c r="V576" i="2"/>
  <c r="Y576" i="2"/>
  <c r="T577" i="2"/>
  <c r="X581" i="2"/>
  <c r="W581" i="2"/>
  <c r="V581" i="2"/>
  <c r="U581" i="2"/>
  <c r="Y582" i="2"/>
  <c r="X582" i="2"/>
  <c r="V582" i="2"/>
  <c r="U582" i="2"/>
  <c r="AC587" i="2"/>
  <c r="AB587" i="2"/>
  <c r="AA587" i="2"/>
  <c r="T623" i="2"/>
  <c r="U629" i="2"/>
  <c r="Y629" i="2"/>
  <c r="X629" i="2"/>
  <c r="W629" i="2"/>
  <c r="V629" i="2"/>
  <c r="U645" i="2"/>
  <c r="Y645" i="2"/>
  <c r="X645" i="2"/>
  <c r="W645" i="2"/>
  <c r="V645" i="2"/>
  <c r="T661" i="2"/>
  <c r="Z454" i="2"/>
  <c r="Z462" i="2"/>
  <c r="Z470" i="2"/>
  <c r="Z478" i="2"/>
  <c r="Z486" i="2"/>
  <c r="Z494" i="2"/>
  <c r="Z502" i="2"/>
  <c r="Z510" i="2"/>
  <c r="Z518" i="2"/>
  <c r="AA522" i="2"/>
  <c r="AC527" i="2"/>
  <c r="X532" i="2"/>
  <c r="W532" i="2"/>
  <c r="AC549" i="2"/>
  <c r="AB549" i="2"/>
  <c r="AA553" i="2"/>
  <c r="AC553" i="2"/>
  <c r="X554" i="2"/>
  <c r="W554" i="2"/>
  <c r="X558" i="2"/>
  <c r="W558" i="2"/>
  <c r="Y558" i="2"/>
  <c r="V558" i="2"/>
  <c r="AC564" i="2"/>
  <c r="Z564" i="2"/>
  <c r="U578" i="2"/>
  <c r="Y578" i="2"/>
  <c r="X578" i="2"/>
  <c r="AA600" i="2"/>
  <c r="AB600" i="2"/>
  <c r="AC600" i="2"/>
  <c r="Z600" i="2"/>
  <c r="U602" i="2"/>
  <c r="Y602" i="2"/>
  <c r="W602" i="2"/>
  <c r="V602" i="2"/>
  <c r="AB609" i="2"/>
  <c r="Z609" i="2"/>
  <c r="AA683" i="2"/>
  <c r="AB683" i="2"/>
  <c r="Z683" i="2"/>
  <c r="AC683" i="2"/>
  <c r="AA454" i="2"/>
  <c r="AA462" i="2"/>
  <c r="AA470" i="2"/>
  <c r="AA478" i="2"/>
  <c r="AA486" i="2"/>
  <c r="AA494" i="2"/>
  <c r="AA502" i="2"/>
  <c r="AA510" i="2"/>
  <c r="AA518" i="2"/>
  <c r="Z521" i="2"/>
  <c r="AB522" i="2"/>
  <c r="AC525" i="2"/>
  <c r="AB525" i="2"/>
  <c r="W535" i="2"/>
  <c r="V535" i="2"/>
  <c r="T555" i="2"/>
  <c r="U558" i="2"/>
  <c r="T564" i="2"/>
  <c r="AA565" i="2"/>
  <c r="Z565" i="2"/>
  <c r="T580" i="2"/>
  <c r="AC594" i="2"/>
  <c r="AB594" i="2"/>
  <c r="AA594" i="2"/>
  <c r="AC602" i="2"/>
  <c r="AB602" i="2"/>
  <c r="AA602" i="2"/>
  <c r="T618" i="2"/>
  <c r="AB518" i="2"/>
  <c r="AB532" i="2"/>
  <c r="AA532" i="2"/>
  <c r="U533" i="2"/>
  <c r="Y533" i="2"/>
  <c r="X533" i="2"/>
  <c r="U535" i="2"/>
  <c r="AB536" i="2"/>
  <c r="AA536" i="2"/>
  <c r="T540" i="2"/>
  <c r="T556" i="2"/>
  <c r="Y559" i="2"/>
  <c r="X559" i="2"/>
  <c r="V559" i="2"/>
  <c r="U559" i="2"/>
  <c r="T561" i="2"/>
  <c r="AB570" i="2"/>
  <c r="AA570" i="2"/>
  <c r="Z570" i="2"/>
  <c r="AC571" i="2"/>
  <c r="AB571" i="2"/>
  <c r="AA571" i="2"/>
  <c r="V595" i="2"/>
  <c r="X595" i="2"/>
  <c r="W595" i="2"/>
  <c r="Y595" i="2"/>
  <c r="AB596" i="2"/>
  <c r="Z596" i="2"/>
  <c r="AA596" i="2"/>
  <c r="X597" i="2"/>
  <c r="U597" i="2"/>
  <c r="V597" i="2"/>
  <c r="Y598" i="2"/>
  <c r="W598" i="2"/>
  <c r="U598" i="2"/>
  <c r="X598" i="2"/>
  <c r="V603" i="2"/>
  <c r="Y603" i="2"/>
  <c r="W603" i="2"/>
  <c r="U603" i="2"/>
  <c r="Y604" i="2"/>
  <c r="W604" i="2"/>
  <c r="U604" i="2"/>
  <c r="X604" i="2"/>
  <c r="X605" i="2"/>
  <c r="Y605" i="2"/>
  <c r="V605" i="2"/>
  <c r="U605" i="2"/>
  <c r="W605" i="2"/>
  <c r="AA611" i="2"/>
  <c r="Z611" i="2"/>
  <c r="AB611" i="2"/>
  <c r="V614" i="2"/>
  <c r="Y614" i="2"/>
  <c r="X614" i="2"/>
  <c r="W614" i="2"/>
  <c r="U614" i="2"/>
  <c r="X624" i="2"/>
  <c r="U624" i="2"/>
  <c r="Y624" i="2"/>
  <c r="W624" i="2"/>
  <c r="T656" i="2"/>
  <c r="Z535" i="2"/>
  <c r="Z543" i="2"/>
  <c r="Z551" i="2"/>
  <c r="AC555" i="2"/>
  <c r="AB555" i="2"/>
  <c r="AB562" i="2"/>
  <c r="AA562" i="2"/>
  <c r="AC562" i="2"/>
  <c r="T571" i="2"/>
  <c r="AC588" i="2"/>
  <c r="T591" i="2"/>
  <c r="AB593" i="2"/>
  <c r="AC593" i="2"/>
  <c r="Z593" i="2"/>
  <c r="T594" i="2"/>
  <c r="AA606" i="2"/>
  <c r="AC606" i="2"/>
  <c r="Z606" i="2"/>
  <c r="T607" i="2"/>
  <c r="X611" i="2"/>
  <c r="V611" i="2"/>
  <c r="Y611" i="2"/>
  <c r="W611" i="2"/>
  <c r="U611" i="2"/>
  <c r="U621" i="2"/>
  <c r="X621" i="2"/>
  <c r="Y621" i="2"/>
  <c r="W621" i="2"/>
  <c r="V621" i="2"/>
  <c r="X651" i="2"/>
  <c r="W651" i="2"/>
  <c r="V651" i="2"/>
  <c r="Y651" i="2"/>
  <c r="U651" i="2"/>
  <c r="U653" i="2"/>
  <c r="Y653" i="2"/>
  <c r="X653" i="2"/>
  <c r="W653" i="2"/>
  <c r="Y700" i="2"/>
  <c r="W700" i="2"/>
  <c r="V700" i="2"/>
  <c r="U700" i="2"/>
  <c r="X700" i="2"/>
  <c r="Z534" i="2"/>
  <c r="Z542" i="2"/>
  <c r="Z550" i="2"/>
  <c r="U553" i="2"/>
  <c r="Y573" i="2"/>
  <c r="W573" i="2"/>
  <c r="V573" i="2"/>
  <c r="Y575" i="2"/>
  <c r="X575" i="2"/>
  <c r="AB582" i="2"/>
  <c r="Z582" i="2"/>
  <c r="AA584" i="2"/>
  <c r="AC584" i="2"/>
  <c r="X585" i="2"/>
  <c r="W585" i="2"/>
  <c r="Y590" i="2"/>
  <c r="U590" i="2"/>
  <c r="W596" i="2"/>
  <c r="Y596" i="2"/>
  <c r="Y599" i="2"/>
  <c r="W599" i="2"/>
  <c r="V599" i="2"/>
  <c r="AB603" i="2"/>
  <c r="Z603" i="2"/>
  <c r="Y609" i="2"/>
  <c r="V609" i="2"/>
  <c r="X609" i="2"/>
  <c r="W609" i="2"/>
  <c r="U609" i="2"/>
  <c r="U613" i="2"/>
  <c r="X613" i="2"/>
  <c r="Y613" i="2"/>
  <c r="W613" i="2"/>
  <c r="X616" i="2"/>
  <c r="U616" i="2"/>
  <c r="Y616" i="2"/>
  <c r="W616" i="2"/>
  <c r="V616" i="2"/>
  <c r="X627" i="2"/>
  <c r="V627" i="2"/>
  <c r="Y627" i="2"/>
  <c r="W627" i="2"/>
  <c r="U627" i="2"/>
  <c r="T634" i="2"/>
  <c r="AA651" i="2"/>
  <c r="AB651" i="2"/>
  <c r="Z651" i="2"/>
  <c r="V653" i="2"/>
  <c r="Y659" i="2"/>
  <c r="X659" i="2"/>
  <c r="W659" i="2"/>
  <c r="V659" i="2"/>
  <c r="U659" i="2"/>
  <c r="AC664" i="2"/>
  <c r="AB664" i="2"/>
  <c r="AA664" i="2"/>
  <c r="Z664" i="2"/>
  <c r="X674" i="2"/>
  <c r="W674" i="2"/>
  <c r="U674" i="2"/>
  <c r="Y674" i="2"/>
  <c r="V674" i="2"/>
  <c r="X553" i="2"/>
  <c r="AB554" i="2"/>
  <c r="AA554" i="2"/>
  <c r="AC554" i="2"/>
  <c r="AC563" i="2"/>
  <c r="AB563" i="2"/>
  <c r="W575" i="2"/>
  <c r="AB589" i="2"/>
  <c r="Z589" i="2"/>
  <c r="X590" i="2"/>
  <c r="AC592" i="2"/>
  <c r="X596" i="2"/>
  <c r="Y600" i="2"/>
  <c r="X600" i="2"/>
  <c r="AC608" i="2"/>
  <c r="AA608" i="2"/>
  <c r="AB608" i="2"/>
  <c r="Z608" i="2"/>
  <c r="Y612" i="2"/>
  <c r="W612" i="2"/>
  <c r="U612" i="2"/>
  <c r="Y628" i="2"/>
  <c r="X628" i="2"/>
  <c r="W628" i="2"/>
  <c r="V628" i="2"/>
  <c r="U628" i="2"/>
  <c r="AB644" i="2"/>
  <c r="AC644" i="2"/>
  <c r="AA644" i="2"/>
  <c r="Z644" i="2"/>
  <c r="Y567" i="2"/>
  <c r="X567" i="2"/>
  <c r="T568" i="2"/>
  <c r="T570" i="2"/>
  <c r="U585" i="2"/>
  <c r="T587" i="2"/>
  <c r="W610" i="2"/>
  <c r="U610" i="2"/>
  <c r="W631" i="2"/>
  <c r="X631" i="2"/>
  <c r="V631" i="2"/>
  <c r="U631" i="2"/>
  <c r="U637" i="2"/>
  <c r="Y637" i="2"/>
  <c r="X637" i="2"/>
  <c r="W637" i="2"/>
  <c r="V637" i="2"/>
  <c r="X640" i="2"/>
  <c r="U640" i="2"/>
  <c r="Y640" i="2"/>
  <c r="W640" i="2"/>
  <c r="V640" i="2"/>
  <c r="V662" i="2"/>
  <c r="X662" i="2"/>
  <c r="Y662" i="2"/>
  <c r="W662" i="2"/>
  <c r="U662" i="2"/>
  <c r="AB678" i="2"/>
  <c r="AA678" i="2"/>
  <c r="AC678" i="2"/>
  <c r="Z678" i="2"/>
  <c r="Z561" i="2"/>
  <c r="Z569" i="2"/>
  <c r="Z576" i="2"/>
  <c r="AA579" i="2"/>
  <c r="Z586" i="2"/>
  <c r="AA590" i="2"/>
  <c r="T593" i="2"/>
  <c r="AA597" i="2"/>
  <c r="AA601" i="2"/>
  <c r="AB604" i="2"/>
  <c r="AC612" i="2"/>
  <c r="AC614" i="2"/>
  <c r="AC616" i="2"/>
  <c r="AA616" i="2"/>
  <c r="Z617" i="2"/>
  <c r="AB619" i="2"/>
  <c r="W632" i="2"/>
  <c r="AC635" i="2"/>
  <c r="Z636" i="2"/>
  <c r="X639" i="2"/>
  <c r="AC640" i="2"/>
  <c r="AB640" i="2"/>
  <c r="AA640" i="2"/>
  <c r="Z649" i="2"/>
  <c r="T652" i="2"/>
  <c r="AC652" i="2"/>
  <c r="V660" i="2"/>
  <c r="X664" i="2"/>
  <c r="V664" i="2"/>
  <c r="U664" i="2"/>
  <c r="Y664" i="2"/>
  <c r="W664" i="2"/>
  <c r="Y665" i="2"/>
  <c r="W665" i="2"/>
  <c r="V665" i="2"/>
  <c r="X665" i="2"/>
  <c r="Y667" i="2"/>
  <c r="X667" i="2"/>
  <c r="V667" i="2"/>
  <c r="U669" i="2"/>
  <c r="W669" i="2"/>
  <c r="Y669" i="2"/>
  <c r="AC672" i="2"/>
  <c r="AB672" i="2"/>
  <c r="AA672" i="2"/>
  <c r="Z672" i="2"/>
  <c r="AA675" i="2"/>
  <c r="AB675" i="2"/>
  <c r="U716" i="2"/>
  <c r="Y716" i="2"/>
  <c r="W716" i="2"/>
  <c r="V716" i="2"/>
  <c r="X716" i="2"/>
  <c r="AB576" i="2"/>
  <c r="AA586" i="2"/>
  <c r="AC601" i="2"/>
  <c r="T617" i="2"/>
  <c r="AA617" i="2"/>
  <c r="AC619" i="2"/>
  <c r="U625" i="2"/>
  <c r="AA636" i="2"/>
  <c r="Y639" i="2"/>
  <c r="AC641" i="2"/>
  <c r="AB641" i="2"/>
  <c r="Z643" i="2"/>
  <c r="U644" i="2"/>
  <c r="U654" i="2"/>
  <c r="AC657" i="2"/>
  <c r="Z657" i="2"/>
  <c r="AC663" i="2"/>
  <c r="AB663" i="2"/>
  <c r="AA663" i="2"/>
  <c r="Z663" i="2"/>
  <c r="AB670" i="2"/>
  <c r="AA670" i="2"/>
  <c r="AC670" i="2"/>
  <c r="X672" i="2"/>
  <c r="V672" i="2"/>
  <c r="U672" i="2"/>
  <c r="Y672" i="2"/>
  <c r="W687" i="2"/>
  <c r="V687" i="2"/>
  <c r="U687" i="2"/>
  <c r="X687" i="2"/>
  <c r="Y690" i="2"/>
  <c r="X690" i="2"/>
  <c r="W690" i="2"/>
  <c r="V690" i="2"/>
  <c r="U690" i="2"/>
  <c r="T615" i="2"/>
  <c r="Z620" i="2"/>
  <c r="Z622" i="2"/>
  <c r="Z624" i="2"/>
  <c r="W625" i="2"/>
  <c r="T636" i="2"/>
  <c r="AB643" i="2"/>
  <c r="X648" i="2"/>
  <c r="U648" i="2"/>
  <c r="T649" i="2"/>
  <c r="V654" i="2"/>
  <c r="AC689" i="2"/>
  <c r="AB689" i="2"/>
  <c r="AA689" i="2"/>
  <c r="Z689" i="2"/>
  <c r="Y691" i="2"/>
  <c r="X691" i="2"/>
  <c r="V691" i="2"/>
  <c r="X693" i="2"/>
  <c r="U693" i="2"/>
  <c r="V693" i="2"/>
  <c r="AA578" i="2"/>
  <c r="X619" i="2"/>
  <c r="V619" i="2"/>
  <c r="T620" i="2"/>
  <c r="AA620" i="2"/>
  <c r="AB622" i="2"/>
  <c r="Z627" i="2"/>
  <c r="X635" i="2"/>
  <c r="W635" i="2"/>
  <c r="V635" i="2"/>
  <c r="AC643" i="2"/>
  <c r="AC648" i="2"/>
  <c r="AB648" i="2"/>
  <c r="AA648" i="2"/>
  <c r="X654" i="2"/>
  <c r="W657" i="2"/>
  <c r="V657" i="2"/>
  <c r="Y657" i="2"/>
  <c r="X657" i="2"/>
  <c r="Y660" i="2"/>
  <c r="W660" i="2"/>
  <c r="U677" i="2"/>
  <c r="W677" i="2"/>
  <c r="V677" i="2"/>
  <c r="W679" i="2"/>
  <c r="U679" i="2"/>
  <c r="Y679" i="2"/>
  <c r="X679" i="2"/>
  <c r="V679" i="2"/>
  <c r="T681" i="2"/>
  <c r="X682" i="2"/>
  <c r="W682" i="2"/>
  <c r="U682" i="2"/>
  <c r="Y689" i="2"/>
  <c r="X689" i="2"/>
  <c r="W689" i="2"/>
  <c r="V689" i="2"/>
  <c r="U691" i="2"/>
  <c r="AC622" i="2"/>
  <c r="AC624" i="2"/>
  <c r="AA624" i="2"/>
  <c r="W626" i="2"/>
  <c r="U626" i="2"/>
  <c r="X632" i="2"/>
  <c r="U632" i="2"/>
  <c r="T633" i="2"/>
  <c r="W642" i="2"/>
  <c r="V642" i="2"/>
  <c r="U642" i="2"/>
  <c r="AC649" i="2"/>
  <c r="AB649" i="2"/>
  <c r="Y654" i="2"/>
  <c r="X658" i="2"/>
  <c r="W658" i="2"/>
  <c r="V658" i="2"/>
  <c r="T668" i="2"/>
  <c r="Y673" i="2"/>
  <c r="W673" i="2"/>
  <c r="V673" i="2"/>
  <c r="X673" i="2"/>
  <c r="U673" i="2"/>
  <c r="X688" i="2"/>
  <c r="W688" i="2"/>
  <c r="V688" i="2"/>
  <c r="U688" i="2"/>
  <c r="W691" i="2"/>
  <c r="Y625" i="2"/>
  <c r="V625" i="2"/>
  <c r="V626" i="2"/>
  <c r="AC627" i="2"/>
  <c r="AC632" i="2"/>
  <c r="AB632" i="2"/>
  <c r="AA632" i="2"/>
  <c r="Y644" i="2"/>
  <c r="X644" i="2"/>
  <c r="W644" i="2"/>
  <c r="T647" i="2"/>
  <c r="AC679" i="2"/>
  <c r="AB679" i="2"/>
  <c r="X680" i="2"/>
  <c r="V680" i="2"/>
  <c r="U680" i="2"/>
  <c r="AB681" i="2"/>
  <c r="AA681" i="2"/>
  <c r="Z681" i="2"/>
  <c r="AC706" i="2"/>
  <c r="AA706" i="2"/>
  <c r="Z706" i="2"/>
  <c r="AC784" i="2"/>
  <c r="AA784" i="2"/>
  <c r="AB784" i="2"/>
  <c r="Z784" i="2"/>
  <c r="Z662" i="2"/>
  <c r="AA665" i="2"/>
  <c r="Z667" i="2"/>
  <c r="T671" i="2"/>
  <c r="X678" i="2"/>
  <c r="X685" i="2"/>
  <c r="AC686" i="2"/>
  <c r="AB686" i="2"/>
  <c r="AA686" i="2"/>
  <c r="AB688" i="2"/>
  <c r="V692" i="2"/>
  <c r="X699" i="2"/>
  <c r="V699" i="2"/>
  <c r="W699" i="2"/>
  <c r="AC704" i="2"/>
  <c r="AA704" i="2"/>
  <c r="AB704" i="2"/>
  <c r="X709" i="2"/>
  <c r="Y709" i="2"/>
  <c r="U709" i="2"/>
  <c r="X783" i="2"/>
  <c r="V783" i="2"/>
  <c r="U783" i="2"/>
  <c r="Y783" i="2"/>
  <c r="W783" i="2"/>
  <c r="AC610" i="2"/>
  <c r="AC618" i="2"/>
  <c r="AC626" i="2"/>
  <c r="AC634" i="2"/>
  <c r="AC642" i="2"/>
  <c r="AC650" i="2"/>
  <c r="AB656" i="2"/>
  <c r="AB665" i="2"/>
  <c r="AB667" i="2"/>
  <c r="Y675" i="2"/>
  <c r="X675" i="2"/>
  <c r="T676" i="2"/>
  <c r="Y678" i="2"/>
  <c r="Y685" i="2"/>
  <c r="AC687" i="2"/>
  <c r="AB687" i="2"/>
  <c r="W692" i="2"/>
  <c r="U699" i="2"/>
  <c r="X706" i="2"/>
  <c r="W706" i="2"/>
  <c r="U706" i="2"/>
  <c r="Y706" i="2"/>
  <c r="V706" i="2"/>
  <c r="Y708" i="2"/>
  <c r="W708" i="2"/>
  <c r="X708" i="2"/>
  <c r="V708" i="2"/>
  <c r="W721" i="2"/>
  <c r="V721" i="2"/>
  <c r="Y721" i="2"/>
  <c r="X721" i="2"/>
  <c r="U721" i="2"/>
  <c r="AB739" i="2"/>
  <c r="AC739" i="2"/>
  <c r="AA739" i="2"/>
  <c r="Z739" i="2"/>
  <c r="U748" i="2"/>
  <c r="W748" i="2"/>
  <c r="Y748" i="2"/>
  <c r="X748" i="2"/>
  <c r="V748" i="2"/>
  <c r="Z630" i="2"/>
  <c r="Z638" i="2"/>
  <c r="Z646" i="2"/>
  <c r="AB654" i="2"/>
  <c r="AA654" i="2"/>
  <c r="AC654" i="2"/>
  <c r="AB662" i="2"/>
  <c r="AA662" i="2"/>
  <c r="AC667" i="2"/>
  <c r="AC671" i="2"/>
  <c r="AB671" i="2"/>
  <c r="Y694" i="2"/>
  <c r="V694" i="2"/>
  <c r="U694" i="2"/>
  <c r="T695" i="2"/>
  <c r="AB706" i="2"/>
  <c r="X714" i="2"/>
  <c r="W714" i="2"/>
  <c r="U714" i="2"/>
  <c r="Y714" i="2"/>
  <c r="V714" i="2"/>
  <c r="U804" i="2"/>
  <c r="Y804" i="2"/>
  <c r="W804" i="2"/>
  <c r="X804" i="2"/>
  <c r="V804" i="2"/>
  <c r="T663" i="2"/>
  <c r="AB710" i="2"/>
  <c r="AA710" i="2"/>
  <c r="Z710" i="2"/>
  <c r="AA714" i="2"/>
  <c r="AC714" i="2"/>
  <c r="Z714" i="2"/>
  <c r="V717" i="2"/>
  <c r="X717" i="2"/>
  <c r="Y717" i="2"/>
  <c r="W717" i="2"/>
  <c r="U717" i="2"/>
  <c r="W729" i="2"/>
  <c r="V729" i="2"/>
  <c r="U729" i="2"/>
  <c r="Y729" i="2"/>
  <c r="X729" i="2"/>
  <c r="X738" i="2"/>
  <c r="W738" i="2"/>
  <c r="V738" i="2"/>
  <c r="U738" i="2"/>
  <c r="Y738" i="2"/>
  <c r="AA794" i="2"/>
  <c r="AC794" i="2"/>
  <c r="Z794" i="2"/>
  <c r="AB794" i="2"/>
  <c r="W698" i="2"/>
  <c r="U698" i="2"/>
  <c r="Y698" i="2"/>
  <c r="X698" i="2"/>
  <c r="V698" i="2"/>
  <c r="U724" i="2"/>
  <c r="Y724" i="2"/>
  <c r="W724" i="2"/>
  <c r="X724" i="2"/>
  <c r="V724" i="2"/>
  <c r="Y728" i="2"/>
  <c r="V728" i="2"/>
  <c r="U728" i="2"/>
  <c r="X728" i="2"/>
  <c r="W728" i="2"/>
  <c r="AC655" i="2"/>
  <c r="AB655" i="2"/>
  <c r="AC659" i="2"/>
  <c r="U678" i="2"/>
  <c r="Z680" i="2"/>
  <c r="Y683" i="2"/>
  <c r="X683" i="2"/>
  <c r="V685" i="2"/>
  <c r="T686" i="2"/>
  <c r="AA687" i="2"/>
  <c r="Z688" i="2"/>
  <c r="W694" i="2"/>
  <c r="AA696" i="2"/>
  <c r="AC696" i="2"/>
  <c r="AA700" i="2"/>
  <c r="AC700" i="2"/>
  <c r="Y702" i="2"/>
  <c r="X702" i="2"/>
  <c r="U702" i="2"/>
  <c r="V704" i="2"/>
  <c r="U704" i="2"/>
  <c r="X704" i="2"/>
  <c r="W704" i="2"/>
  <c r="Y712" i="2"/>
  <c r="V712" i="2"/>
  <c r="U712" i="2"/>
  <c r="W712" i="2"/>
  <c r="AC720" i="2"/>
  <c r="AA720" i="2"/>
  <c r="AB720" i="2"/>
  <c r="Z720" i="2"/>
  <c r="W734" i="2"/>
  <c r="Y734" i="2"/>
  <c r="X734" i="2"/>
  <c r="V734" i="2"/>
  <c r="U734" i="2"/>
  <c r="AA762" i="2"/>
  <c r="AC762" i="2"/>
  <c r="AB762" i="2"/>
  <c r="Z762" i="2"/>
  <c r="Z661" i="2"/>
  <c r="V696" i="2"/>
  <c r="T697" i="2"/>
  <c r="Z697" i="2"/>
  <c r="Z699" i="2"/>
  <c r="V701" i="2"/>
  <c r="T705" i="2"/>
  <c r="AA705" i="2"/>
  <c r="V710" i="2"/>
  <c r="Z712" i="2"/>
  <c r="W718" i="2"/>
  <c r="Y718" i="2"/>
  <c r="Z722" i="2"/>
  <c r="V726" i="2"/>
  <c r="V727" i="2"/>
  <c r="AC731" i="2"/>
  <c r="V733" i="2"/>
  <c r="Y733" i="2"/>
  <c r="X733" i="2"/>
  <c r="T735" i="2"/>
  <c r="Y739" i="2"/>
  <c r="X739" i="2"/>
  <c r="W739" i="2"/>
  <c r="V739" i="2"/>
  <c r="V743" i="2"/>
  <c r="AC744" i="2"/>
  <c r="AB744" i="2"/>
  <c r="AA744" i="2"/>
  <c r="AC746" i="2"/>
  <c r="AA746" i="2"/>
  <c r="Z746" i="2"/>
  <c r="Y752" i="2"/>
  <c r="W752" i="2"/>
  <c r="U752" i="2"/>
  <c r="V752" i="2"/>
  <c r="T777" i="2"/>
  <c r="U788" i="2"/>
  <c r="Y788" i="2"/>
  <c r="W788" i="2"/>
  <c r="Y800" i="2"/>
  <c r="W800" i="2"/>
  <c r="V800" i="2"/>
  <c r="U800" i="2"/>
  <c r="X800" i="2"/>
  <c r="AC806" i="2"/>
  <c r="AB806" i="2"/>
  <c r="AA806" i="2"/>
  <c r="Z806" i="2"/>
  <c r="W696" i="2"/>
  <c r="AA697" i="2"/>
  <c r="AA699" i="2"/>
  <c r="W701" i="2"/>
  <c r="AB702" i="2"/>
  <c r="AA702" i="2"/>
  <c r="AC705" i="2"/>
  <c r="W710" i="2"/>
  <c r="Z723" i="2"/>
  <c r="W727" i="2"/>
  <c r="AC728" i="2"/>
  <c r="AB728" i="2"/>
  <c r="AA728" i="2"/>
  <c r="U739" i="2"/>
  <c r="W743" i="2"/>
  <c r="Y746" i="2"/>
  <c r="U746" i="2"/>
  <c r="X746" i="2"/>
  <c r="W746" i="2"/>
  <c r="AC748" i="2"/>
  <c r="AA748" i="2"/>
  <c r="Z748" i="2"/>
  <c r="U756" i="2"/>
  <c r="Y756" i="2"/>
  <c r="W756" i="2"/>
  <c r="X756" i="2"/>
  <c r="V756" i="2"/>
  <c r="Y762" i="2"/>
  <c r="X762" i="2"/>
  <c r="W762" i="2"/>
  <c r="U762" i="2"/>
  <c r="V762" i="2"/>
  <c r="AA778" i="2"/>
  <c r="AC778" i="2"/>
  <c r="Z778" i="2"/>
  <c r="Y784" i="2"/>
  <c r="W784" i="2"/>
  <c r="V784" i="2"/>
  <c r="U784" i="2"/>
  <c r="X784" i="2"/>
  <c r="Z691" i="2"/>
  <c r="X696" i="2"/>
  <c r="AC697" i="2"/>
  <c r="AB699" i="2"/>
  <c r="Y701" i="2"/>
  <c r="T703" i="2"/>
  <c r="Y707" i="2"/>
  <c r="X707" i="2"/>
  <c r="V707" i="2"/>
  <c r="Y715" i="2"/>
  <c r="X715" i="2"/>
  <c r="V715" i="2"/>
  <c r="AB718" i="2"/>
  <c r="AA718" i="2"/>
  <c r="T719" i="2"/>
  <c r="AA723" i="2"/>
  <c r="AA730" i="2"/>
  <c r="AC730" i="2"/>
  <c r="Z738" i="2"/>
  <c r="U740" i="2"/>
  <c r="Y740" i="2"/>
  <c r="X740" i="2"/>
  <c r="W740" i="2"/>
  <c r="W744" i="2"/>
  <c r="Y760" i="2"/>
  <c r="W760" i="2"/>
  <c r="V760" i="2"/>
  <c r="U760" i="2"/>
  <c r="X760" i="2"/>
  <c r="V765" i="2"/>
  <c r="X765" i="2"/>
  <c r="U765" i="2"/>
  <c r="Y771" i="2"/>
  <c r="X771" i="2"/>
  <c r="V771" i="2"/>
  <c r="W771" i="2"/>
  <c r="U771" i="2"/>
  <c r="U772" i="2"/>
  <c r="Y772" i="2"/>
  <c r="W772" i="2"/>
  <c r="X791" i="2"/>
  <c r="V791" i="2"/>
  <c r="U791" i="2"/>
  <c r="Y791" i="2"/>
  <c r="AC792" i="2"/>
  <c r="AA792" i="2"/>
  <c r="AB792" i="2"/>
  <c r="Z792" i="2"/>
  <c r="X801" i="2"/>
  <c r="W801" i="2"/>
  <c r="V801" i="2"/>
  <c r="Y801" i="2"/>
  <c r="U801" i="2"/>
  <c r="V805" i="2"/>
  <c r="X805" i="2"/>
  <c r="W805" i="2"/>
  <c r="U805" i="2"/>
  <c r="Y811" i="2"/>
  <c r="X811" i="2"/>
  <c r="V811" i="2"/>
  <c r="W811" i="2"/>
  <c r="U811" i="2"/>
  <c r="U707" i="2"/>
  <c r="AC712" i="2"/>
  <c r="AA712" i="2"/>
  <c r="T713" i="2"/>
  <c r="U715" i="2"/>
  <c r="AA722" i="2"/>
  <c r="AC722" i="2"/>
  <c r="AC723" i="2"/>
  <c r="W726" i="2"/>
  <c r="Y726" i="2"/>
  <c r="Y736" i="2"/>
  <c r="V736" i="2"/>
  <c r="U736" i="2"/>
  <c r="T737" i="2"/>
  <c r="V740" i="2"/>
  <c r="W742" i="2"/>
  <c r="Y742" i="2"/>
  <c r="AB746" i="2"/>
  <c r="W750" i="2"/>
  <c r="U750" i="2"/>
  <c r="Y750" i="2"/>
  <c r="V750" i="2"/>
  <c r="AA754" i="2"/>
  <c r="AC754" i="2"/>
  <c r="AB754" i="2"/>
  <c r="Z754" i="2"/>
  <c r="T763" i="2"/>
  <c r="U764" i="2"/>
  <c r="Y764" i="2"/>
  <c r="W764" i="2"/>
  <c r="V764" i="2"/>
  <c r="T785" i="2"/>
  <c r="W791" i="2"/>
  <c r="U796" i="2"/>
  <c r="Y796" i="2"/>
  <c r="W796" i="2"/>
  <c r="AA802" i="2"/>
  <c r="AC802" i="2"/>
  <c r="Z802" i="2"/>
  <c r="Y805" i="2"/>
  <c r="V725" i="2"/>
  <c r="Y725" i="2"/>
  <c r="X725" i="2"/>
  <c r="X727" i="2"/>
  <c r="U727" i="2"/>
  <c r="X730" i="2"/>
  <c r="W730" i="2"/>
  <c r="V730" i="2"/>
  <c r="U730" i="2"/>
  <c r="Y731" i="2"/>
  <c r="X731" i="2"/>
  <c r="W731" i="2"/>
  <c r="V731" i="2"/>
  <c r="V741" i="2"/>
  <c r="Y741" i="2"/>
  <c r="X741" i="2"/>
  <c r="X743" i="2"/>
  <c r="U743" i="2"/>
  <c r="AC776" i="2"/>
  <c r="AA776" i="2"/>
  <c r="AB776" i="2"/>
  <c r="Z776" i="2"/>
  <c r="AA786" i="2"/>
  <c r="AC786" i="2"/>
  <c r="Z786" i="2"/>
  <c r="Y792" i="2"/>
  <c r="W792" i="2"/>
  <c r="V792" i="2"/>
  <c r="U792" i="2"/>
  <c r="X792" i="2"/>
  <c r="X722" i="2"/>
  <c r="W722" i="2"/>
  <c r="U722" i="2"/>
  <c r="U725" i="2"/>
  <c r="Y730" i="2"/>
  <c r="U731" i="2"/>
  <c r="AC736" i="2"/>
  <c r="AB736" i="2"/>
  <c r="AA736" i="2"/>
  <c r="U741" i="2"/>
  <c r="T747" i="2"/>
  <c r="X759" i="2"/>
  <c r="V759" i="2"/>
  <c r="U759" i="2"/>
  <c r="W759" i="2"/>
  <c r="U780" i="2"/>
  <c r="Y780" i="2"/>
  <c r="W780" i="2"/>
  <c r="AB698" i="2"/>
  <c r="T711" i="2"/>
  <c r="V722" i="2"/>
  <c r="Y723" i="2"/>
  <c r="X723" i="2"/>
  <c r="V723" i="2"/>
  <c r="W725" i="2"/>
  <c r="U732" i="2"/>
  <c r="Y732" i="2"/>
  <c r="X732" i="2"/>
  <c r="W732" i="2"/>
  <c r="AA738" i="2"/>
  <c r="AC738" i="2"/>
  <c r="Y744" i="2"/>
  <c r="V744" i="2"/>
  <c r="U744" i="2"/>
  <c r="T745" i="2"/>
  <c r="W758" i="2"/>
  <c r="U758" i="2"/>
  <c r="Y758" i="2"/>
  <c r="V758" i="2"/>
  <c r="AC768" i="2"/>
  <c r="AA768" i="2"/>
  <c r="AB768" i="2"/>
  <c r="Z768" i="2"/>
  <c r="Y776" i="2"/>
  <c r="W776" i="2"/>
  <c r="V776" i="2"/>
  <c r="U776" i="2"/>
  <c r="X776" i="2"/>
  <c r="T793" i="2"/>
  <c r="X799" i="2"/>
  <c r="V799" i="2"/>
  <c r="U799" i="2"/>
  <c r="Y799" i="2"/>
  <c r="AC800" i="2"/>
  <c r="AA800" i="2"/>
  <c r="AB800" i="2"/>
  <c r="Z800" i="2"/>
  <c r="Y808" i="2"/>
  <c r="W808" i="2"/>
  <c r="V808" i="2"/>
  <c r="U808" i="2"/>
  <c r="X808" i="2"/>
  <c r="Z703" i="2"/>
  <c r="AB713" i="2"/>
  <c r="AB721" i="2"/>
  <c r="AB729" i="2"/>
  <c r="AB737" i="2"/>
  <c r="Z743" i="2"/>
  <c r="AC745" i="2"/>
  <c r="AC752" i="2"/>
  <c r="AA752" i="2"/>
  <c r="T753" i="2"/>
  <c r="W766" i="2"/>
  <c r="U766" i="2"/>
  <c r="Y766" i="2"/>
  <c r="T767" i="2"/>
  <c r="Y770" i="2"/>
  <c r="X770" i="2"/>
  <c r="W770" i="2"/>
  <c r="U770" i="2"/>
  <c r="T773" i="2"/>
  <c r="T781" i="2"/>
  <c r="AA810" i="2"/>
  <c r="AC810" i="2"/>
  <c r="Z726" i="2"/>
  <c r="Z734" i="2"/>
  <c r="Z742" i="2"/>
  <c r="AC758" i="2"/>
  <c r="AB758" i="2"/>
  <c r="AA758" i="2"/>
  <c r="W774" i="2"/>
  <c r="U774" i="2"/>
  <c r="Y774" i="2"/>
  <c r="T775" i="2"/>
  <c r="Y778" i="2"/>
  <c r="X778" i="2"/>
  <c r="W778" i="2"/>
  <c r="U778" i="2"/>
  <c r="W782" i="2"/>
  <c r="U782" i="2"/>
  <c r="Y782" i="2"/>
  <c r="Y786" i="2"/>
  <c r="X786" i="2"/>
  <c r="W786" i="2"/>
  <c r="U786" i="2"/>
  <c r="W790" i="2"/>
  <c r="U790" i="2"/>
  <c r="Y790" i="2"/>
  <c r="Y794" i="2"/>
  <c r="X794" i="2"/>
  <c r="W794" i="2"/>
  <c r="U794" i="2"/>
  <c r="V797" i="2"/>
  <c r="X797" i="2"/>
  <c r="W798" i="2"/>
  <c r="U798" i="2"/>
  <c r="Y798" i="2"/>
  <c r="Y802" i="2"/>
  <c r="X802" i="2"/>
  <c r="W802" i="2"/>
  <c r="U802" i="2"/>
  <c r="U809" i="2"/>
  <c r="AA726" i="2"/>
  <c r="AA734" i="2"/>
  <c r="AA742" i="2"/>
  <c r="T761" i="2"/>
  <c r="AC766" i="2"/>
  <c r="AB766" i="2"/>
  <c r="AA766" i="2"/>
  <c r="Z770" i="2"/>
  <c r="V778" i="2"/>
  <c r="V786" i="2"/>
  <c r="V794" i="2"/>
  <c r="V802" i="2"/>
  <c r="U803" i="2"/>
  <c r="W806" i="2"/>
  <c r="U806" i="2"/>
  <c r="Y806" i="2"/>
  <c r="T807" i="2"/>
  <c r="Z808" i="2"/>
  <c r="Y810" i="2"/>
  <c r="X810" i="2"/>
  <c r="W810" i="2"/>
  <c r="U810" i="2"/>
  <c r="AC750" i="2"/>
  <c r="AA750" i="2"/>
  <c r="T751" i="2"/>
  <c r="T755" i="2"/>
  <c r="AC760" i="2"/>
  <c r="AA760" i="2"/>
  <c r="T769" i="2"/>
  <c r="AC774" i="2"/>
  <c r="AB774" i="2"/>
  <c r="AA774" i="2"/>
  <c r="AC782" i="2"/>
  <c r="AB782" i="2"/>
  <c r="AA782" i="2"/>
  <c r="T789" i="2"/>
  <c r="AC790" i="2"/>
  <c r="AB790" i="2"/>
  <c r="AA790" i="2"/>
  <c r="AC798" i="2"/>
  <c r="AB798" i="2"/>
  <c r="AA798" i="2"/>
  <c r="V810" i="2"/>
  <c r="U812" i="2"/>
  <c r="Y812" i="2"/>
  <c r="X812" i="2"/>
  <c r="W812" i="2"/>
  <c r="X809" i="2"/>
  <c r="W809" i="2"/>
  <c r="V809" i="2"/>
  <c r="V812" i="2"/>
  <c r="Z745" i="2"/>
  <c r="T749" i="2"/>
  <c r="Y754" i="2"/>
  <c r="X754" i="2"/>
  <c r="W754" i="2"/>
  <c r="U754" i="2"/>
  <c r="T757" i="2"/>
  <c r="Y768" i="2"/>
  <c r="W768" i="2"/>
  <c r="V768" i="2"/>
  <c r="U768" i="2"/>
  <c r="AA770" i="2"/>
  <c r="AC770" i="2"/>
  <c r="X774" i="2"/>
  <c r="T779" i="2"/>
  <c r="X782" i="2"/>
  <c r="T787" i="2"/>
  <c r="X790" i="2"/>
  <c r="T795" i="2"/>
  <c r="Y797" i="2"/>
  <c r="Y803" i="2"/>
  <c r="X803" i="2"/>
  <c r="V803" i="2"/>
  <c r="AC808" i="2"/>
  <c r="AA808" i="2"/>
  <c r="AB753" i="2"/>
  <c r="AB761" i="2"/>
  <c r="AB769" i="2"/>
  <c r="AB777" i="2"/>
  <c r="AB785" i="2"/>
  <c r="AB793" i="2"/>
  <c r="AB801" i="2"/>
  <c r="AB809" i="2"/>
  <c r="Z757" i="2"/>
  <c r="Z765" i="2"/>
  <c r="Z773" i="2"/>
  <c r="Z781" i="2"/>
  <c r="Z789" i="2"/>
  <c r="Z797" i="2"/>
  <c r="Z805" i="2"/>
  <c r="Z756" i="2"/>
  <c r="AA757" i="2"/>
  <c r="Z764" i="2"/>
  <c r="AA765" i="2"/>
  <c r="Z772" i="2"/>
  <c r="AA773" i="2"/>
  <c r="Z780" i="2"/>
  <c r="AA781" i="2"/>
  <c r="Z788" i="2"/>
  <c r="AA789" i="2"/>
  <c r="Z796" i="2"/>
  <c r="AA797" i="2"/>
  <c r="Z804" i="2"/>
  <c r="AA805" i="2"/>
  <c r="Z812" i="2"/>
  <c r="AA756" i="2"/>
  <c r="AA764" i="2"/>
  <c r="AA772" i="2"/>
  <c r="Z779" i="2"/>
  <c r="AA780" i="2"/>
  <c r="Z787" i="2"/>
  <c r="AA788" i="2"/>
  <c r="Z795" i="2"/>
  <c r="AA796" i="2"/>
  <c r="Z803" i="2"/>
  <c r="Z811" i="2"/>
  <c r="AA812" i="2"/>
  <c r="V526" i="2" l="1"/>
  <c r="U526" i="2"/>
  <c r="Y526" i="2"/>
  <c r="X526" i="2"/>
  <c r="W526" i="2"/>
  <c r="Y507" i="2"/>
  <c r="X507" i="2"/>
  <c r="W507" i="2"/>
  <c r="U507" i="2"/>
  <c r="V507" i="2"/>
  <c r="X182" i="2"/>
  <c r="W182" i="2"/>
  <c r="V182" i="2"/>
  <c r="U182" i="2"/>
  <c r="Y182" i="2"/>
  <c r="Y795" i="2"/>
  <c r="X795" i="2"/>
  <c r="V795" i="2"/>
  <c r="W795" i="2"/>
  <c r="U795" i="2"/>
  <c r="X753" i="2"/>
  <c r="V753" i="2"/>
  <c r="Y753" i="2"/>
  <c r="W753" i="2"/>
  <c r="U753" i="2"/>
  <c r="W737" i="2"/>
  <c r="V737" i="2"/>
  <c r="U737" i="2"/>
  <c r="Y737" i="2"/>
  <c r="X737" i="2"/>
  <c r="X777" i="2"/>
  <c r="W777" i="2"/>
  <c r="V777" i="2"/>
  <c r="Y777" i="2"/>
  <c r="U777" i="2"/>
  <c r="X735" i="2"/>
  <c r="U735" i="2"/>
  <c r="Y735" i="2"/>
  <c r="W735" i="2"/>
  <c r="V735" i="2"/>
  <c r="W695" i="2"/>
  <c r="V695" i="2"/>
  <c r="U695" i="2"/>
  <c r="X695" i="2"/>
  <c r="Y695" i="2"/>
  <c r="W647" i="2"/>
  <c r="Y647" i="2"/>
  <c r="X647" i="2"/>
  <c r="V647" i="2"/>
  <c r="U647" i="2"/>
  <c r="Y649" i="2"/>
  <c r="V649" i="2"/>
  <c r="U649" i="2"/>
  <c r="X649" i="2"/>
  <c r="W649" i="2"/>
  <c r="W571" i="2"/>
  <c r="U571" i="2"/>
  <c r="X571" i="2"/>
  <c r="V571" i="2"/>
  <c r="Y571" i="2"/>
  <c r="W623" i="2"/>
  <c r="Y623" i="2"/>
  <c r="X623" i="2"/>
  <c r="V623" i="2"/>
  <c r="U623" i="2"/>
  <c r="V472" i="2"/>
  <c r="U472" i="2"/>
  <c r="Y472" i="2"/>
  <c r="X472" i="2"/>
  <c r="W472" i="2"/>
  <c r="U435" i="2"/>
  <c r="X435" i="2"/>
  <c r="W435" i="2"/>
  <c r="V435" i="2"/>
  <c r="Y435" i="2"/>
  <c r="X405" i="2"/>
  <c r="V405" i="2"/>
  <c r="U405" i="2"/>
  <c r="Y405" i="2"/>
  <c r="W405" i="2"/>
  <c r="V395" i="2"/>
  <c r="Y395" i="2"/>
  <c r="X395" i="2"/>
  <c r="W395" i="2"/>
  <c r="U395" i="2"/>
  <c r="W412" i="2"/>
  <c r="V412" i="2"/>
  <c r="U412" i="2"/>
  <c r="X412" i="2"/>
  <c r="Y412" i="2"/>
  <c r="Y96" i="2"/>
  <c r="X96" i="2"/>
  <c r="W96" i="2"/>
  <c r="V96" i="2"/>
  <c r="U96" i="2"/>
  <c r="W118" i="2"/>
  <c r="V118" i="2"/>
  <c r="U118" i="2"/>
  <c r="X118" i="2"/>
  <c r="Y118" i="2"/>
  <c r="W94" i="2"/>
  <c r="V94" i="2"/>
  <c r="U94" i="2"/>
  <c r="X94" i="2"/>
  <c r="Y94" i="2"/>
  <c r="X134" i="2"/>
  <c r="W134" i="2"/>
  <c r="V134" i="2"/>
  <c r="U134" i="2"/>
  <c r="Y134" i="2"/>
  <c r="X158" i="2"/>
  <c r="W158" i="2"/>
  <c r="V158" i="2"/>
  <c r="U158" i="2"/>
  <c r="Y158" i="2"/>
  <c r="Y681" i="2"/>
  <c r="W681" i="2"/>
  <c r="V681" i="2"/>
  <c r="X681" i="2"/>
  <c r="U681" i="2"/>
  <c r="W618" i="2"/>
  <c r="U618" i="2"/>
  <c r="Y618" i="2"/>
  <c r="X618" i="2"/>
  <c r="V618" i="2"/>
  <c r="W442" i="2"/>
  <c r="V442" i="2"/>
  <c r="U442" i="2"/>
  <c r="Y442" i="2"/>
  <c r="X442" i="2"/>
  <c r="X285" i="2"/>
  <c r="W285" i="2"/>
  <c r="V285" i="2"/>
  <c r="U285" i="2"/>
  <c r="Y285" i="2"/>
  <c r="V749" i="2"/>
  <c r="X749" i="2"/>
  <c r="W749" i="2"/>
  <c r="U749" i="2"/>
  <c r="Y749" i="2"/>
  <c r="X769" i="2"/>
  <c r="W769" i="2"/>
  <c r="V769" i="2"/>
  <c r="Y769" i="2"/>
  <c r="U769" i="2"/>
  <c r="V697" i="2"/>
  <c r="X697" i="2"/>
  <c r="Y697" i="2"/>
  <c r="W697" i="2"/>
  <c r="U697" i="2"/>
  <c r="Y620" i="2"/>
  <c r="W620" i="2"/>
  <c r="X620" i="2"/>
  <c r="V620" i="2"/>
  <c r="U620" i="2"/>
  <c r="W615" i="2"/>
  <c r="Y615" i="2"/>
  <c r="X615" i="2"/>
  <c r="V615" i="2"/>
  <c r="U615" i="2"/>
  <c r="V656" i="2"/>
  <c r="U656" i="2"/>
  <c r="Y656" i="2"/>
  <c r="X656" i="2"/>
  <c r="W656" i="2"/>
  <c r="V564" i="2"/>
  <c r="U564" i="2"/>
  <c r="Y564" i="2"/>
  <c r="W564" i="2"/>
  <c r="X564" i="2"/>
  <c r="X544" i="2"/>
  <c r="W544" i="2"/>
  <c r="Y544" i="2"/>
  <c r="U544" i="2"/>
  <c r="V544" i="2"/>
  <c r="Y491" i="2"/>
  <c r="X491" i="2"/>
  <c r="W491" i="2"/>
  <c r="U491" i="2"/>
  <c r="V491" i="2"/>
  <c r="Y515" i="2"/>
  <c r="X515" i="2"/>
  <c r="W515" i="2"/>
  <c r="U515" i="2"/>
  <c r="V515" i="2"/>
  <c r="U427" i="2"/>
  <c r="Y427" i="2"/>
  <c r="X427" i="2"/>
  <c r="V427" i="2"/>
  <c r="W427" i="2"/>
  <c r="Y499" i="2"/>
  <c r="X499" i="2"/>
  <c r="W499" i="2"/>
  <c r="U499" i="2"/>
  <c r="V499" i="2"/>
  <c r="W426" i="2"/>
  <c r="V426" i="2"/>
  <c r="U426" i="2"/>
  <c r="Y426" i="2"/>
  <c r="X426" i="2"/>
  <c r="Y345" i="2"/>
  <c r="X345" i="2"/>
  <c r="W345" i="2"/>
  <c r="U345" i="2"/>
  <c r="V345" i="2"/>
  <c r="Y329" i="2"/>
  <c r="U329" i="2"/>
  <c r="X329" i="2"/>
  <c r="W329" i="2"/>
  <c r="V329" i="2"/>
  <c r="Y308" i="2"/>
  <c r="X308" i="2"/>
  <c r="W308" i="2"/>
  <c r="V308" i="2"/>
  <c r="U308" i="2"/>
  <c r="W215" i="2"/>
  <c r="Y215" i="2"/>
  <c r="X215" i="2"/>
  <c r="V215" i="2"/>
  <c r="U215" i="2"/>
  <c r="X793" i="2"/>
  <c r="W793" i="2"/>
  <c r="V793" i="2"/>
  <c r="Y793" i="2"/>
  <c r="U793" i="2"/>
  <c r="X561" i="2"/>
  <c r="W561" i="2"/>
  <c r="Y561" i="2"/>
  <c r="U561" i="2"/>
  <c r="V561" i="2"/>
  <c r="Y787" i="2"/>
  <c r="X787" i="2"/>
  <c r="V787" i="2"/>
  <c r="W787" i="2"/>
  <c r="U787" i="2"/>
  <c r="V789" i="2"/>
  <c r="X789" i="2"/>
  <c r="Y789" i="2"/>
  <c r="W789" i="2"/>
  <c r="U789" i="2"/>
  <c r="X761" i="2"/>
  <c r="W761" i="2"/>
  <c r="V761" i="2"/>
  <c r="U761" i="2"/>
  <c r="Y761" i="2"/>
  <c r="X775" i="2"/>
  <c r="V775" i="2"/>
  <c r="U775" i="2"/>
  <c r="Y775" i="2"/>
  <c r="W775" i="2"/>
  <c r="W713" i="2"/>
  <c r="V713" i="2"/>
  <c r="Y713" i="2"/>
  <c r="X713" i="2"/>
  <c r="U713" i="2"/>
  <c r="Y617" i="2"/>
  <c r="V617" i="2"/>
  <c r="U617" i="2"/>
  <c r="X617" i="2"/>
  <c r="W617" i="2"/>
  <c r="Y652" i="2"/>
  <c r="X652" i="2"/>
  <c r="W652" i="2"/>
  <c r="V652" i="2"/>
  <c r="U652" i="2"/>
  <c r="W634" i="2"/>
  <c r="V634" i="2"/>
  <c r="U634" i="2"/>
  <c r="Y634" i="2"/>
  <c r="X634" i="2"/>
  <c r="U594" i="2"/>
  <c r="W594" i="2"/>
  <c r="X594" i="2"/>
  <c r="V594" i="2"/>
  <c r="Y594" i="2"/>
  <c r="U549" i="2"/>
  <c r="Y549" i="2"/>
  <c r="X549" i="2"/>
  <c r="V549" i="2"/>
  <c r="W549" i="2"/>
  <c r="Y459" i="2"/>
  <c r="X459" i="2"/>
  <c r="W459" i="2"/>
  <c r="U459" i="2"/>
  <c r="V459" i="2"/>
  <c r="U419" i="2"/>
  <c r="X419" i="2"/>
  <c r="W419" i="2"/>
  <c r="V419" i="2"/>
  <c r="Y419" i="2"/>
  <c r="X393" i="2"/>
  <c r="W393" i="2"/>
  <c r="V393" i="2"/>
  <c r="U393" i="2"/>
  <c r="Y393" i="2"/>
  <c r="V364" i="2"/>
  <c r="U364" i="2"/>
  <c r="X364" i="2"/>
  <c r="W364" i="2"/>
  <c r="Y364" i="2"/>
  <c r="X328" i="2"/>
  <c r="W328" i="2"/>
  <c r="V328" i="2"/>
  <c r="U328" i="2"/>
  <c r="Y328" i="2"/>
  <c r="X245" i="2"/>
  <c r="W245" i="2"/>
  <c r="V245" i="2"/>
  <c r="U245" i="2"/>
  <c r="Y245" i="2"/>
  <c r="W102" i="2"/>
  <c r="V102" i="2"/>
  <c r="U102" i="2"/>
  <c r="Y102" i="2"/>
  <c r="X102" i="2"/>
  <c r="X166" i="2"/>
  <c r="W166" i="2"/>
  <c r="V166" i="2"/>
  <c r="U166" i="2"/>
  <c r="Y166" i="2"/>
  <c r="Y568" i="2"/>
  <c r="X568" i="2"/>
  <c r="U568" i="2"/>
  <c r="W568" i="2"/>
  <c r="V568" i="2"/>
  <c r="Y104" i="2"/>
  <c r="X104" i="2"/>
  <c r="W104" i="2"/>
  <c r="V104" i="2"/>
  <c r="U104" i="2"/>
  <c r="Y763" i="2"/>
  <c r="X763" i="2"/>
  <c r="V763" i="2"/>
  <c r="W763" i="2"/>
  <c r="U763" i="2"/>
  <c r="V686" i="2"/>
  <c r="U686" i="2"/>
  <c r="X686" i="2"/>
  <c r="W686" i="2"/>
  <c r="Y686" i="2"/>
  <c r="U555" i="2"/>
  <c r="Y555" i="2"/>
  <c r="X555" i="2"/>
  <c r="W555" i="2"/>
  <c r="V555" i="2"/>
  <c r="Y483" i="2"/>
  <c r="X483" i="2"/>
  <c r="W483" i="2"/>
  <c r="U483" i="2"/>
  <c r="V483" i="2"/>
  <c r="W450" i="2"/>
  <c r="Y450" i="2"/>
  <c r="X450" i="2"/>
  <c r="U450" i="2"/>
  <c r="V450" i="2"/>
  <c r="Y418" i="2"/>
  <c r="X418" i="2"/>
  <c r="W418" i="2"/>
  <c r="U418" i="2"/>
  <c r="V418" i="2"/>
  <c r="X389" i="2"/>
  <c r="V389" i="2"/>
  <c r="U389" i="2"/>
  <c r="Y389" i="2"/>
  <c r="W389" i="2"/>
  <c r="X366" i="2"/>
  <c r="W366" i="2"/>
  <c r="V366" i="2"/>
  <c r="U366" i="2"/>
  <c r="Y366" i="2"/>
  <c r="Y231" i="2"/>
  <c r="X231" i="2"/>
  <c r="W231" i="2"/>
  <c r="V231" i="2"/>
  <c r="U231" i="2"/>
  <c r="Y295" i="2"/>
  <c r="X295" i="2"/>
  <c r="W295" i="2"/>
  <c r="V295" i="2"/>
  <c r="U295" i="2"/>
  <c r="X253" i="2"/>
  <c r="W253" i="2"/>
  <c r="V253" i="2"/>
  <c r="U253" i="2"/>
  <c r="Y253" i="2"/>
  <c r="Y136" i="2"/>
  <c r="X136" i="2"/>
  <c r="W136" i="2"/>
  <c r="V136" i="2"/>
  <c r="U136" i="2"/>
  <c r="W88" i="2"/>
  <c r="V88" i="2"/>
  <c r="X88" i="2"/>
  <c r="U88" i="2"/>
  <c r="Y88" i="2"/>
  <c r="Y779" i="2"/>
  <c r="X779" i="2"/>
  <c r="V779" i="2"/>
  <c r="W779" i="2"/>
  <c r="U779" i="2"/>
  <c r="V757" i="2"/>
  <c r="X757" i="2"/>
  <c r="W757" i="2"/>
  <c r="U757" i="2"/>
  <c r="Y757" i="2"/>
  <c r="Y755" i="2"/>
  <c r="X755" i="2"/>
  <c r="V755" i="2"/>
  <c r="W755" i="2"/>
  <c r="U755" i="2"/>
  <c r="X767" i="2"/>
  <c r="V767" i="2"/>
  <c r="U767" i="2"/>
  <c r="W767" i="2"/>
  <c r="Y767" i="2"/>
  <c r="X711" i="2"/>
  <c r="U711" i="2"/>
  <c r="W711" i="2"/>
  <c r="V711" i="2"/>
  <c r="Y711" i="2"/>
  <c r="W663" i="2"/>
  <c r="U663" i="2"/>
  <c r="Y663" i="2"/>
  <c r="X663" i="2"/>
  <c r="V663" i="2"/>
  <c r="Y676" i="2"/>
  <c r="V676" i="2"/>
  <c r="X676" i="2"/>
  <c r="U676" i="2"/>
  <c r="W676" i="2"/>
  <c r="Y636" i="2"/>
  <c r="X636" i="2"/>
  <c r="W636" i="2"/>
  <c r="V636" i="2"/>
  <c r="U636" i="2"/>
  <c r="Y593" i="2"/>
  <c r="X593" i="2"/>
  <c r="W593" i="2"/>
  <c r="U593" i="2"/>
  <c r="V593" i="2"/>
  <c r="V587" i="2"/>
  <c r="X587" i="2"/>
  <c r="U587" i="2"/>
  <c r="W587" i="2"/>
  <c r="Y587" i="2"/>
  <c r="V556" i="2"/>
  <c r="U556" i="2"/>
  <c r="Y556" i="2"/>
  <c r="W556" i="2"/>
  <c r="X556" i="2"/>
  <c r="X577" i="2"/>
  <c r="V577" i="2"/>
  <c r="U577" i="2"/>
  <c r="Y577" i="2"/>
  <c r="W577" i="2"/>
  <c r="U563" i="2"/>
  <c r="Y563" i="2"/>
  <c r="X563" i="2"/>
  <c r="W563" i="2"/>
  <c r="V563" i="2"/>
  <c r="U586" i="2"/>
  <c r="X586" i="2"/>
  <c r="W586" i="2"/>
  <c r="Y586" i="2"/>
  <c r="V586" i="2"/>
  <c r="V519" i="2"/>
  <c r="W519" i="2"/>
  <c r="U519" i="2"/>
  <c r="Y519" i="2"/>
  <c r="X519" i="2"/>
  <c r="X446" i="2"/>
  <c r="W446" i="2"/>
  <c r="V446" i="2"/>
  <c r="U446" i="2"/>
  <c r="Y446" i="2"/>
  <c r="V387" i="2"/>
  <c r="Y387" i="2"/>
  <c r="W387" i="2"/>
  <c r="U387" i="2"/>
  <c r="X387" i="2"/>
  <c r="Y287" i="2"/>
  <c r="X287" i="2"/>
  <c r="W287" i="2"/>
  <c r="V287" i="2"/>
  <c r="U287" i="2"/>
  <c r="Y239" i="2"/>
  <c r="X239" i="2"/>
  <c r="W239" i="2"/>
  <c r="V239" i="2"/>
  <c r="U239" i="2"/>
  <c r="W207" i="2"/>
  <c r="X207" i="2"/>
  <c r="V207" i="2"/>
  <c r="U207" i="2"/>
  <c r="Y207" i="2"/>
  <c r="X150" i="2"/>
  <c r="W150" i="2"/>
  <c r="V150" i="2"/>
  <c r="U150" i="2"/>
  <c r="Y150" i="2"/>
  <c r="W126" i="2"/>
  <c r="V126" i="2"/>
  <c r="U126" i="2"/>
  <c r="Y126" i="2"/>
  <c r="X126" i="2"/>
  <c r="W110" i="2"/>
  <c r="V110" i="2"/>
  <c r="U110" i="2"/>
  <c r="X110" i="2"/>
  <c r="Y110" i="2"/>
  <c r="Y633" i="2"/>
  <c r="V633" i="2"/>
  <c r="U633" i="2"/>
  <c r="X633" i="2"/>
  <c r="W633" i="2"/>
  <c r="X751" i="2"/>
  <c r="V751" i="2"/>
  <c r="Y751" i="2"/>
  <c r="W751" i="2"/>
  <c r="U751" i="2"/>
  <c r="X807" i="2"/>
  <c r="V807" i="2"/>
  <c r="U807" i="2"/>
  <c r="W807" i="2"/>
  <c r="Y807" i="2"/>
  <c r="W745" i="2"/>
  <c r="V745" i="2"/>
  <c r="U745" i="2"/>
  <c r="Y745" i="2"/>
  <c r="X745" i="2"/>
  <c r="V747" i="2"/>
  <c r="Y747" i="2"/>
  <c r="U747" i="2"/>
  <c r="X747" i="2"/>
  <c r="W747" i="2"/>
  <c r="X719" i="2"/>
  <c r="U719" i="2"/>
  <c r="V719" i="2"/>
  <c r="Y719" i="2"/>
  <c r="W719" i="2"/>
  <c r="W705" i="2"/>
  <c r="V705" i="2"/>
  <c r="Y705" i="2"/>
  <c r="X705" i="2"/>
  <c r="U705" i="2"/>
  <c r="W671" i="2"/>
  <c r="U671" i="2"/>
  <c r="Y671" i="2"/>
  <c r="X671" i="2"/>
  <c r="V671" i="2"/>
  <c r="Y668" i="2"/>
  <c r="X668" i="2"/>
  <c r="W668" i="2"/>
  <c r="V668" i="2"/>
  <c r="U668" i="2"/>
  <c r="X540" i="2"/>
  <c r="W540" i="2"/>
  <c r="Y540" i="2"/>
  <c r="U540" i="2"/>
  <c r="V540" i="2"/>
  <c r="U661" i="2"/>
  <c r="X661" i="2"/>
  <c r="W661" i="2"/>
  <c r="V661" i="2"/>
  <c r="Y661" i="2"/>
  <c r="U443" i="2"/>
  <c r="Y443" i="2"/>
  <c r="X443" i="2"/>
  <c r="V443" i="2"/>
  <c r="W443" i="2"/>
  <c r="X514" i="2"/>
  <c r="W514" i="2"/>
  <c r="V514" i="2"/>
  <c r="Y514" i="2"/>
  <c r="U514" i="2"/>
  <c r="Y475" i="2"/>
  <c r="X475" i="2"/>
  <c r="W475" i="2"/>
  <c r="U475" i="2"/>
  <c r="V475" i="2"/>
  <c r="X385" i="2"/>
  <c r="Y385" i="2"/>
  <c r="W385" i="2"/>
  <c r="V385" i="2"/>
  <c r="U385" i="2"/>
  <c r="X397" i="2"/>
  <c r="V397" i="2"/>
  <c r="U397" i="2"/>
  <c r="W397" i="2"/>
  <c r="Y397" i="2"/>
  <c r="V348" i="2"/>
  <c r="U348" i="2"/>
  <c r="X348" i="2"/>
  <c r="W348" i="2"/>
  <c r="Y348" i="2"/>
  <c r="Y300" i="2"/>
  <c r="X300" i="2"/>
  <c r="W300" i="2"/>
  <c r="V300" i="2"/>
  <c r="U300" i="2"/>
  <c r="X391" i="2"/>
  <c r="V391" i="2"/>
  <c r="W391" i="2"/>
  <c r="U391" i="2"/>
  <c r="Y391" i="2"/>
  <c r="X269" i="2"/>
  <c r="W269" i="2"/>
  <c r="V269" i="2"/>
  <c r="U269" i="2"/>
  <c r="Y269" i="2"/>
  <c r="V220" i="2"/>
  <c r="U220" i="2"/>
  <c r="Y220" i="2"/>
  <c r="X220" i="2"/>
  <c r="W220" i="2"/>
  <c r="Y271" i="2"/>
  <c r="X271" i="2"/>
  <c r="W271" i="2"/>
  <c r="V271" i="2"/>
  <c r="U271" i="2"/>
  <c r="X237" i="2"/>
  <c r="W237" i="2"/>
  <c r="V237" i="2"/>
  <c r="U237" i="2"/>
  <c r="Y237" i="2"/>
  <c r="Y168" i="2"/>
  <c r="X168" i="2"/>
  <c r="W168" i="2"/>
  <c r="V168" i="2"/>
  <c r="U168" i="2"/>
  <c r="X174" i="2"/>
  <c r="W174" i="2"/>
  <c r="V174" i="2"/>
  <c r="U174" i="2"/>
  <c r="Y174" i="2"/>
  <c r="V773" i="2"/>
  <c r="X773" i="2"/>
  <c r="Y773" i="2"/>
  <c r="U773" i="2"/>
  <c r="W773" i="2"/>
  <c r="Y434" i="2"/>
  <c r="X434" i="2"/>
  <c r="W434" i="2"/>
  <c r="U434" i="2"/>
  <c r="V434" i="2"/>
  <c r="X413" i="2"/>
  <c r="W413" i="2"/>
  <c r="V413" i="2"/>
  <c r="U413" i="2"/>
  <c r="Y413" i="2"/>
  <c r="X381" i="2"/>
  <c r="Y381" i="2"/>
  <c r="V381" i="2"/>
  <c r="U381" i="2"/>
  <c r="W381" i="2"/>
  <c r="V781" i="2"/>
  <c r="X781" i="2"/>
  <c r="Y781" i="2"/>
  <c r="W781" i="2"/>
  <c r="U781" i="2"/>
  <c r="X785" i="2"/>
  <c r="W785" i="2"/>
  <c r="V785" i="2"/>
  <c r="Y785" i="2"/>
  <c r="U785" i="2"/>
  <c r="U703" i="2"/>
  <c r="V703" i="2"/>
  <c r="Y703" i="2"/>
  <c r="X703" i="2"/>
  <c r="W703" i="2"/>
  <c r="V570" i="2"/>
  <c r="Y570" i="2"/>
  <c r="U570" i="2"/>
  <c r="X570" i="2"/>
  <c r="W570" i="2"/>
  <c r="W607" i="2"/>
  <c r="V607" i="2"/>
  <c r="U607" i="2"/>
  <c r="Y607" i="2"/>
  <c r="X607" i="2"/>
  <c r="W591" i="2"/>
  <c r="U591" i="2"/>
  <c r="X591" i="2"/>
  <c r="V591" i="2"/>
  <c r="Y591" i="2"/>
  <c r="W580" i="2"/>
  <c r="X580" i="2"/>
  <c r="U580" i="2"/>
  <c r="Y580" i="2"/>
  <c r="V580" i="2"/>
  <c r="X528" i="2"/>
  <c r="W528" i="2"/>
  <c r="Y528" i="2"/>
  <c r="U528" i="2"/>
  <c r="V528" i="2"/>
  <c r="W404" i="2"/>
  <c r="U404" i="2"/>
  <c r="Y404" i="2"/>
  <c r="X404" i="2"/>
  <c r="V404" i="2"/>
  <c r="X324" i="2"/>
  <c r="Y324" i="2"/>
  <c r="W324" i="2"/>
  <c r="V324" i="2"/>
  <c r="U324" i="2"/>
  <c r="V334" i="2"/>
  <c r="U334" i="2"/>
  <c r="Y334" i="2"/>
  <c r="X334" i="2"/>
  <c r="W334" i="2"/>
  <c r="U340" i="2"/>
  <c r="X340" i="2"/>
  <c r="W340" i="2"/>
  <c r="Y340" i="2"/>
  <c r="V340" i="2"/>
  <c r="X293" i="2"/>
  <c r="W293" i="2"/>
  <c r="V293" i="2"/>
  <c r="U293" i="2"/>
  <c r="Y293" i="2"/>
  <c r="Y160" i="2"/>
  <c r="X160" i="2"/>
  <c r="W160" i="2"/>
  <c r="V160" i="2"/>
  <c r="U160" i="2"/>
  <c r="Y112" i="2"/>
  <c r="X112" i="2"/>
  <c r="W112" i="2"/>
  <c r="V112" i="2"/>
  <c r="U112" i="2"/>
</calcChain>
</file>

<file path=xl/sharedStrings.xml><?xml version="1.0" encoding="utf-8"?>
<sst xmlns="http://schemas.openxmlformats.org/spreadsheetml/2006/main" count="5201" uniqueCount="154">
  <si>
    <t>SAP ID</t>
  </si>
  <si>
    <t>Naam</t>
  </si>
  <si>
    <t>Uurloon</t>
  </si>
  <si>
    <t>Uurloon zonder ATV</t>
  </si>
  <si>
    <t>Functie toeslag</t>
  </si>
  <si>
    <t>Wekentelling</t>
  </si>
  <si>
    <t>Fase tarief</t>
  </si>
  <si>
    <t>Datum</t>
  </si>
  <si>
    <t>Code toeslag</t>
  </si>
  <si>
    <t>Totaal uren</t>
  </si>
  <si>
    <t>Subtotaal</t>
  </si>
  <si>
    <t>Dawid Kutermak</t>
  </si>
  <si>
    <t>C</t>
  </si>
  <si>
    <t>Norm uren Dag</t>
  </si>
  <si>
    <t>Adrian Koson</t>
  </si>
  <si>
    <t>A</t>
  </si>
  <si>
    <t>Sandra Owczarczak - Wawrzyniak</t>
  </si>
  <si>
    <t>Julia Nowak</t>
  </si>
  <si>
    <t>Jaroslaw Czajkowski</t>
  </si>
  <si>
    <t>B</t>
  </si>
  <si>
    <t>Agnieszka Cwioro</t>
  </si>
  <si>
    <t>T133 Dag</t>
  </si>
  <si>
    <t>T135 Dag</t>
  </si>
  <si>
    <t>OW140 Week</t>
  </si>
  <si>
    <t>OW180 Dag</t>
  </si>
  <si>
    <t>OW200 Dag</t>
  </si>
  <si>
    <t>Bogumil Mlynarczyk</t>
  </si>
  <si>
    <t>Beata Marczak</t>
  </si>
  <si>
    <t>Patrycja Ogiela</t>
  </si>
  <si>
    <t>Katarzyna Kutkiewicz</t>
  </si>
  <si>
    <t>Iva Kupcikova</t>
  </si>
  <si>
    <t>Anna Gajewska</t>
  </si>
  <si>
    <t>Andrzej Jankowski</t>
  </si>
  <si>
    <t>Katarzyna Fiszer</t>
  </si>
  <si>
    <t>Renata Drabik</t>
  </si>
  <si>
    <t>Jerzy Muc</t>
  </si>
  <si>
    <t>Patrycja Mika</t>
  </si>
  <si>
    <t>Patryk Jaworski</t>
  </si>
  <si>
    <t>Anna Mikulska</t>
  </si>
  <si>
    <t>Mateusz Wielgus</t>
  </si>
  <si>
    <t>Tomasz Poplonski</t>
  </si>
  <si>
    <t>Beata Baraniuk</t>
  </si>
  <si>
    <t>Renata Przydatek</t>
  </si>
  <si>
    <t>Ewa Koszny</t>
  </si>
  <si>
    <t>Martin Drozdziel</t>
  </si>
  <si>
    <t>Daniel Wilczak</t>
  </si>
  <si>
    <t>Konrad Mogilnicki</t>
  </si>
  <si>
    <t>Maciej Wolanin</t>
  </si>
  <si>
    <t>Piotr Bierczak</t>
  </si>
  <si>
    <t>Grzegorz Dlugolecki</t>
  </si>
  <si>
    <t>Eden Colaco</t>
  </si>
  <si>
    <t>Justyna Perczyk</t>
  </si>
  <si>
    <t>Martina Kovacova</t>
  </si>
  <si>
    <t>Stefan-Bogdan Cotofrea</t>
  </si>
  <si>
    <t>Daniel Pikta</t>
  </si>
  <si>
    <t>Richard Lenart</t>
  </si>
  <si>
    <t>Lucyna Stankiewicz</t>
  </si>
  <si>
    <t>Magdalena Marek</t>
  </si>
  <si>
    <t>Nikola Solomonova</t>
  </si>
  <si>
    <t>Wilson Marques</t>
  </si>
  <si>
    <t>Pedro Costa</t>
  </si>
  <si>
    <t>Damian Filipek</t>
  </si>
  <si>
    <t>Dominik Kijak</t>
  </si>
  <si>
    <t>Hanna Kijak</t>
  </si>
  <si>
    <t>Daria Major</t>
  </si>
  <si>
    <t>Grazyna Cieslak</t>
  </si>
  <si>
    <t>Malgorzata Pasieka</t>
  </si>
  <si>
    <t>Damian Pyc</t>
  </si>
  <si>
    <t>Slawomir Madry</t>
  </si>
  <si>
    <t>Martynas Tranevicius</t>
  </si>
  <si>
    <t>Marcin Grucelski</t>
  </si>
  <si>
    <t>Sandra Gil</t>
  </si>
  <si>
    <t>Audrius Augustinaitis</t>
  </si>
  <si>
    <t>Patrycja Muszczek</t>
  </si>
  <si>
    <t>Vladimir Matiscik</t>
  </si>
  <si>
    <t>Virgil Cristu</t>
  </si>
  <si>
    <t>Kamil Karpinski</t>
  </si>
  <si>
    <t>Wiktoria Mlot</t>
  </si>
  <si>
    <t>Kamila Garbacz</t>
  </si>
  <si>
    <t>Patryk Maka</t>
  </si>
  <si>
    <t>Anna Sztabinska</t>
  </si>
  <si>
    <t>Ioan Agafitei</t>
  </si>
  <si>
    <t>Patryk Rydzewski</t>
  </si>
  <si>
    <t>Dawid Skorczewski</t>
  </si>
  <si>
    <t>Katarzyna Stencel</t>
  </si>
  <si>
    <t>Gabriel Dalalau</t>
  </si>
  <si>
    <t>Przemyslaw Zaremba</t>
  </si>
  <si>
    <t>Bernardeta Bienkowska</t>
  </si>
  <si>
    <t>Magdalena Zmijewska</t>
  </si>
  <si>
    <t>Andrei Obaciu</t>
  </si>
  <si>
    <t>Marius Mladinovici</t>
  </si>
  <si>
    <t>Marcel Bruzdzinski</t>
  </si>
  <si>
    <t>Daniel Sapa</t>
  </si>
  <si>
    <t>Julia Rychlik</t>
  </si>
  <si>
    <t>Adrian Moldovan</t>
  </si>
  <si>
    <t>Lukas Proschl</t>
  </si>
  <si>
    <t>Kamil Michalik</t>
  </si>
  <si>
    <t>Dawid Jankowski</t>
  </si>
  <si>
    <t>Ernesto Slepcik</t>
  </si>
  <si>
    <t>Jakub Kristof</t>
  </si>
  <si>
    <t>Maciej Lopusiewicz</t>
  </si>
  <si>
    <t>Gerda Kasileviciute</t>
  </si>
  <si>
    <t>Tomas Slosiar</t>
  </si>
  <si>
    <t>Piotr Wach</t>
  </si>
  <si>
    <t>Rafal Osik</t>
  </si>
  <si>
    <t>Elzbieta Przybyszewska</t>
  </si>
  <si>
    <t>Agnieszka Kosior</t>
  </si>
  <si>
    <t>Dariusz Glabien</t>
  </si>
  <si>
    <t>Krystyna Pasiali</t>
  </si>
  <si>
    <t>Katarzyna Kaziura</t>
  </si>
  <si>
    <t>Malgorzata Urbanowicz</t>
  </si>
  <si>
    <t>Ales Marco</t>
  </si>
  <si>
    <t>Przemyslaw Robakowski</t>
  </si>
  <si>
    <t>Paulina Mankowska</t>
  </si>
  <si>
    <t>Oliwia Milon</t>
  </si>
  <si>
    <t>Mario Gigliotti</t>
  </si>
  <si>
    <t>David Babics</t>
  </si>
  <si>
    <t>Marta Madej</t>
  </si>
  <si>
    <t>Julia Kaziura</t>
  </si>
  <si>
    <t>Arkadiusz Kulesza</t>
  </si>
  <si>
    <t>Wiktor Kaziura</t>
  </si>
  <si>
    <t>Paolo Artini</t>
  </si>
  <si>
    <t>Jakub Ustrzynski</t>
  </si>
  <si>
    <t>Jagoda Domaradzka</t>
  </si>
  <si>
    <t>Oliwier Madry</t>
  </si>
  <si>
    <t>Mateusz Kierzkowski</t>
  </si>
  <si>
    <t>Marius Seciu</t>
  </si>
  <si>
    <t>Katarina Dekanova</t>
  </si>
  <si>
    <t>Robert Cabla</t>
  </si>
  <si>
    <t>Denisa Radu</t>
  </si>
  <si>
    <t>Tomasz Mikiciuk</t>
  </si>
  <si>
    <t>Som van Totaal uren</t>
  </si>
  <si>
    <t>Som van Subtotaal</t>
  </si>
  <si>
    <t>Tarief</t>
  </si>
  <si>
    <t>orf</t>
  </si>
  <si>
    <t>TF</t>
  </si>
  <si>
    <t>OF</t>
  </si>
  <si>
    <t>ATV</t>
  </si>
  <si>
    <t>marge</t>
  </si>
  <si>
    <t>ORF</t>
  </si>
  <si>
    <t>Paulina Jankowska</t>
  </si>
  <si>
    <t>Anna Cyran</t>
  </si>
  <si>
    <t>Klaudiusz Kaziura</t>
  </si>
  <si>
    <t>Martin Podlasin</t>
  </si>
  <si>
    <t>Barbara Holubowska</t>
  </si>
  <si>
    <t>Kewin Skrzypczak</t>
  </si>
  <si>
    <t>Sandra Piksa</t>
  </si>
  <si>
    <t>Kamila Wajler</t>
  </si>
  <si>
    <t>Mathew Peixoto</t>
  </si>
  <si>
    <t>Arkadiusz Koralewski</t>
  </si>
  <si>
    <t>Elisabete Costa Vinhas</t>
  </si>
  <si>
    <t>David Pires Alves</t>
  </si>
  <si>
    <t>Juan Gracia Juarez</t>
  </si>
  <si>
    <t>Eindtotaal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</si>
</sst>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 &quot;€&quot;\ * #,##0.00_ ;_ &quot;€&quot;\ * \-#,##0.00_ ;_ &quot;€&quot;\ * &quot;-&quot;??_ ;_ @_ "/>
    <numFmt numFmtId="43" formatCode="_ * #,##0.00_ ;_ * \-#,##0.00_ ;_ * &quot;-&quot;??_ ;_ @_ "/>
    <numFmt numFmtId="164" formatCode="dd/mm/yyyy"/>
    <numFmt numFmtId="165" formatCode="#,##0.000"/>
    <numFmt numFmtId="166" formatCode="0.0000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b/>
      <sz val="10"/>
      <color rgb="FFFF0000"/>
      <name val="Aptos Narrow"/>
      <family val="2"/>
      <scheme val="minor"/>
    </font>
    <font>
      <b/>
      <sz val="10"/>
      <color rgb="FFFF0000"/>
      <name val="Arial"/>
      <family val="2"/>
    </font>
    <font>
      <b/>
      <sz val="10"/>
      <color indexed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6">
    <xf numFmtId="0" fontId="0" fillId="0" borderId="0" xfId="0"/>
    <xf numFmtId="0" fontId="2" fillId="2" borderId="1" xfId="0" applyFont="1" applyFill="1" applyBorder="1"/>
    <xf numFmtId="44" fontId="2" fillId="2" borderId="1" xfId="1" applyFont="1" applyFill="1" applyBorder="1"/>
    <xf numFmtId="44" fontId="0" fillId="0" borderId="0" xfId="1" applyFont="1"/>
    <xf numFmtId="14" fontId="0" fillId="0" borderId="0" xfId="0" applyNumberFormat="1"/>
    <xf numFmtId="44" fontId="2" fillId="0" borderId="0" xfId="1" applyFont="1"/>
    <xf numFmtId="0" fontId="3" fillId="0" borderId="0" xfId="0" applyFont="1"/>
    <xf numFmtId="0" fontId="4" fillId="0" borderId="0" xfId="0" applyFont="1"/>
    <xf numFmtId="9" fontId="5" fillId="0" borderId="0" xfId="2" applyFont="1" applyFill="1" applyBorder="1" applyAlignment="1">
      <alignment horizontal="left"/>
    </xf>
    <xf numFmtId="0" fontId="0" fillId="0" borderId="2" xfId="0" applyBorder="1"/>
    <xf numFmtId="44" fontId="0" fillId="0" borderId="0" xfId="0" applyNumberFormat="1"/>
    <xf numFmtId="164" fontId="0" fillId="0" borderId="0" xfId="0" applyNumberFormat="1"/>
    <xf numFmtId="43" fontId="0" fillId="0" borderId="0" xfId="0" applyNumberFormat="1"/>
    <xf numFmtId="165" fontId="0" fillId="0" borderId="0" xfId="0" applyNumberFormat="1"/>
    <xf numFmtId="44" fontId="6" fillId="0" borderId="0" xfId="0" applyNumberFormat="1" applyFont="1"/>
    <xf numFmtId="166" fontId="7" fillId="0" borderId="2" xfId="0" applyNumberFormat="1" applyFont="1" applyBorder="1" applyAlignment="1">
      <alignment horizontal="center"/>
    </xf>
  </cellXfs>
  <cellStyles count="3">
    <cellStyle name="Procent" xfId="2" builtinId="5"/>
    <cellStyle name="Standaard" xfId="0" builtinId="0"/>
    <cellStyle name="Valuta" xfId="1" builtinId="4"/>
  </cellStyles>
  <dxfs count="1">
    <dxf>
      <numFmt numFmtId="35" formatCode="_ * #,##0.00_ ;_ * \-#,##0.00_ ;_ * &quot;-&quot;??_ ;_ @_ 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Sjabloon%20Specificatie%20Padifood%202025%20.xlsm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nne Mook" refreshedDate="45999.621923842591" createdVersion="8" refreshedVersion="8" minRefreshableVersion="3" recordCount="811" xr:uid="{5B6E546A-AA37-4FAC-B4D2-BBB7C1ADE4C0}">
  <cacheSource type="worksheet">
    <worksheetSource ref="A1:K802" sheet="Export factuur" r:id="rId2"/>
  </cacheSource>
  <cacheFields count="11">
    <cacheField name="SAP ID" numFmtId="0">
      <sharedItems containsSemiMixedTypes="0" containsString="0" containsNumber="1" containsInteger="1" minValue="305518" maxValue="454524" count="110">
        <n v="305518"/>
        <n v="326167"/>
        <n v="349359"/>
        <n v="349489"/>
        <n v="351958"/>
        <n v="371131"/>
        <n v="374420"/>
        <n v="374526"/>
        <n v="374549"/>
        <n v="374717"/>
        <n v="374795"/>
        <n v="374801"/>
        <n v="374814"/>
        <n v="374816"/>
        <n v="374877"/>
        <n v="374909"/>
        <n v="374953"/>
        <n v="375350"/>
        <n v="379213"/>
        <n v="379214"/>
        <n v="380662"/>
        <n v="380663"/>
        <n v="382788"/>
        <n v="385157"/>
        <n v="385246"/>
        <n v="386399"/>
        <n v="399663"/>
        <n v="399664"/>
        <n v="400658"/>
        <n v="401068"/>
        <n v="401907"/>
        <n v="403842"/>
        <n v="406836"/>
        <n v="408973"/>
        <n v="410116"/>
        <n v="411494"/>
        <n v="411771"/>
        <n v="411940"/>
        <n v="413691"/>
        <n v="414172"/>
        <n v="414770"/>
        <n v="414835"/>
        <n v="414948"/>
        <n v="415220"/>
        <n v="415979"/>
        <n v="416114"/>
        <n v="416222"/>
        <n v="416718"/>
        <n v="420508"/>
        <n v="421063"/>
        <n v="421714"/>
        <n v="422226"/>
        <n v="422228"/>
        <n v="422725"/>
        <n v="423898"/>
        <n v="425133"/>
        <n v="425707"/>
        <n v="429524"/>
        <n v="429551"/>
        <n v="429552"/>
        <n v="429728"/>
        <n v="429969"/>
        <n v="433027"/>
        <n v="434591"/>
        <n v="436824"/>
        <n v="437474"/>
        <n v="437613"/>
        <n v="437659"/>
        <n v="438076"/>
        <n v="438201"/>
        <n v="439647"/>
        <n v="440480"/>
        <n v="440540"/>
        <n v="441215"/>
        <n v="441218"/>
        <n v="441264"/>
        <n v="441359"/>
        <n v="441763"/>
        <n v="442153"/>
        <n v="442415"/>
        <n v="442926"/>
        <n v="442927"/>
        <n v="443584"/>
        <n v="443620"/>
        <n v="443621"/>
        <n v="444404"/>
        <n v="444572"/>
        <n v="446563"/>
        <n v="446709"/>
        <n v="448519"/>
        <n v="448817"/>
        <n v="449344"/>
        <n v="449771"/>
        <n v="450962"/>
        <n v="451013"/>
        <n v="451234"/>
        <n v="451383"/>
        <n v="451815"/>
        <n v="452125"/>
        <n v="452150"/>
        <n v="452659"/>
        <n v="452927"/>
        <n v="452963"/>
        <n v="453079"/>
        <n v="453422"/>
        <n v="454075"/>
        <n v="454135"/>
        <n v="454283"/>
        <n v="454297"/>
        <n v="454524"/>
      </sharedItems>
    </cacheField>
    <cacheField name="Naam" numFmtId="0">
      <sharedItems count="110">
        <s v="Adrian Koson"/>
        <s v="Piotr Wach"/>
        <s v="Elzbieta Przybyszewska"/>
        <s v="Agnieszka Kosior"/>
        <s v="Paulina Jankowska"/>
        <s v="Jaroslaw Czajkowski"/>
        <s v="Agnieszka Cwioro"/>
        <s v="Bogumil Mlynarczyk"/>
        <s v="Beata Marczak"/>
        <s v="Patrycja Ogiela"/>
        <s v="Anna Cyran"/>
        <s v="Dawid Kutermak"/>
        <s v="Dariusz Glabien"/>
        <s v="Katarzyna Kutkiewicz"/>
        <s v="Iva Kupcikova"/>
        <s v="Krystyna Pasiali"/>
        <s v="Anna Gajewska"/>
        <s v="Andrzej Jankowski"/>
        <s v="Katarzyna Kaziura"/>
        <s v="Klaudiusz Kaziura"/>
        <s v="Renata Drabik"/>
        <s v="Jerzy Muc"/>
        <s v="Patrycja Mika"/>
        <s v="Patryk Jaworski"/>
        <s v="Anna Mikulska"/>
        <s v="Martin Podlasin"/>
        <s v="Tomasz Poplonski"/>
        <s v="Beata Baraniuk"/>
        <s v="Renata Przydatek"/>
        <s v="Barbara Holubowska"/>
        <s v="Ewa Koszny"/>
        <s v="Malgorzata Urbanowicz"/>
        <s v="Martin Drozdziel"/>
        <s v="Daniel Wilczak"/>
        <s v="Konrad Mogilnicki"/>
        <s v="Kewin Skrzypczak"/>
        <s v="Sandra Piksa"/>
        <s v="Maciej Wolanin"/>
        <s v="Piotr Bierczak"/>
        <s v="Przemyslaw Robakowski"/>
        <s v="Paulina Mankowska"/>
        <s v="Oliwia Milon"/>
        <s v="Grzegorz Dlugolecki"/>
        <s v="Kamila Wajler"/>
        <s v="Eden Colaco"/>
        <s v="Justyna Perczyk"/>
        <s v="Martina Kovacova"/>
        <s v="Stefan-Bogdan Cotofrea"/>
        <s v="Daniel Pikta"/>
        <s v="Richard Lenart"/>
        <s v="Magdalena Marek"/>
        <s v="David Babics"/>
        <s v="Nikola Solomonova"/>
        <s v="Wilson Marques"/>
        <s v="Pedro Costa"/>
        <s v="Mathew Peixoto"/>
        <s v="Tomas Slosiar"/>
        <s v="Damian Filipek"/>
        <s v="Dominik Kijak"/>
        <s v="Hanna Kijak"/>
        <s v="Daria Major"/>
        <s v="Grazyna Cieslak"/>
        <s v="Marta Madej"/>
        <s v="Malgorzata Pasieka"/>
        <s v="Damian Pyc"/>
        <s v="Slawomir Madry"/>
        <s v="Martynas Tranevicius"/>
        <s v="Gerda Kasileviciute"/>
        <s v="Arkadiusz Koralewski"/>
        <s v="Marcin Grucelski"/>
        <s v="Julia Kaziura"/>
        <s v="Sandra Gil"/>
        <s v="Audrius Augustinaitis"/>
        <s v="Elisabete Costa Vinhas"/>
        <s v="David Pires Alves"/>
        <s v="Wiktor Kaziura"/>
        <s v="Paolo Artini"/>
        <s v="Patrycja Muszczek"/>
        <s v="Vladimir Matiscik"/>
        <s v="Virgil Cristu"/>
        <s v="Kamil Karpinski"/>
        <s v="Wiktoria Mlot"/>
        <s v="Kamila Garbacz"/>
        <s v="Jakub Ustrzynski"/>
        <s v="Jagoda Domaradzka"/>
        <s v="Patryk Maka"/>
        <s v="Anna Sztabinska"/>
        <s v="Ioan Agafitei"/>
        <s v="Patryk Rydzewski"/>
        <s v="Oliwier Madry"/>
        <s v="Mateusz Kierzkowski"/>
        <s v="Marius Seciu"/>
        <s v="Gabriel Dalalau"/>
        <s v="Bernardeta Bienkowska"/>
        <s v="Magdalena Zmijewska"/>
        <s v="Andrei Obaciu"/>
        <s v="Marius Mladinovici"/>
        <s v="Marcel Bruzdzinski"/>
        <s v="Katarina Dekanova"/>
        <s v="Robert Cabla"/>
        <s v="Adrian Moldovan"/>
        <s v="Juan Gracia Juarez"/>
        <s v="Lukas Proschl"/>
        <s v="Denisa Radu"/>
        <s v="Kamil Michalik"/>
        <s v="Tomasz Mikiciuk"/>
        <s v="Dawid Jankowski"/>
        <s v="Ernesto Slepcik"/>
        <s v="Jakub Kristof"/>
        <s v="Maciej Lopusiewicz"/>
      </sharedItems>
    </cacheField>
    <cacheField name="Uurloon" numFmtId="44">
      <sharedItems containsSemiMixedTypes="0" containsString="0" containsNumber="1" minValue="15.89" maxValue="19.14" count="18">
        <n v="15.89"/>
        <n v="17.16"/>
        <n v="16.3"/>
        <n v="17.39"/>
        <n v="16.7"/>
        <n v="17.21"/>
        <n v="16.510000000000002"/>
        <n v="16.09"/>
        <n v="17.63"/>
        <n v="17.87"/>
        <n v="17.43"/>
        <n v="16.98"/>
        <n v="16.77"/>
        <n v="17.64"/>
        <n v="17.38"/>
        <n v="16.91"/>
        <n v="16.55"/>
        <n v="19.14"/>
      </sharedItems>
    </cacheField>
    <cacheField name="Uurloon zonder ATV" numFmtId="44">
      <sharedItems containsSemiMixedTypes="0" containsString="0" containsNumber="1" minValue="14.98" maxValue="18.04" count="18">
        <n v="14.98"/>
        <n v="16.170000000000002"/>
        <n v="15.36"/>
        <n v="16.39"/>
        <n v="15.74"/>
        <n v="16.22"/>
        <n v="15.56"/>
        <n v="15.17"/>
        <n v="16.61"/>
        <n v="16.84"/>
        <n v="16.420000000000002"/>
        <n v="16"/>
        <n v="15.8"/>
        <n v="16.62"/>
        <n v="16.38"/>
        <n v="15.94"/>
        <n v="15.59"/>
        <n v="18.04"/>
      </sharedItems>
    </cacheField>
    <cacheField name="Functie toeslag" numFmtId="44">
      <sharedItems containsSemiMixedTypes="0" containsString="0" containsNumber="1" containsInteger="1" minValue="0" maxValue="0" count="1">
        <n v="0"/>
      </sharedItems>
    </cacheField>
    <cacheField name="Wekentelling" numFmtId="0">
      <sharedItems containsSemiMixedTypes="0" containsString="0" containsNumber="1" containsInteger="1" minValue="1" maxValue="353" count="71">
        <n v="6"/>
        <n v="109"/>
        <n v="140"/>
        <n v="45"/>
        <n v="129"/>
        <n v="138"/>
        <n v="262"/>
        <n v="258"/>
        <n v="198"/>
        <n v="204"/>
        <n v="226"/>
        <n v="307"/>
        <n v="181"/>
        <n v="195"/>
        <n v="317"/>
        <n v="353"/>
        <n v="53"/>
        <n v="143"/>
        <n v="124"/>
        <n v="127"/>
        <n v="130"/>
        <n v="25"/>
        <n v="105"/>
        <n v="65"/>
        <n v="114"/>
        <n v="38"/>
        <n v="94"/>
        <n v="98"/>
        <n v="96"/>
        <n v="89"/>
        <n v="101"/>
        <n v="92"/>
        <n v="88"/>
        <n v="78"/>
        <n v="19"/>
        <n v="71"/>
        <n v="42"/>
        <n v="75"/>
        <n v="26"/>
        <n v="54"/>
        <n v="63"/>
        <n v="69"/>
        <n v="68"/>
        <n v="64"/>
        <n v="60"/>
        <n v="40"/>
        <n v="48"/>
        <n v="43"/>
        <n v="21"/>
        <n v="51"/>
        <n v="9"/>
        <n v="35"/>
        <n v="244"/>
        <n v="243"/>
        <n v="34"/>
        <n v="37"/>
        <n v="30"/>
        <n v="28"/>
        <n v="27"/>
        <n v="113"/>
        <n v="24"/>
        <n v="23"/>
        <n v="17"/>
        <n v="12"/>
        <n v="11"/>
        <n v="10"/>
        <n v="2"/>
        <n v="5"/>
        <n v="1"/>
        <n v="4"/>
        <n v="3"/>
      </sharedItems>
    </cacheField>
    <cacheField name="Fase tarief" numFmtId="0">
      <sharedItems count="3">
        <s v="A"/>
        <s v="B"/>
        <s v="C"/>
      </sharedItems>
    </cacheField>
    <cacheField name="Datum" numFmtId="14">
      <sharedItems containsSemiMixedTypes="0" containsNonDate="0" containsDate="1" containsString="0" minDate="2025-11-24T00:00:00" maxDate="2025-11-30T00:00:00" count="6">
        <d v="2025-11-24T00:00:00"/>
        <d v="2025-11-25T00:00:00"/>
        <d v="2025-11-26T00:00:00"/>
        <d v="2025-11-27T00:00:00"/>
        <d v="2025-11-28T00:00:00"/>
        <d v="2025-11-29T00:00:00"/>
      </sharedItems>
    </cacheField>
    <cacheField name="Code toeslag" numFmtId="0">
      <sharedItems count="6">
        <s v="Norm uren Dag"/>
        <s v="T135 Dag"/>
        <s v="OW140 Week"/>
        <s v="T133 Dag"/>
        <s v="OW180 Dag"/>
        <s v="OW200 Dag"/>
      </sharedItems>
    </cacheField>
    <cacheField name="Totaal uren" numFmtId="0">
      <sharedItems containsSemiMixedTypes="0" containsString="0" containsNumber="1" minValue="0.25" maxValue="10.5"/>
    </cacheField>
    <cacheField name="Subtotaal" numFmtId="44">
      <sharedItems containsSemiMixedTypes="0" containsString="0" containsNumber="1" minValue="7.11" maxValue="317.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11">
  <r>
    <x v="0"/>
    <x v="0"/>
    <x v="0"/>
    <x v="0"/>
    <x v="0"/>
    <x v="0"/>
    <x v="0"/>
    <x v="0"/>
    <x v="0"/>
    <n v="8"/>
    <n v="240.32"/>
  </r>
  <r>
    <x v="0"/>
    <x v="0"/>
    <x v="0"/>
    <x v="0"/>
    <x v="0"/>
    <x v="0"/>
    <x v="0"/>
    <x v="1"/>
    <x v="0"/>
    <n v="8"/>
    <n v="240.32"/>
  </r>
  <r>
    <x v="0"/>
    <x v="0"/>
    <x v="0"/>
    <x v="0"/>
    <x v="0"/>
    <x v="0"/>
    <x v="0"/>
    <x v="2"/>
    <x v="0"/>
    <n v="8"/>
    <n v="240.32"/>
  </r>
  <r>
    <x v="0"/>
    <x v="0"/>
    <x v="0"/>
    <x v="0"/>
    <x v="0"/>
    <x v="0"/>
    <x v="0"/>
    <x v="3"/>
    <x v="0"/>
    <n v="8"/>
    <n v="240.32"/>
  </r>
  <r>
    <x v="0"/>
    <x v="0"/>
    <x v="0"/>
    <x v="0"/>
    <x v="0"/>
    <x v="0"/>
    <x v="0"/>
    <x v="4"/>
    <x v="0"/>
    <n v="8"/>
    <n v="240.32"/>
  </r>
  <r>
    <x v="1"/>
    <x v="1"/>
    <x v="1"/>
    <x v="1"/>
    <x v="0"/>
    <x v="1"/>
    <x v="1"/>
    <x v="0"/>
    <x v="0"/>
    <n v="7"/>
    <n v="225.96"/>
  </r>
  <r>
    <x v="1"/>
    <x v="1"/>
    <x v="1"/>
    <x v="1"/>
    <x v="0"/>
    <x v="1"/>
    <x v="1"/>
    <x v="0"/>
    <x v="1"/>
    <n v="1"/>
    <n v="41.61"/>
  </r>
  <r>
    <x v="1"/>
    <x v="1"/>
    <x v="1"/>
    <x v="1"/>
    <x v="0"/>
    <x v="1"/>
    <x v="1"/>
    <x v="1"/>
    <x v="0"/>
    <n v="7"/>
    <n v="225.96"/>
  </r>
  <r>
    <x v="1"/>
    <x v="1"/>
    <x v="1"/>
    <x v="1"/>
    <x v="0"/>
    <x v="1"/>
    <x v="1"/>
    <x v="1"/>
    <x v="1"/>
    <n v="1"/>
    <n v="41.61"/>
  </r>
  <r>
    <x v="1"/>
    <x v="1"/>
    <x v="1"/>
    <x v="1"/>
    <x v="0"/>
    <x v="1"/>
    <x v="1"/>
    <x v="2"/>
    <x v="0"/>
    <n v="6.5"/>
    <n v="209.82"/>
  </r>
  <r>
    <x v="1"/>
    <x v="1"/>
    <x v="1"/>
    <x v="1"/>
    <x v="0"/>
    <x v="1"/>
    <x v="1"/>
    <x v="2"/>
    <x v="1"/>
    <n v="1"/>
    <n v="41.61"/>
  </r>
  <r>
    <x v="1"/>
    <x v="1"/>
    <x v="1"/>
    <x v="1"/>
    <x v="0"/>
    <x v="1"/>
    <x v="1"/>
    <x v="2"/>
    <x v="2"/>
    <n v="0.5"/>
    <n v="15.16"/>
  </r>
  <r>
    <x v="1"/>
    <x v="1"/>
    <x v="1"/>
    <x v="1"/>
    <x v="0"/>
    <x v="1"/>
    <x v="1"/>
    <x v="3"/>
    <x v="0"/>
    <n v="7.5"/>
    <n v="242.1"/>
  </r>
  <r>
    <x v="1"/>
    <x v="1"/>
    <x v="1"/>
    <x v="1"/>
    <x v="0"/>
    <x v="1"/>
    <x v="1"/>
    <x v="3"/>
    <x v="1"/>
    <n v="1"/>
    <n v="41.61"/>
  </r>
  <r>
    <x v="1"/>
    <x v="1"/>
    <x v="1"/>
    <x v="1"/>
    <x v="0"/>
    <x v="1"/>
    <x v="1"/>
    <x v="4"/>
    <x v="0"/>
    <n v="7"/>
    <n v="225.96"/>
  </r>
  <r>
    <x v="1"/>
    <x v="1"/>
    <x v="1"/>
    <x v="1"/>
    <x v="0"/>
    <x v="1"/>
    <x v="1"/>
    <x v="4"/>
    <x v="1"/>
    <n v="1"/>
    <n v="41.61"/>
  </r>
  <r>
    <x v="2"/>
    <x v="2"/>
    <x v="2"/>
    <x v="2"/>
    <x v="0"/>
    <x v="2"/>
    <x v="1"/>
    <x v="0"/>
    <x v="0"/>
    <n v="8"/>
    <n v="246.48"/>
  </r>
  <r>
    <x v="2"/>
    <x v="2"/>
    <x v="2"/>
    <x v="2"/>
    <x v="0"/>
    <x v="2"/>
    <x v="1"/>
    <x v="1"/>
    <x v="0"/>
    <n v="8"/>
    <n v="246.48"/>
  </r>
  <r>
    <x v="2"/>
    <x v="2"/>
    <x v="2"/>
    <x v="2"/>
    <x v="0"/>
    <x v="2"/>
    <x v="1"/>
    <x v="2"/>
    <x v="0"/>
    <n v="8"/>
    <n v="246.48"/>
  </r>
  <r>
    <x v="2"/>
    <x v="2"/>
    <x v="2"/>
    <x v="2"/>
    <x v="0"/>
    <x v="2"/>
    <x v="1"/>
    <x v="3"/>
    <x v="0"/>
    <n v="8"/>
    <n v="246.48"/>
  </r>
  <r>
    <x v="2"/>
    <x v="2"/>
    <x v="2"/>
    <x v="2"/>
    <x v="0"/>
    <x v="2"/>
    <x v="1"/>
    <x v="4"/>
    <x v="0"/>
    <n v="8"/>
    <n v="246.48"/>
  </r>
  <r>
    <x v="3"/>
    <x v="3"/>
    <x v="0"/>
    <x v="0"/>
    <x v="0"/>
    <x v="3"/>
    <x v="0"/>
    <x v="0"/>
    <x v="0"/>
    <n v="8"/>
    <n v="240.32"/>
  </r>
  <r>
    <x v="3"/>
    <x v="3"/>
    <x v="0"/>
    <x v="0"/>
    <x v="0"/>
    <x v="3"/>
    <x v="0"/>
    <x v="1"/>
    <x v="0"/>
    <n v="7.5"/>
    <n v="225.3"/>
  </r>
  <r>
    <x v="3"/>
    <x v="3"/>
    <x v="0"/>
    <x v="0"/>
    <x v="0"/>
    <x v="3"/>
    <x v="0"/>
    <x v="2"/>
    <x v="0"/>
    <n v="9"/>
    <n v="270.36"/>
  </r>
  <r>
    <x v="3"/>
    <x v="3"/>
    <x v="0"/>
    <x v="0"/>
    <x v="0"/>
    <x v="3"/>
    <x v="0"/>
    <x v="3"/>
    <x v="0"/>
    <n v="8"/>
    <n v="240.32"/>
  </r>
  <r>
    <x v="3"/>
    <x v="3"/>
    <x v="0"/>
    <x v="0"/>
    <x v="0"/>
    <x v="3"/>
    <x v="0"/>
    <x v="4"/>
    <x v="0"/>
    <n v="6.5"/>
    <n v="195.26"/>
  </r>
  <r>
    <x v="4"/>
    <x v="4"/>
    <x v="2"/>
    <x v="2"/>
    <x v="0"/>
    <x v="4"/>
    <x v="1"/>
    <x v="0"/>
    <x v="0"/>
    <n v="8"/>
    <n v="246.48"/>
  </r>
  <r>
    <x v="4"/>
    <x v="4"/>
    <x v="2"/>
    <x v="2"/>
    <x v="0"/>
    <x v="4"/>
    <x v="1"/>
    <x v="1"/>
    <x v="0"/>
    <n v="7.75"/>
    <n v="238.78"/>
  </r>
  <r>
    <x v="4"/>
    <x v="4"/>
    <x v="2"/>
    <x v="2"/>
    <x v="0"/>
    <x v="4"/>
    <x v="1"/>
    <x v="2"/>
    <x v="0"/>
    <n v="5.25"/>
    <n v="161.75"/>
  </r>
  <r>
    <x v="4"/>
    <x v="4"/>
    <x v="2"/>
    <x v="2"/>
    <x v="0"/>
    <x v="4"/>
    <x v="1"/>
    <x v="3"/>
    <x v="0"/>
    <n v="8"/>
    <n v="246.48"/>
  </r>
  <r>
    <x v="4"/>
    <x v="4"/>
    <x v="2"/>
    <x v="2"/>
    <x v="0"/>
    <x v="4"/>
    <x v="1"/>
    <x v="4"/>
    <x v="0"/>
    <n v="6.5"/>
    <n v="200.27"/>
  </r>
  <r>
    <x v="5"/>
    <x v="5"/>
    <x v="3"/>
    <x v="3"/>
    <x v="0"/>
    <x v="5"/>
    <x v="1"/>
    <x v="0"/>
    <x v="0"/>
    <n v="3.5"/>
    <n v="114.35"/>
  </r>
  <r>
    <x v="5"/>
    <x v="5"/>
    <x v="3"/>
    <x v="3"/>
    <x v="0"/>
    <x v="5"/>
    <x v="1"/>
    <x v="0"/>
    <x v="3"/>
    <n v="4.5"/>
    <n v="187.11"/>
  </r>
  <r>
    <x v="5"/>
    <x v="5"/>
    <x v="3"/>
    <x v="3"/>
    <x v="0"/>
    <x v="5"/>
    <x v="1"/>
    <x v="1"/>
    <x v="0"/>
    <n v="3.75"/>
    <n v="122.51"/>
  </r>
  <r>
    <x v="5"/>
    <x v="5"/>
    <x v="3"/>
    <x v="3"/>
    <x v="0"/>
    <x v="5"/>
    <x v="1"/>
    <x v="1"/>
    <x v="3"/>
    <n v="4.5"/>
    <n v="187.11"/>
  </r>
  <r>
    <x v="5"/>
    <x v="5"/>
    <x v="3"/>
    <x v="3"/>
    <x v="0"/>
    <x v="5"/>
    <x v="1"/>
    <x v="2"/>
    <x v="0"/>
    <n v="3.25"/>
    <n v="106.18"/>
  </r>
  <r>
    <x v="5"/>
    <x v="5"/>
    <x v="3"/>
    <x v="3"/>
    <x v="0"/>
    <x v="5"/>
    <x v="1"/>
    <x v="2"/>
    <x v="3"/>
    <n v="4.25"/>
    <n v="176.72"/>
  </r>
  <r>
    <x v="5"/>
    <x v="5"/>
    <x v="3"/>
    <x v="3"/>
    <x v="0"/>
    <x v="5"/>
    <x v="1"/>
    <x v="2"/>
    <x v="2"/>
    <n v="0.25"/>
    <n v="7.68"/>
  </r>
  <r>
    <x v="5"/>
    <x v="5"/>
    <x v="3"/>
    <x v="3"/>
    <x v="0"/>
    <x v="5"/>
    <x v="1"/>
    <x v="3"/>
    <x v="0"/>
    <n v="3.75"/>
    <n v="122.51"/>
  </r>
  <r>
    <x v="5"/>
    <x v="5"/>
    <x v="3"/>
    <x v="3"/>
    <x v="0"/>
    <x v="5"/>
    <x v="1"/>
    <x v="3"/>
    <x v="3"/>
    <n v="4.5"/>
    <n v="187.11"/>
  </r>
  <r>
    <x v="5"/>
    <x v="5"/>
    <x v="3"/>
    <x v="3"/>
    <x v="0"/>
    <x v="5"/>
    <x v="1"/>
    <x v="4"/>
    <x v="0"/>
    <n v="3.75"/>
    <n v="122.51"/>
  </r>
  <r>
    <x v="5"/>
    <x v="5"/>
    <x v="3"/>
    <x v="3"/>
    <x v="0"/>
    <x v="5"/>
    <x v="1"/>
    <x v="4"/>
    <x v="3"/>
    <n v="4.25"/>
    <n v="176.72"/>
  </r>
  <r>
    <x v="6"/>
    <x v="6"/>
    <x v="4"/>
    <x v="4"/>
    <x v="0"/>
    <x v="6"/>
    <x v="2"/>
    <x v="0"/>
    <x v="0"/>
    <n v="7"/>
    <n v="213.78"/>
  </r>
  <r>
    <x v="6"/>
    <x v="6"/>
    <x v="4"/>
    <x v="4"/>
    <x v="0"/>
    <x v="6"/>
    <x v="2"/>
    <x v="1"/>
    <x v="0"/>
    <n v="8"/>
    <n v="244.32"/>
  </r>
  <r>
    <x v="6"/>
    <x v="6"/>
    <x v="4"/>
    <x v="4"/>
    <x v="0"/>
    <x v="6"/>
    <x v="2"/>
    <x v="2"/>
    <x v="0"/>
    <n v="8"/>
    <n v="244.32"/>
  </r>
  <r>
    <x v="6"/>
    <x v="6"/>
    <x v="4"/>
    <x v="4"/>
    <x v="0"/>
    <x v="6"/>
    <x v="2"/>
    <x v="3"/>
    <x v="0"/>
    <n v="8.25"/>
    <n v="251.96"/>
  </r>
  <r>
    <x v="6"/>
    <x v="6"/>
    <x v="4"/>
    <x v="4"/>
    <x v="0"/>
    <x v="6"/>
    <x v="2"/>
    <x v="4"/>
    <x v="0"/>
    <n v="8.5"/>
    <n v="259.58999999999997"/>
  </r>
  <r>
    <x v="7"/>
    <x v="7"/>
    <x v="5"/>
    <x v="5"/>
    <x v="0"/>
    <x v="7"/>
    <x v="2"/>
    <x v="0"/>
    <x v="0"/>
    <n v="5.75"/>
    <n v="180.44"/>
  </r>
  <r>
    <x v="7"/>
    <x v="7"/>
    <x v="5"/>
    <x v="5"/>
    <x v="0"/>
    <x v="7"/>
    <x v="2"/>
    <x v="1"/>
    <x v="0"/>
    <n v="8.25"/>
    <n v="258.89"/>
  </r>
  <r>
    <x v="7"/>
    <x v="7"/>
    <x v="5"/>
    <x v="5"/>
    <x v="0"/>
    <x v="7"/>
    <x v="2"/>
    <x v="2"/>
    <x v="0"/>
    <n v="8"/>
    <n v="251.04"/>
  </r>
  <r>
    <x v="7"/>
    <x v="7"/>
    <x v="5"/>
    <x v="5"/>
    <x v="0"/>
    <x v="7"/>
    <x v="2"/>
    <x v="3"/>
    <x v="0"/>
    <n v="8"/>
    <n v="251.04"/>
  </r>
  <r>
    <x v="7"/>
    <x v="7"/>
    <x v="5"/>
    <x v="5"/>
    <x v="0"/>
    <x v="7"/>
    <x v="2"/>
    <x v="4"/>
    <x v="0"/>
    <n v="8"/>
    <n v="251.04"/>
  </r>
  <r>
    <x v="8"/>
    <x v="8"/>
    <x v="6"/>
    <x v="6"/>
    <x v="0"/>
    <x v="8"/>
    <x v="1"/>
    <x v="0"/>
    <x v="0"/>
    <n v="8.5"/>
    <n v="264.95"/>
  </r>
  <r>
    <x v="8"/>
    <x v="8"/>
    <x v="6"/>
    <x v="6"/>
    <x v="0"/>
    <x v="8"/>
    <x v="1"/>
    <x v="1"/>
    <x v="0"/>
    <n v="8.5"/>
    <n v="264.95"/>
  </r>
  <r>
    <x v="8"/>
    <x v="8"/>
    <x v="6"/>
    <x v="6"/>
    <x v="0"/>
    <x v="8"/>
    <x v="1"/>
    <x v="3"/>
    <x v="0"/>
    <n v="8.5"/>
    <n v="264.95"/>
  </r>
  <r>
    <x v="8"/>
    <x v="8"/>
    <x v="6"/>
    <x v="6"/>
    <x v="0"/>
    <x v="8"/>
    <x v="1"/>
    <x v="4"/>
    <x v="0"/>
    <n v="8"/>
    <n v="249.36"/>
  </r>
  <r>
    <x v="9"/>
    <x v="9"/>
    <x v="6"/>
    <x v="6"/>
    <x v="0"/>
    <x v="9"/>
    <x v="1"/>
    <x v="0"/>
    <x v="0"/>
    <n v="3"/>
    <n v="93.51"/>
  </r>
  <r>
    <x v="9"/>
    <x v="9"/>
    <x v="6"/>
    <x v="6"/>
    <x v="0"/>
    <x v="9"/>
    <x v="1"/>
    <x v="0"/>
    <x v="3"/>
    <n v="5.25"/>
    <n v="208.06"/>
  </r>
  <r>
    <x v="9"/>
    <x v="9"/>
    <x v="6"/>
    <x v="6"/>
    <x v="0"/>
    <x v="9"/>
    <x v="1"/>
    <x v="1"/>
    <x v="0"/>
    <n v="3"/>
    <n v="93.51"/>
  </r>
  <r>
    <x v="9"/>
    <x v="9"/>
    <x v="6"/>
    <x v="6"/>
    <x v="0"/>
    <x v="9"/>
    <x v="1"/>
    <x v="1"/>
    <x v="3"/>
    <n v="5"/>
    <n v="198.15"/>
  </r>
  <r>
    <x v="9"/>
    <x v="9"/>
    <x v="6"/>
    <x v="6"/>
    <x v="0"/>
    <x v="9"/>
    <x v="1"/>
    <x v="2"/>
    <x v="0"/>
    <n v="3"/>
    <n v="93.51"/>
  </r>
  <r>
    <x v="9"/>
    <x v="9"/>
    <x v="6"/>
    <x v="6"/>
    <x v="0"/>
    <x v="9"/>
    <x v="1"/>
    <x v="2"/>
    <x v="3"/>
    <n v="4.75"/>
    <n v="188.24"/>
  </r>
  <r>
    <x v="9"/>
    <x v="9"/>
    <x v="6"/>
    <x v="6"/>
    <x v="0"/>
    <x v="9"/>
    <x v="1"/>
    <x v="3"/>
    <x v="0"/>
    <n v="3"/>
    <n v="93.51"/>
  </r>
  <r>
    <x v="9"/>
    <x v="9"/>
    <x v="6"/>
    <x v="6"/>
    <x v="0"/>
    <x v="9"/>
    <x v="1"/>
    <x v="3"/>
    <x v="3"/>
    <n v="5"/>
    <n v="198.15"/>
  </r>
  <r>
    <x v="9"/>
    <x v="9"/>
    <x v="6"/>
    <x v="6"/>
    <x v="0"/>
    <x v="9"/>
    <x v="1"/>
    <x v="4"/>
    <x v="0"/>
    <n v="3"/>
    <n v="93.51"/>
  </r>
  <r>
    <x v="9"/>
    <x v="9"/>
    <x v="6"/>
    <x v="6"/>
    <x v="0"/>
    <x v="9"/>
    <x v="1"/>
    <x v="4"/>
    <x v="3"/>
    <n v="5"/>
    <n v="198.15"/>
  </r>
  <r>
    <x v="10"/>
    <x v="10"/>
    <x v="7"/>
    <x v="7"/>
    <x v="0"/>
    <x v="1"/>
    <x v="1"/>
    <x v="0"/>
    <x v="0"/>
    <n v="2.25"/>
    <n v="68.510000000000005"/>
  </r>
  <r>
    <x v="10"/>
    <x v="10"/>
    <x v="7"/>
    <x v="7"/>
    <x v="0"/>
    <x v="1"/>
    <x v="1"/>
    <x v="0"/>
    <x v="3"/>
    <n v="5.25"/>
    <n v="203.12"/>
  </r>
  <r>
    <x v="10"/>
    <x v="10"/>
    <x v="7"/>
    <x v="7"/>
    <x v="0"/>
    <x v="1"/>
    <x v="1"/>
    <x v="1"/>
    <x v="0"/>
    <n v="2.5"/>
    <n v="76.13"/>
  </r>
  <r>
    <x v="10"/>
    <x v="10"/>
    <x v="7"/>
    <x v="7"/>
    <x v="0"/>
    <x v="1"/>
    <x v="1"/>
    <x v="1"/>
    <x v="3"/>
    <n v="5.25"/>
    <n v="203.12"/>
  </r>
  <r>
    <x v="10"/>
    <x v="10"/>
    <x v="7"/>
    <x v="7"/>
    <x v="0"/>
    <x v="1"/>
    <x v="1"/>
    <x v="2"/>
    <x v="0"/>
    <n v="2.25"/>
    <n v="68.510000000000005"/>
  </r>
  <r>
    <x v="10"/>
    <x v="10"/>
    <x v="7"/>
    <x v="7"/>
    <x v="0"/>
    <x v="1"/>
    <x v="1"/>
    <x v="2"/>
    <x v="3"/>
    <n v="5"/>
    <n v="193.45"/>
  </r>
  <r>
    <x v="10"/>
    <x v="10"/>
    <x v="7"/>
    <x v="7"/>
    <x v="0"/>
    <x v="1"/>
    <x v="1"/>
    <x v="3"/>
    <x v="0"/>
    <n v="2.25"/>
    <n v="68.510000000000005"/>
  </r>
  <r>
    <x v="10"/>
    <x v="10"/>
    <x v="7"/>
    <x v="7"/>
    <x v="0"/>
    <x v="1"/>
    <x v="1"/>
    <x v="3"/>
    <x v="3"/>
    <n v="5.25"/>
    <n v="203.12"/>
  </r>
  <r>
    <x v="10"/>
    <x v="10"/>
    <x v="7"/>
    <x v="7"/>
    <x v="0"/>
    <x v="1"/>
    <x v="1"/>
    <x v="4"/>
    <x v="0"/>
    <n v="2.5"/>
    <n v="76.13"/>
  </r>
  <r>
    <x v="10"/>
    <x v="10"/>
    <x v="7"/>
    <x v="7"/>
    <x v="0"/>
    <x v="1"/>
    <x v="1"/>
    <x v="4"/>
    <x v="3"/>
    <n v="3.75"/>
    <n v="145.09"/>
  </r>
  <r>
    <x v="11"/>
    <x v="11"/>
    <x v="8"/>
    <x v="8"/>
    <x v="0"/>
    <x v="10"/>
    <x v="2"/>
    <x v="0"/>
    <x v="0"/>
    <n v="2.5"/>
    <n v="80.180000000000007"/>
  </r>
  <r>
    <x v="11"/>
    <x v="11"/>
    <x v="8"/>
    <x v="8"/>
    <x v="0"/>
    <x v="10"/>
    <x v="2"/>
    <x v="0"/>
    <x v="3"/>
    <n v="5.5"/>
    <n v="224.46"/>
  </r>
  <r>
    <x v="11"/>
    <x v="11"/>
    <x v="8"/>
    <x v="8"/>
    <x v="0"/>
    <x v="10"/>
    <x v="2"/>
    <x v="0"/>
    <x v="1"/>
    <n v="0.5"/>
    <n v="20.67"/>
  </r>
  <r>
    <x v="11"/>
    <x v="11"/>
    <x v="8"/>
    <x v="8"/>
    <x v="0"/>
    <x v="10"/>
    <x v="2"/>
    <x v="1"/>
    <x v="0"/>
    <n v="2.5"/>
    <n v="80.180000000000007"/>
  </r>
  <r>
    <x v="11"/>
    <x v="11"/>
    <x v="8"/>
    <x v="8"/>
    <x v="0"/>
    <x v="10"/>
    <x v="2"/>
    <x v="1"/>
    <x v="3"/>
    <n v="5.5"/>
    <n v="224.46"/>
  </r>
  <r>
    <x v="11"/>
    <x v="11"/>
    <x v="8"/>
    <x v="8"/>
    <x v="0"/>
    <x v="10"/>
    <x v="2"/>
    <x v="1"/>
    <x v="1"/>
    <n v="1"/>
    <n v="41.34"/>
  </r>
  <r>
    <x v="11"/>
    <x v="11"/>
    <x v="8"/>
    <x v="8"/>
    <x v="0"/>
    <x v="10"/>
    <x v="2"/>
    <x v="3"/>
    <x v="0"/>
    <n v="2.5"/>
    <n v="80.180000000000007"/>
  </r>
  <r>
    <x v="11"/>
    <x v="11"/>
    <x v="8"/>
    <x v="8"/>
    <x v="0"/>
    <x v="10"/>
    <x v="2"/>
    <x v="3"/>
    <x v="3"/>
    <n v="5.5"/>
    <n v="224.46"/>
  </r>
  <r>
    <x v="11"/>
    <x v="11"/>
    <x v="8"/>
    <x v="8"/>
    <x v="0"/>
    <x v="10"/>
    <x v="2"/>
    <x v="3"/>
    <x v="1"/>
    <n v="0.5"/>
    <n v="20.67"/>
  </r>
  <r>
    <x v="11"/>
    <x v="11"/>
    <x v="8"/>
    <x v="8"/>
    <x v="0"/>
    <x v="10"/>
    <x v="2"/>
    <x v="4"/>
    <x v="0"/>
    <n v="2.5"/>
    <n v="80.180000000000007"/>
  </r>
  <r>
    <x v="11"/>
    <x v="11"/>
    <x v="8"/>
    <x v="8"/>
    <x v="0"/>
    <x v="10"/>
    <x v="2"/>
    <x v="4"/>
    <x v="3"/>
    <n v="5.5"/>
    <n v="224.46"/>
  </r>
  <r>
    <x v="11"/>
    <x v="11"/>
    <x v="8"/>
    <x v="8"/>
    <x v="0"/>
    <x v="10"/>
    <x v="2"/>
    <x v="4"/>
    <x v="1"/>
    <n v="0.25"/>
    <n v="10.34"/>
  </r>
  <r>
    <x v="12"/>
    <x v="12"/>
    <x v="9"/>
    <x v="9"/>
    <x v="0"/>
    <x v="11"/>
    <x v="2"/>
    <x v="0"/>
    <x v="0"/>
    <n v="6.5"/>
    <n v="211.06"/>
  </r>
  <r>
    <x v="12"/>
    <x v="12"/>
    <x v="9"/>
    <x v="9"/>
    <x v="0"/>
    <x v="11"/>
    <x v="2"/>
    <x v="0"/>
    <x v="1"/>
    <n v="0.75"/>
    <n v="31.4"/>
  </r>
  <r>
    <x v="12"/>
    <x v="12"/>
    <x v="9"/>
    <x v="9"/>
    <x v="0"/>
    <x v="11"/>
    <x v="2"/>
    <x v="1"/>
    <x v="0"/>
    <n v="6.25"/>
    <n v="202.94"/>
  </r>
  <r>
    <x v="12"/>
    <x v="12"/>
    <x v="9"/>
    <x v="9"/>
    <x v="0"/>
    <x v="11"/>
    <x v="2"/>
    <x v="1"/>
    <x v="1"/>
    <n v="1.75"/>
    <n v="73.260000000000005"/>
  </r>
  <r>
    <x v="12"/>
    <x v="12"/>
    <x v="9"/>
    <x v="9"/>
    <x v="0"/>
    <x v="11"/>
    <x v="2"/>
    <x v="2"/>
    <x v="0"/>
    <n v="5.25"/>
    <n v="170.47"/>
  </r>
  <r>
    <x v="12"/>
    <x v="12"/>
    <x v="9"/>
    <x v="9"/>
    <x v="0"/>
    <x v="11"/>
    <x v="2"/>
    <x v="2"/>
    <x v="1"/>
    <n v="2.5"/>
    <n v="104.65"/>
  </r>
  <r>
    <x v="12"/>
    <x v="12"/>
    <x v="9"/>
    <x v="9"/>
    <x v="0"/>
    <x v="11"/>
    <x v="2"/>
    <x v="2"/>
    <x v="2"/>
    <n v="0.75"/>
    <n v="22.81"/>
  </r>
  <r>
    <x v="12"/>
    <x v="12"/>
    <x v="9"/>
    <x v="9"/>
    <x v="0"/>
    <x v="11"/>
    <x v="2"/>
    <x v="3"/>
    <x v="0"/>
    <n v="6"/>
    <n v="194.82"/>
  </r>
  <r>
    <x v="12"/>
    <x v="12"/>
    <x v="9"/>
    <x v="9"/>
    <x v="0"/>
    <x v="11"/>
    <x v="2"/>
    <x v="3"/>
    <x v="1"/>
    <n v="2.5"/>
    <n v="104.65"/>
  </r>
  <r>
    <x v="12"/>
    <x v="12"/>
    <x v="9"/>
    <x v="9"/>
    <x v="0"/>
    <x v="11"/>
    <x v="2"/>
    <x v="4"/>
    <x v="0"/>
    <n v="6"/>
    <n v="194.82"/>
  </r>
  <r>
    <x v="12"/>
    <x v="12"/>
    <x v="9"/>
    <x v="9"/>
    <x v="0"/>
    <x v="11"/>
    <x v="2"/>
    <x v="4"/>
    <x v="1"/>
    <n v="2.5"/>
    <n v="104.65"/>
  </r>
  <r>
    <x v="13"/>
    <x v="13"/>
    <x v="6"/>
    <x v="6"/>
    <x v="0"/>
    <x v="12"/>
    <x v="1"/>
    <x v="0"/>
    <x v="0"/>
    <n v="8"/>
    <n v="249.36"/>
  </r>
  <r>
    <x v="13"/>
    <x v="13"/>
    <x v="6"/>
    <x v="6"/>
    <x v="0"/>
    <x v="12"/>
    <x v="1"/>
    <x v="1"/>
    <x v="0"/>
    <n v="8"/>
    <n v="249.36"/>
  </r>
  <r>
    <x v="13"/>
    <x v="13"/>
    <x v="6"/>
    <x v="6"/>
    <x v="0"/>
    <x v="12"/>
    <x v="1"/>
    <x v="2"/>
    <x v="0"/>
    <n v="8"/>
    <n v="249.36"/>
  </r>
  <r>
    <x v="13"/>
    <x v="13"/>
    <x v="6"/>
    <x v="6"/>
    <x v="0"/>
    <x v="12"/>
    <x v="1"/>
    <x v="3"/>
    <x v="0"/>
    <n v="8"/>
    <n v="249.36"/>
  </r>
  <r>
    <x v="13"/>
    <x v="13"/>
    <x v="6"/>
    <x v="6"/>
    <x v="0"/>
    <x v="12"/>
    <x v="1"/>
    <x v="4"/>
    <x v="0"/>
    <n v="7.5"/>
    <n v="233.78"/>
  </r>
  <r>
    <x v="14"/>
    <x v="14"/>
    <x v="6"/>
    <x v="6"/>
    <x v="0"/>
    <x v="13"/>
    <x v="1"/>
    <x v="0"/>
    <x v="0"/>
    <n v="1"/>
    <n v="31.17"/>
  </r>
  <r>
    <x v="14"/>
    <x v="14"/>
    <x v="6"/>
    <x v="6"/>
    <x v="0"/>
    <x v="13"/>
    <x v="1"/>
    <x v="0"/>
    <x v="3"/>
    <n v="5"/>
    <n v="198.15"/>
  </r>
  <r>
    <x v="14"/>
    <x v="14"/>
    <x v="6"/>
    <x v="6"/>
    <x v="0"/>
    <x v="13"/>
    <x v="1"/>
    <x v="1"/>
    <x v="0"/>
    <n v="1"/>
    <n v="31.17"/>
  </r>
  <r>
    <x v="14"/>
    <x v="14"/>
    <x v="6"/>
    <x v="6"/>
    <x v="0"/>
    <x v="13"/>
    <x v="1"/>
    <x v="1"/>
    <x v="3"/>
    <n v="5"/>
    <n v="198.15"/>
  </r>
  <r>
    <x v="14"/>
    <x v="14"/>
    <x v="6"/>
    <x v="6"/>
    <x v="0"/>
    <x v="13"/>
    <x v="1"/>
    <x v="2"/>
    <x v="0"/>
    <n v="1"/>
    <n v="31.17"/>
  </r>
  <r>
    <x v="14"/>
    <x v="14"/>
    <x v="6"/>
    <x v="6"/>
    <x v="0"/>
    <x v="13"/>
    <x v="1"/>
    <x v="2"/>
    <x v="3"/>
    <n v="5"/>
    <n v="198.15"/>
  </r>
  <r>
    <x v="14"/>
    <x v="14"/>
    <x v="6"/>
    <x v="6"/>
    <x v="0"/>
    <x v="13"/>
    <x v="1"/>
    <x v="3"/>
    <x v="0"/>
    <n v="1"/>
    <n v="31.17"/>
  </r>
  <r>
    <x v="14"/>
    <x v="14"/>
    <x v="6"/>
    <x v="6"/>
    <x v="0"/>
    <x v="13"/>
    <x v="1"/>
    <x v="3"/>
    <x v="3"/>
    <n v="5"/>
    <n v="198.15"/>
  </r>
  <r>
    <x v="14"/>
    <x v="14"/>
    <x v="6"/>
    <x v="6"/>
    <x v="0"/>
    <x v="13"/>
    <x v="1"/>
    <x v="4"/>
    <x v="0"/>
    <n v="1"/>
    <n v="31.17"/>
  </r>
  <r>
    <x v="14"/>
    <x v="14"/>
    <x v="6"/>
    <x v="6"/>
    <x v="0"/>
    <x v="13"/>
    <x v="1"/>
    <x v="4"/>
    <x v="3"/>
    <n v="3.5"/>
    <n v="138.71"/>
  </r>
  <r>
    <x v="15"/>
    <x v="15"/>
    <x v="10"/>
    <x v="10"/>
    <x v="0"/>
    <x v="14"/>
    <x v="2"/>
    <x v="0"/>
    <x v="0"/>
    <n v="8"/>
    <n v="253.92"/>
  </r>
  <r>
    <x v="15"/>
    <x v="15"/>
    <x v="10"/>
    <x v="10"/>
    <x v="0"/>
    <x v="14"/>
    <x v="2"/>
    <x v="1"/>
    <x v="0"/>
    <n v="9.75"/>
    <n v="309.47000000000003"/>
  </r>
  <r>
    <x v="15"/>
    <x v="15"/>
    <x v="10"/>
    <x v="10"/>
    <x v="0"/>
    <x v="14"/>
    <x v="2"/>
    <x v="1"/>
    <x v="3"/>
    <n v="0.75"/>
    <n v="30.29"/>
  </r>
  <r>
    <x v="15"/>
    <x v="15"/>
    <x v="10"/>
    <x v="10"/>
    <x v="0"/>
    <x v="14"/>
    <x v="2"/>
    <x v="2"/>
    <x v="0"/>
    <n v="3.5"/>
    <n v="111.09"/>
  </r>
  <r>
    <x v="15"/>
    <x v="15"/>
    <x v="10"/>
    <x v="10"/>
    <x v="0"/>
    <x v="14"/>
    <x v="2"/>
    <x v="2"/>
    <x v="2"/>
    <n v="5.5"/>
    <n v="163.08000000000001"/>
  </r>
  <r>
    <x v="15"/>
    <x v="15"/>
    <x v="10"/>
    <x v="10"/>
    <x v="0"/>
    <x v="14"/>
    <x v="2"/>
    <x v="3"/>
    <x v="0"/>
    <n v="9"/>
    <n v="285.66000000000003"/>
  </r>
  <r>
    <x v="15"/>
    <x v="15"/>
    <x v="10"/>
    <x v="10"/>
    <x v="0"/>
    <x v="14"/>
    <x v="2"/>
    <x v="4"/>
    <x v="0"/>
    <n v="9"/>
    <n v="285.66000000000003"/>
  </r>
  <r>
    <x v="16"/>
    <x v="16"/>
    <x v="5"/>
    <x v="5"/>
    <x v="0"/>
    <x v="15"/>
    <x v="2"/>
    <x v="0"/>
    <x v="0"/>
    <n v="2"/>
    <n v="62.76"/>
  </r>
  <r>
    <x v="16"/>
    <x v="16"/>
    <x v="5"/>
    <x v="5"/>
    <x v="0"/>
    <x v="15"/>
    <x v="2"/>
    <x v="0"/>
    <x v="3"/>
    <n v="5.25"/>
    <n v="209.53"/>
  </r>
  <r>
    <x v="16"/>
    <x v="16"/>
    <x v="5"/>
    <x v="5"/>
    <x v="0"/>
    <x v="15"/>
    <x v="2"/>
    <x v="1"/>
    <x v="0"/>
    <n v="1.75"/>
    <n v="54.92"/>
  </r>
  <r>
    <x v="16"/>
    <x v="16"/>
    <x v="5"/>
    <x v="5"/>
    <x v="0"/>
    <x v="15"/>
    <x v="2"/>
    <x v="1"/>
    <x v="3"/>
    <n v="5.25"/>
    <n v="209.53"/>
  </r>
  <r>
    <x v="16"/>
    <x v="16"/>
    <x v="5"/>
    <x v="5"/>
    <x v="0"/>
    <x v="15"/>
    <x v="2"/>
    <x v="1"/>
    <x v="1"/>
    <n v="1"/>
    <n v="40.43"/>
  </r>
  <r>
    <x v="16"/>
    <x v="16"/>
    <x v="5"/>
    <x v="5"/>
    <x v="0"/>
    <x v="15"/>
    <x v="2"/>
    <x v="2"/>
    <x v="0"/>
    <n v="1.75"/>
    <n v="54.92"/>
  </r>
  <r>
    <x v="16"/>
    <x v="16"/>
    <x v="5"/>
    <x v="5"/>
    <x v="0"/>
    <x v="15"/>
    <x v="2"/>
    <x v="2"/>
    <x v="3"/>
    <n v="5.25"/>
    <n v="209.53"/>
  </r>
  <r>
    <x v="16"/>
    <x v="16"/>
    <x v="5"/>
    <x v="5"/>
    <x v="0"/>
    <x v="15"/>
    <x v="2"/>
    <x v="2"/>
    <x v="1"/>
    <n v="0.5"/>
    <n v="20.22"/>
  </r>
  <r>
    <x v="16"/>
    <x v="16"/>
    <x v="5"/>
    <x v="5"/>
    <x v="0"/>
    <x v="15"/>
    <x v="2"/>
    <x v="3"/>
    <x v="0"/>
    <n v="3"/>
    <n v="94.14"/>
  </r>
  <r>
    <x v="16"/>
    <x v="16"/>
    <x v="5"/>
    <x v="5"/>
    <x v="0"/>
    <x v="15"/>
    <x v="2"/>
    <x v="3"/>
    <x v="3"/>
    <n v="5.25"/>
    <n v="209.53"/>
  </r>
  <r>
    <x v="16"/>
    <x v="16"/>
    <x v="5"/>
    <x v="5"/>
    <x v="0"/>
    <x v="15"/>
    <x v="2"/>
    <x v="4"/>
    <x v="0"/>
    <n v="2.5"/>
    <n v="78.45"/>
  </r>
  <r>
    <x v="16"/>
    <x v="16"/>
    <x v="5"/>
    <x v="5"/>
    <x v="0"/>
    <x v="15"/>
    <x v="2"/>
    <x v="4"/>
    <x v="3"/>
    <n v="4.5"/>
    <n v="179.6"/>
  </r>
  <r>
    <x v="17"/>
    <x v="17"/>
    <x v="9"/>
    <x v="9"/>
    <x v="0"/>
    <x v="16"/>
    <x v="1"/>
    <x v="0"/>
    <x v="0"/>
    <n v="3"/>
    <n v="100.47"/>
  </r>
  <r>
    <x v="17"/>
    <x v="17"/>
    <x v="9"/>
    <x v="9"/>
    <x v="0"/>
    <x v="16"/>
    <x v="1"/>
    <x v="0"/>
    <x v="3"/>
    <n v="4"/>
    <n v="170.6"/>
  </r>
  <r>
    <x v="17"/>
    <x v="17"/>
    <x v="9"/>
    <x v="9"/>
    <x v="0"/>
    <x v="16"/>
    <x v="1"/>
    <x v="1"/>
    <x v="0"/>
    <n v="3"/>
    <n v="100.47"/>
  </r>
  <r>
    <x v="17"/>
    <x v="17"/>
    <x v="9"/>
    <x v="9"/>
    <x v="0"/>
    <x v="16"/>
    <x v="1"/>
    <x v="1"/>
    <x v="3"/>
    <n v="4.25"/>
    <n v="181.26"/>
  </r>
  <r>
    <x v="17"/>
    <x v="17"/>
    <x v="9"/>
    <x v="9"/>
    <x v="0"/>
    <x v="16"/>
    <x v="1"/>
    <x v="2"/>
    <x v="0"/>
    <n v="1.25"/>
    <n v="41.86"/>
  </r>
  <r>
    <x v="17"/>
    <x v="17"/>
    <x v="9"/>
    <x v="9"/>
    <x v="0"/>
    <x v="16"/>
    <x v="1"/>
    <x v="2"/>
    <x v="3"/>
    <n v="4.25"/>
    <n v="181.26"/>
  </r>
  <r>
    <x v="17"/>
    <x v="17"/>
    <x v="9"/>
    <x v="9"/>
    <x v="0"/>
    <x v="16"/>
    <x v="1"/>
    <x v="3"/>
    <x v="0"/>
    <n v="3"/>
    <n v="100.47"/>
  </r>
  <r>
    <x v="17"/>
    <x v="17"/>
    <x v="9"/>
    <x v="9"/>
    <x v="0"/>
    <x v="16"/>
    <x v="1"/>
    <x v="3"/>
    <x v="3"/>
    <n v="4"/>
    <n v="170.6"/>
  </r>
  <r>
    <x v="17"/>
    <x v="17"/>
    <x v="9"/>
    <x v="9"/>
    <x v="0"/>
    <x v="16"/>
    <x v="1"/>
    <x v="4"/>
    <x v="0"/>
    <n v="3"/>
    <n v="100.47"/>
  </r>
  <r>
    <x v="17"/>
    <x v="17"/>
    <x v="9"/>
    <x v="9"/>
    <x v="0"/>
    <x v="16"/>
    <x v="1"/>
    <x v="4"/>
    <x v="3"/>
    <n v="4"/>
    <n v="170.6"/>
  </r>
  <r>
    <x v="18"/>
    <x v="18"/>
    <x v="11"/>
    <x v="11"/>
    <x v="0"/>
    <x v="17"/>
    <x v="1"/>
    <x v="0"/>
    <x v="0"/>
    <n v="8"/>
    <n v="255.76"/>
  </r>
  <r>
    <x v="18"/>
    <x v="18"/>
    <x v="11"/>
    <x v="11"/>
    <x v="0"/>
    <x v="17"/>
    <x v="1"/>
    <x v="0"/>
    <x v="1"/>
    <n v="1"/>
    <n v="41.2"/>
  </r>
  <r>
    <x v="18"/>
    <x v="18"/>
    <x v="11"/>
    <x v="11"/>
    <x v="0"/>
    <x v="17"/>
    <x v="1"/>
    <x v="1"/>
    <x v="0"/>
    <n v="1.75"/>
    <n v="55.95"/>
  </r>
  <r>
    <x v="18"/>
    <x v="18"/>
    <x v="11"/>
    <x v="11"/>
    <x v="0"/>
    <x v="17"/>
    <x v="1"/>
    <x v="1"/>
    <x v="1"/>
    <n v="1"/>
    <n v="41.2"/>
  </r>
  <r>
    <x v="18"/>
    <x v="18"/>
    <x v="11"/>
    <x v="11"/>
    <x v="0"/>
    <x v="17"/>
    <x v="1"/>
    <x v="1"/>
    <x v="2"/>
    <n v="5.25"/>
    <n v="157.5"/>
  </r>
  <r>
    <x v="18"/>
    <x v="18"/>
    <x v="11"/>
    <x v="11"/>
    <x v="0"/>
    <x v="17"/>
    <x v="1"/>
    <x v="2"/>
    <x v="0"/>
    <n v="8.25"/>
    <n v="263.75"/>
  </r>
  <r>
    <x v="18"/>
    <x v="18"/>
    <x v="11"/>
    <x v="11"/>
    <x v="0"/>
    <x v="17"/>
    <x v="1"/>
    <x v="2"/>
    <x v="1"/>
    <n v="1"/>
    <n v="41.2"/>
  </r>
  <r>
    <x v="18"/>
    <x v="18"/>
    <x v="11"/>
    <x v="11"/>
    <x v="0"/>
    <x v="17"/>
    <x v="1"/>
    <x v="3"/>
    <x v="0"/>
    <n v="8"/>
    <n v="255.76"/>
  </r>
  <r>
    <x v="18"/>
    <x v="18"/>
    <x v="11"/>
    <x v="11"/>
    <x v="0"/>
    <x v="17"/>
    <x v="1"/>
    <x v="3"/>
    <x v="1"/>
    <n v="1"/>
    <n v="41.2"/>
  </r>
  <r>
    <x v="18"/>
    <x v="18"/>
    <x v="11"/>
    <x v="11"/>
    <x v="0"/>
    <x v="17"/>
    <x v="1"/>
    <x v="4"/>
    <x v="0"/>
    <n v="9"/>
    <n v="287.73"/>
  </r>
  <r>
    <x v="18"/>
    <x v="18"/>
    <x v="11"/>
    <x v="11"/>
    <x v="0"/>
    <x v="17"/>
    <x v="1"/>
    <x v="4"/>
    <x v="1"/>
    <n v="1"/>
    <n v="41.2"/>
  </r>
  <r>
    <x v="19"/>
    <x v="19"/>
    <x v="11"/>
    <x v="11"/>
    <x v="0"/>
    <x v="18"/>
    <x v="1"/>
    <x v="0"/>
    <x v="0"/>
    <n v="4.25"/>
    <n v="135.87"/>
  </r>
  <r>
    <x v="19"/>
    <x v="19"/>
    <x v="11"/>
    <x v="11"/>
    <x v="0"/>
    <x v="18"/>
    <x v="1"/>
    <x v="0"/>
    <x v="3"/>
    <n v="4.25"/>
    <n v="172.85"/>
  </r>
  <r>
    <x v="19"/>
    <x v="19"/>
    <x v="11"/>
    <x v="11"/>
    <x v="0"/>
    <x v="18"/>
    <x v="1"/>
    <x v="1"/>
    <x v="0"/>
    <n v="4.5"/>
    <n v="143.87"/>
  </r>
  <r>
    <x v="19"/>
    <x v="19"/>
    <x v="11"/>
    <x v="11"/>
    <x v="0"/>
    <x v="18"/>
    <x v="1"/>
    <x v="1"/>
    <x v="3"/>
    <n v="3.5"/>
    <n v="142.35"/>
  </r>
  <r>
    <x v="19"/>
    <x v="19"/>
    <x v="11"/>
    <x v="11"/>
    <x v="0"/>
    <x v="18"/>
    <x v="1"/>
    <x v="2"/>
    <x v="0"/>
    <n v="4.5"/>
    <n v="143.87"/>
  </r>
  <r>
    <x v="19"/>
    <x v="19"/>
    <x v="11"/>
    <x v="11"/>
    <x v="0"/>
    <x v="18"/>
    <x v="1"/>
    <x v="2"/>
    <x v="3"/>
    <n v="2.75"/>
    <n v="111.84"/>
  </r>
  <r>
    <x v="19"/>
    <x v="19"/>
    <x v="11"/>
    <x v="11"/>
    <x v="0"/>
    <x v="18"/>
    <x v="1"/>
    <x v="3"/>
    <x v="0"/>
    <n v="4.5"/>
    <n v="143.87"/>
  </r>
  <r>
    <x v="19"/>
    <x v="19"/>
    <x v="11"/>
    <x v="11"/>
    <x v="0"/>
    <x v="18"/>
    <x v="1"/>
    <x v="3"/>
    <x v="3"/>
    <n v="2.75"/>
    <n v="111.84"/>
  </r>
  <r>
    <x v="19"/>
    <x v="19"/>
    <x v="11"/>
    <x v="11"/>
    <x v="0"/>
    <x v="18"/>
    <x v="1"/>
    <x v="4"/>
    <x v="0"/>
    <n v="4.5"/>
    <n v="143.87"/>
  </r>
  <r>
    <x v="19"/>
    <x v="19"/>
    <x v="11"/>
    <x v="11"/>
    <x v="0"/>
    <x v="18"/>
    <x v="1"/>
    <x v="4"/>
    <x v="3"/>
    <n v="2.75"/>
    <n v="111.84"/>
  </r>
  <r>
    <x v="20"/>
    <x v="20"/>
    <x v="2"/>
    <x v="2"/>
    <x v="0"/>
    <x v="19"/>
    <x v="1"/>
    <x v="1"/>
    <x v="0"/>
    <n v="8"/>
    <n v="246.48"/>
  </r>
  <r>
    <x v="20"/>
    <x v="20"/>
    <x v="2"/>
    <x v="2"/>
    <x v="0"/>
    <x v="19"/>
    <x v="1"/>
    <x v="2"/>
    <x v="0"/>
    <n v="8"/>
    <n v="246.48"/>
  </r>
  <r>
    <x v="20"/>
    <x v="20"/>
    <x v="2"/>
    <x v="2"/>
    <x v="0"/>
    <x v="19"/>
    <x v="1"/>
    <x v="3"/>
    <x v="0"/>
    <n v="7.25"/>
    <n v="223.37"/>
  </r>
  <r>
    <x v="20"/>
    <x v="20"/>
    <x v="2"/>
    <x v="2"/>
    <x v="0"/>
    <x v="19"/>
    <x v="1"/>
    <x v="4"/>
    <x v="0"/>
    <n v="5.5"/>
    <n v="169.46"/>
  </r>
  <r>
    <x v="21"/>
    <x v="21"/>
    <x v="2"/>
    <x v="2"/>
    <x v="0"/>
    <x v="20"/>
    <x v="1"/>
    <x v="0"/>
    <x v="0"/>
    <n v="3.5"/>
    <n v="107.84"/>
  </r>
  <r>
    <x v="21"/>
    <x v="21"/>
    <x v="2"/>
    <x v="2"/>
    <x v="0"/>
    <x v="20"/>
    <x v="1"/>
    <x v="0"/>
    <x v="3"/>
    <n v="4.5"/>
    <n v="176.22"/>
  </r>
  <r>
    <x v="21"/>
    <x v="21"/>
    <x v="2"/>
    <x v="2"/>
    <x v="0"/>
    <x v="20"/>
    <x v="1"/>
    <x v="1"/>
    <x v="0"/>
    <n v="3.5"/>
    <n v="107.84"/>
  </r>
  <r>
    <x v="21"/>
    <x v="21"/>
    <x v="2"/>
    <x v="2"/>
    <x v="0"/>
    <x v="20"/>
    <x v="1"/>
    <x v="1"/>
    <x v="3"/>
    <n v="4.5"/>
    <n v="176.22"/>
  </r>
  <r>
    <x v="21"/>
    <x v="21"/>
    <x v="2"/>
    <x v="2"/>
    <x v="0"/>
    <x v="20"/>
    <x v="1"/>
    <x v="2"/>
    <x v="0"/>
    <n v="3.5"/>
    <n v="107.84"/>
  </r>
  <r>
    <x v="21"/>
    <x v="21"/>
    <x v="2"/>
    <x v="2"/>
    <x v="0"/>
    <x v="20"/>
    <x v="1"/>
    <x v="2"/>
    <x v="3"/>
    <n v="4.5"/>
    <n v="176.22"/>
  </r>
  <r>
    <x v="21"/>
    <x v="21"/>
    <x v="2"/>
    <x v="2"/>
    <x v="0"/>
    <x v="20"/>
    <x v="1"/>
    <x v="3"/>
    <x v="0"/>
    <n v="3.5"/>
    <n v="107.84"/>
  </r>
  <r>
    <x v="21"/>
    <x v="21"/>
    <x v="2"/>
    <x v="2"/>
    <x v="0"/>
    <x v="20"/>
    <x v="1"/>
    <x v="3"/>
    <x v="3"/>
    <n v="4.5"/>
    <n v="176.22"/>
  </r>
  <r>
    <x v="21"/>
    <x v="21"/>
    <x v="2"/>
    <x v="2"/>
    <x v="0"/>
    <x v="20"/>
    <x v="1"/>
    <x v="4"/>
    <x v="0"/>
    <n v="3.5"/>
    <n v="107.84"/>
  </r>
  <r>
    <x v="21"/>
    <x v="21"/>
    <x v="2"/>
    <x v="2"/>
    <x v="0"/>
    <x v="20"/>
    <x v="1"/>
    <x v="4"/>
    <x v="3"/>
    <n v="4.5"/>
    <n v="176.22"/>
  </r>
  <r>
    <x v="22"/>
    <x v="22"/>
    <x v="0"/>
    <x v="0"/>
    <x v="0"/>
    <x v="21"/>
    <x v="0"/>
    <x v="1"/>
    <x v="0"/>
    <n v="8"/>
    <n v="240.32"/>
  </r>
  <r>
    <x v="22"/>
    <x v="22"/>
    <x v="0"/>
    <x v="0"/>
    <x v="0"/>
    <x v="21"/>
    <x v="0"/>
    <x v="2"/>
    <x v="0"/>
    <n v="8"/>
    <n v="240.32"/>
  </r>
  <r>
    <x v="22"/>
    <x v="22"/>
    <x v="0"/>
    <x v="0"/>
    <x v="0"/>
    <x v="21"/>
    <x v="0"/>
    <x v="3"/>
    <x v="0"/>
    <n v="8"/>
    <n v="240.32"/>
  </r>
  <r>
    <x v="22"/>
    <x v="22"/>
    <x v="0"/>
    <x v="0"/>
    <x v="0"/>
    <x v="21"/>
    <x v="0"/>
    <x v="4"/>
    <x v="0"/>
    <n v="7.5"/>
    <n v="225.3"/>
  </r>
  <r>
    <x v="23"/>
    <x v="23"/>
    <x v="1"/>
    <x v="1"/>
    <x v="0"/>
    <x v="22"/>
    <x v="1"/>
    <x v="0"/>
    <x v="0"/>
    <n v="2.75"/>
    <n v="88.77"/>
  </r>
  <r>
    <x v="23"/>
    <x v="23"/>
    <x v="1"/>
    <x v="1"/>
    <x v="0"/>
    <x v="22"/>
    <x v="1"/>
    <x v="0"/>
    <x v="3"/>
    <n v="3.75"/>
    <n v="154.01"/>
  </r>
  <r>
    <x v="23"/>
    <x v="23"/>
    <x v="1"/>
    <x v="1"/>
    <x v="0"/>
    <x v="22"/>
    <x v="1"/>
    <x v="1"/>
    <x v="0"/>
    <n v="2.75"/>
    <n v="88.77"/>
  </r>
  <r>
    <x v="23"/>
    <x v="23"/>
    <x v="1"/>
    <x v="1"/>
    <x v="0"/>
    <x v="22"/>
    <x v="1"/>
    <x v="1"/>
    <x v="3"/>
    <n v="4"/>
    <n v="164.28"/>
  </r>
  <r>
    <x v="23"/>
    <x v="23"/>
    <x v="1"/>
    <x v="1"/>
    <x v="0"/>
    <x v="22"/>
    <x v="1"/>
    <x v="2"/>
    <x v="0"/>
    <n v="2.75"/>
    <n v="88.77"/>
  </r>
  <r>
    <x v="23"/>
    <x v="23"/>
    <x v="1"/>
    <x v="1"/>
    <x v="0"/>
    <x v="22"/>
    <x v="1"/>
    <x v="2"/>
    <x v="3"/>
    <n v="4"/>
    <n v="164.28"/>
  </r>
  <r>
    <x v="23"/>
    <x v="23"/>
    <x v="1"/>
    <x v="1"/>
    <x v="0"/>
    <x v="22"/>
    <x v="1"/>
    <x v="3"/>
    <x v="0"/>
    <n v="2.75"/>
    <n v="88.77"/>
  </r>
  <r>
    <x v="23"/>
    <x v="23"/>
    <x v="1"/>
    <x v="1"/>
    <x v="0"/>
    <x v="22"/>
    <x v="1"/>
    <x v="3"/>
    <x v="3"/>
    <n v="3.75"/>
    <n v="154.01"/>
  </r>
  <r>
    <x v="23"/>
    <x v="23"/>
    <x v="1"/>
    <x v="1"/>
    <x v="0"/>
    <x v="22"/>
    <x v="1"/>
    <x v="4"/>
    <x v="0"/>
    <n v="2.75"/>
    <n v="88.77"/>
  </r>
  <r>
    <x v="23"/>
    <x v="23"/>
    <x v="1"/>
    <x v="1"/>
    <x v="0"/>
    <x v="22"/>
    <x v="1"/>
    <x v="4"/>
    <x v="3"/>
    <n v="3.5"/>
    <n v="143.75"/>
  </r>
  <r>
    <x v="24"/>
    <x v="24"/>
    <x v="0"/>
    <x v="0"/>
    <x v="0"/>
    <x v="23"/>
    <x v="1"/>
    <x v="1"/>
    <x v="0"/>
    <n v="2.25"/>
    <n v="67.75"/>
  </r>
  <r>
    <x v="24"/>
    <x v="24"/>
    <x v="0"/>
    <x v="0"/>
    <x v="0"/>
    <x v="23"/>
    <x v="1"/>
    <x v="1"/>
    <x v="3"/>
    <n v="5"/>
    <n v="191.25"/>
  </r>
  <r>
    <x v="24"/>
    <x v="24"/>
    <x v="0"/>
    <x v="0"/>
    <x v="0"/>
    <x v="23"/>
    <x v="1"/>
    <x v="2"/>
    <x v="0"/>
    <n v="2.25"/>
    <n v="67.75"/>
  </r>
  <r>
    <x v="24"/>
    <x v="24"/>
    <x v="0"/>
    <x v="0"/>
    <x v="0"/>
    <x v="23"/>
    <x v="1"/>
    <x v="2"/>
    <x v="3"/>
    <n v="5"/>
    <n v="191.25"/>
  </r>
  <r>
    <x v="24"/>
    <x v="24"/>
    <x v="0"/>
    <x v="0"/>
    <x v="0"/>
    <x v="23"/>
    <x v="1"/>
    <x v="3"/>
    <x v="0"/>
    <n v="2.25"/>
    <n v="67.75"/>
  </r>
  <r>
    <x v="24"/>
    <x v="24"/>
    <x v="0"/>
    <x v="0"/>
    <x v="0"/>
    <x v="23"/>
    <x v="1"/>
    <x v="3"/>
    <x v="3"/>
    <n v="5.25"/>
    <n v="200.81"/>
  </r>
  <r>
    <x v="24"/>
    <x v="24"/>
    <x v="0"/>
    <x v="0"/>
    <x v="0"/>
    <x v="23"/>
    <x v="1"/>
    <x v="4"/>
    <x v="0"/>
    <n v="2.25"/>
    <n v="67.75"/>
  </r>
  <r>
    <x v="24"/>
    <x v="24"/>
    <x v="0"/>
    <x v="0"/>
    <x v="0"/>
    <x v="23"/>
    <x v="1"/>
    <x v="4"/>
    <x v="3"/>
    <n v="4"/>
    <n v="153"/>
  </r>
  <r>
    <x v="25"/>
    <x v="25"/>
    <x v="11"/>
    <x v="11"/>
    <x v="0"/>
    <x v="24"/>
    <x v="1"/>
    <x v="0"/>
    <x v="0"/>
    <n v="6.5"/>
    <n v="207.81"/>
  </r>
  <r>
    <x v="25"/>
    <x v="25"/>
    <x v="11"/>
    <x v="11"/>
    <x v="0"/>
    <x v="24"/>
    <x v="1"/>
    <x v="0"/>
    <x v="1"/>
    <n v="1.5"/>
    <n v="61.8"/>
  </r>
  <r>
    <x v="25"/>
    <x v="25"/>
    <x v="11"/>
    <x v="11"/>
    <x v="0"/>
    <x v="24"/>
    <x v="1"/>
    <x v="1"/>
    <x v="0"/>
    <n v="6.5"/>
    <n v="207.81"/>
  </r>
  <r>
    <x v="25"/>
    <x v="25"/>
    <x v="11"/>
    <x v="11"/>
    <x v="0"/>
    <x v="24"/>
    <x v="1"/>
    <x v="1"/>
    <x v="1"/>
    <n v="1.5"/>
    <n v="61.8"/>
  </r>
  <r>
    <x v="25"/>
    <x v="25"/>
    <x v="11"/>
    <x v="11"/>
    <x v="0"/>
    <x v="24"/>
    <x v="1"/>
    <x v="2"/>
    <x v="0"/>
    <n v="6.25"/>
    <n v="199.81"/>
  </r>
  <r>
    <x v="25"/>
    <x v="25"/>
    <x v="11"/>
    <x v="11"/>
    <x v="0"/>
    <x v="24"/>
    <x v="1"/>
    <x v="2"/>
    <x v="1"/>
    <n v="1.5"/>
    <n v="61.8"/>
  </r>
  <r>
    <x v="25"/>
    <x v="25"/>
    <x v="11"/>
    <x v="11"/>
    <x v="0"/>
    <x v="24"/>
    <x v="1"/>
    <x v="2"/>
    <x v="2"/>
    <n v="0.5"/>
    <n v="15"/>
  </r>
  <r>
    <x v="25"/>
    <x v="25"/>
    <x v="11"/>
    <x v="11"/>
    <x v="0"/>
    <x v="24"/>
    <x v="1"/>
    <x v="3"/>
    <x v="0"/>
    <n v="7"/>
    <n v="223.79"/>
  </r>
  <r>
    <x v="25"/>
    <x v="25"/>
    <x v="11"/>
    <x v="11"/>
    <x v="0"/>
    <x v="24"/>
    <x v="1"/>
    <x v="3"/>
    <x v="1"/>
    <n v="1.5"/>
    <n v="61.8"/>
  </r>
  <r>
    <x v="25"/>
    <x v="25"/>
    <x v="11"/>
    <x v="11"/>
    <x v="0"/>
    <x v="24"/>
    <x v="1"/>
    <x v="4"/>
    <x v="0"/>
    <n v="6.75"/>
    <n v="215.8"/>
  </r>
  <r>
    <x v="25"/>
    <x v="25"/>
    <x v="11"/>
    <x v="11"/>
    <x v="0"/>
    <x v="24"/>
    <x v="1"/>
    <x v="4"/>
    <x v="1"/>
    <n v="1"/>
    <n v="41.2"/>
  </r>
  <r>
    <x v="26"/>
    <x v="26"/>
    <x v="0"/>
    <x v="0"/>
    <x v="0"/>
    <x v="25"/>
    <x v="0"/>
    <x v="0"/>
    <x v="0"/>
    <n v="7"/>
    <n v="210.28"/>
  </r>
  <r>
    <x v="26"/>
    <x v="26"/>
    <x v="0"/>
    <x v="0"/>
    <x v="0"/>
    <x v="25"/>
    <x v="0"/>
    <x v="0"/>
    <x v="1"/>
    <n v="1"/>
    <n v="38.74"/>
  </r>
  <r>
    <x v="26"/>
    <x v="26"/>
    <x v="0"/>
    <x v="0"/>
    <x v="0"/>
    <x v="25"/>
    <x v="0"/>
    <x v="1"/>
    <x v="0"/>
    <n v="7"/>
    <n v="210.28"/>
  </r>
  <r>
    <x v="26"/>
    <x v="26"/>
    <x v="0"/>
    <x v="0"/>
    <x v="0"/>
    <x v="25"/>
    <x v="0"/>
    <x v="1"/>
    <x v="1"/>
    <n v="1"/>
    <n v="38.74"/>
  </r>
  <r>
    <x v="26"/>
    <x v="26"/>
    <x v="0"/>
    <x v="0"/>
    <x v="0"/>
    <x v="25"/>
    <x v="0"/>
    <x v="2"/>
    <x v="0"/>
    <n v="7"/>
    <n v="210.28"/>
  </r>
  <r>
    <x v="26"/>
    <x v="26"/>
    <x v="0"/>
    <x v="0"/>
    <x v="0"/>
    <x v="25"/>
    <x v="0"/>
    <x v="2"/>
    <x v="1"/>
    <n v="1"/>
    <n v="38.74"/>
  </r>
  <r>
    <x v="26"/>
    <x v="26"/>
    <x v="0"/>
    <x v="0"/>
    <x v="0"/>
    <x v="25"/>
    <x v="0"/>
    <x v="3"/>
    <x v="0"/>
    <n v="7"/>
    <n v="210.28"/>
  </r>
  <r>
    <x v="26"/>
    <x v="26"/>
    <x v="0"/>
    <x v="0"/>
    <x v="0"/>
    <x v="25"/>
    <x v="0"/>
    <x v="3"/>
    <x v="1"/>
    <n v="1"/>
    <n v="38.74"/>
  </r>
  <r>
    <x v="26"/>
    <x v="26"/>
    <x v="0"/>
    <x v="0"/>
    <x v="0"/>
    <x v="25"/>
    <x v="0"/>
    <x v="4"/>
    <x v="0"/>
    <n v="7"/>
    <n v="210.28"/>
  </r>
  <r>
    <x v="26"/>
    <x v="26"/>
    <x v="0"/>
    <x v="0"/>
    <x v="0"/>
    <x v="25"/>
    <x v="0"/>
    <x v="4"/>
    <x v="1"/>
    <n v="1"/>
    <n v="38.74"/>
  </r>
  <r>
    <x v="27"/>
    <x v="27"/>
    <x v="0"/>
    <x v="0"/>
    <x v="0"/>
    <x v="25"/>
    <x v="0"/>
    <x v="0"/>
    <x v="0"/>
    <n v="2.5"/>
    <n v="75.099999999999994"/>
  </r>
  <r>
    <x v="27"/>
    <x v="27"/>
    <x v="0"/>
    <x v="0"/>
    <x v="0"/>
    <x v="25"/>
    <x v="0"/>
    <x v="0"/>
    <x v="3"/>
    <n v="5.25"/>
    <n v="200.76"/>
  </r>
  <r>
    <x v="27"/>
    <x v="27"/>
    <x v="0"/>
    <x v="0"/>
    <x v="0"/>
    <x v="25"/>
    <x v="0"/>
    <x v="1"/>
    <x v="0"/>
    <n v="2.5"/>
    <n v="75.099999999999994"/>
  </r>
  <r>
    <x v="27"/>
    <x v="27"/>
    <x v="0"/>
    <x v="0"/>
    <x v="0"/>
    <x v="25"/>
    <x v="0"/>
    <x v="1"/>
    <x v="3"/>
    <n v="5.25"/>
    <n v="200.76"/>
  </r>
  <r>
    <x v="27"/>
    <x v="27"/>
    <x v="0"/>
    <x v="0"/>
    <x v="0"/>
    <x v="25"/>
    <x v="0"/>
    <x v="2"/>
    <x v="0"/>
    <n v="5.25"/>
    <n v="157.71"/>
  </r>
  <r>
    <x v="27"/>
    <x v="27"/>
    <x v="0"/>
    <x v="0"/>
    <x v="0"/>
    <x v="25"/>
    <x v="0"/>
    <x v="2"/>
    <x v="3"/>
    <n v="4.75"/>
    <n v="181.64"/>
  </r>
  <r>
    <x v="27"/>
    <x v="27"/>
    <x v="0"/>
    <x v="0"/>
    <x v="0"/>
    <x v="25"/>
    <x v="0"/>
    <x v="3"/>
    <x v="0"/>
    <n v="1.75"/>
    <n v="52.57"/>
  </r>
  <r>
    <x v="27"/>
    <x v="27"/>
    <x v="0"/>
    <x v="0"/>
    <x v="0"/>
    <x v="25"/>
    <x v="0"/>
    <x v="3"/>
    <x v="3"/>
    <n v="5.25"/>
    <n v="200.76"/>
  </r>
  <r>
    <x v="27"/>
    <x v="27"/>
    <x v="0"/>
    <x v="0"/>
    <x v="0"/>
    <x v="25"/>
    <x v="0"/>
    <x v="3"/>
    <x v="2"/>
    <n v="0.5"/>
    <n v="14.21"/>
  </r>
  <r>
    <x v="27"/>
    <x v="27"/>
    <x v="0"/>
    <x v="0"/>
    <x v="0"/>
    <x v="25"/>
    <x v="0"/>
    <x v="4"/>
    <x v="0"/>
    <n v="2"/>
    <n v="60.08"/>
  </r>
  <r>
    <x v="27"/>
    <x v="27"/>
    <x v="0"/>
    <x v="0"/>
    <x v="0"/>
    <x v="25"/>
    <x v="0"/>
    <x v="4"/>
    <x v="3"/>
    <n v="5"/>
    <n v="191.2"/>
  </r>
  <r>
    <x v="27"/>
    <x v="27"/>
    <x v="0"/>
    <x v="0"/>
    <x v="0"/>
    <x v="25"/>
    <x v="0"/>
    <x v="4"/>
    <x v="1"/>
    <n v="0.5"/>
    <n v="19.37"/>
  </r>
  <r>
    <x v="28"/>
    <x v="28"/>
    <x v="7"/>
    <x v="7"/>
    <x v="0"/>
    <x v="26"/>
    <x v="1"/>
    <x v="1"/>
    <x v="0"/>
    <n v="2.25"/>
    <n v="68.510000000000005"/>
  </r>
  <r>
    <x v="28"/>
    <x v="28"/>
    <x v="7"/>
    <x v="7"/>
    <x v="0"/>
    <x v="26"/>
    <x v="1"/>
    <x v="1"/>
    <x v="3"/>
    <n v="5"/>
    <n v="193.45"/>
  </r>
  <r>
    <x v="28"/>
    <x v="28"/>
    <x v="7"/>
    <x v="7"/>
    <x v="0"/>
    <x v="26"/>
    <x v="1"/>
    <x v="2"/>
    <x v="0"/>
    <n v="2.25"/>
    <n v="68.510000000000005"/>
  </r>
  <r>
    <x v="28"/>
    <x v="28"/>
    <x v="7"/>
    <x v="7"/>
    <x v="0"/>
    <x v="26"/>
    <x v="1"/>
    <x v="2"/>
    <x v="3"/>
    <n v="5"/>
    <n v="193.45"/>
  </r>
  <r>
    <x v="28"/>
    <x v="28"/>
    <x v="7"/>
    <x v="7"/>
    <x v="0"/>
    <x v="26"/>
    <x v="1"/>
    <x v="3"/>
    <x v="0"/>
    <n v="2.25"/>
    <n v="68.510000000000005"/>
  </r>
  <r>
    <x v="28"/>
    <x v="28"/>
    <x v="7"/>
    <x v="7"/>
    <x v="0"/>
    <x v="26"/>
    <x v="1"/>
    <x v="3"/>
    <x v="3"/>
    <n v="5.25"/>
    <n v="203.12"/>
  </r>
  <r>
    <x v="28"/>
    <x v="28"/>
    <x v="7"/>
    <x v="7"/>
    <x v="0"/>
    <x v="26"/>
    <x v="1"/>
    <x v="4"/>
    <x v="0"/>
    <n v="2.25"/>
    <n v="68.510000000000005"/>
  </r>
  <r>
    <x v="28"/>
    <x v="28"/>
    <x v="7"/>
    <x v="7"/>
    <x v="0"/>
    <x v="26"/>
    <x v="1"/>
    <x v="4"/>
    <x v="3"/>
    <n v="4.5"/>
    <n v="174.11"/>
  </r>
  <r>
    <x v="29"/>
    <x v="29"/>
    <x v="7"/>
    <x v="7"/>
    <x v="0"/>
    <x v="27"/>
    <x v="1"/>
    <x v="0"/>
    <x v="0"/>
    <n v="8"/>
    <n v="243.6"/>
  </r>
  <r>
    <x v="29"/>
    <x v="29"/>
    <x v="7"/>
    <x v="7"/>
    <x v="0"/>
    <x v="27"/>
    <x v="1"/>
    <x v="1"/>
    <x v="0"/>
    <n v="7.5"/>
    <n v="228.38"/>
  </r>
  <r>
    <x v="29"/>
    <x v="29"/>
    <x v="7"/>
    <x v="7"/>
    <x v="0"/>
    <x v="27"/>
    <x v="1"/>
    <x v="2"/>
    <x v="0"/>
    <n v="8"/>
    <n v="243.6"/>
  </r>
  <r>
    <x v="29"/>
    <x v="29"/>
    <x v="7"/>
    <x v="7"/>
    <x v="0"/>
    <x v="27"/>
    <x v="1"/>
    <x v="3"/>
    <x v="0"/>
    <n v="7.75"/>
    <n v="235.99"/>
  </r>
  <r>
    <x v="29"/>
    <x v="29"/>
    <x v="7"/>
    <x v="7"/>
    <x v="0"/>
    <x v="27"/>
    <x v="1"/>
    <x v="4"/>
    <x v="0"/>
    <n v="7.5"/>
    <n v="228.38"/>
  </r>
  <r>
    <x v="30"/>
    <x v="30"/>
    <x v="7"/>
    <x v="7"/>
    <x v="0"/>
    <x v="28"/>
    <x v="1"/>
    <x v="0"/>
    <x v="0"/>
    <n v="9"/>
    <n v="274.05"/>
  </r>
  <r>
    <x v="30"/>
    <x v="30"/>
    <x v="7"/>
    <x v="7"/>
    <x v="0"/>
    <x v="28"/>
    <x v="1"/>
    <x v="1"/>
    <x v="0"/>
    <n v="6.75"/>
    <n v="205.54"/>
  </r>
  <r>
    <x v="30"/>
    <x v="30"/>
    <x v="7"/>
    <x v="7"/>
    <x v="0"/>
    <x v="28"/>
    <x v="1"/>
    <x v="2"/>
    <x v="0"/>
    <n v="7.75"/>
    <n v="235.99"/>
  </r>
  <r>
    <x v="30"/>
    <x v="30"/>
    <x v="7"/>
    <x v="7"/>
    <x v="0"/>
    <x v="28"/>
    <x v="1"/>
    <x v="3"/>
    <x v="0"/>
    <n v="7.25"/>
    <n v="220.76"/>
  </r>
  <r>
    <x v="30"/>
    <x v="30"/>
    <x v="7"/>
    <x v="7"/>
    <x v="0"/>
    <x v="28"/>
    <x v="1"/>
    <x v="4"/>
    <x v="0"/>
    <n v="8.5"/>
    <n v="258.83"/>
  </r>
  <r>
    <x v="31"/>
    <x v="31"/>
    <x v="7"/>
    <x v="7"/>
    <x v="0"/>
    <x v="29"/>
    <x v="1"/>
    <x v="0"/>
    <x v="0"/>
    <n v="8"/>
    <n v="243.6"/>
  </r>
  <r>
    <x v="31"/>
    <x v="31"/>
    <x v="7"/>
    <x v="7"/>
    <x v="0"/>
    <x v="29"/>
    <x v="1"/>
    <x v="1"/>
    <x v="0"/>
    <n v="6.25"/>
    <n v="190.31"/>
  </r>
  <r>
    <x v="31"/>
    <x v="31"/>
    <x v="7"/>
    <x v="7"/>
    <x v="0"/>
    <x v="29"/>
    <x v="1"/>
    <x v="2"/>
    <x v="0"/>
    <n v="8.5"/>
    <n v="258.83"/>
  </r>
  <r>
    <x v="31"/>
    <x v="31"/>
    <x v="7"/>
    <x v="7"/>
    <x v="0"/>
    <x v="29"/>
    <x v="1"/>
    <x v="3"/>
    <x v="0"/>
    <n v="8"/>
    <n v="243.6"/>
  </r>
  <r>
    <x v="31"/>
    <x v="31"/>
    <x v="7"/>
    <x v="7"/>
    <x v="0"/>
    <x v="29"/>
    <x v="1"/>
    <x v="4"/>
    <x v="0"/>
    <n v="6.25"/>
    <n v="190.31"/>
  </r>
  <r>
    <x v="32"/>
    <x v="32"/>
    <x v="12"/>
    <x v="12"/>
    <x v="0"/>
    <x v="30"/>
    <x v="1"/>
    <x v="0"/>
    <x v="0"/>
    <n v="2.75"/>
    <n v="86.93"/>
  </r>
  <r>
    <x v="32"/>
    <x v="32"/>
    <x v="12"/>
    <x v="12"/>
    <x v="0"/>
    <x v="30"/>
    <x v="1"/>
    <x v="0"/>
    <x v="3"/>
    <n v="5.25"/>
    <n v="211.05"/>
  </r>
  <r>
    <x v="32"/>
    <x v="32"/>
    <x v="12"/>
    <x v="12"/>
    <x v="0"/>
    <x v="30"/>
    <x v="1"/>
    <x v="1"/>
    <x v="0"/>
    <n v="2.5"/>
    <n v="79.03"/>
  </r>
  <r>
    <x v="32"/>
    <x v="32"/>
    <x v="12"/>
    <x v="12"/>
    <x v="0"/>
    <x v="30"/>
    <x v="1"/>
    <x v="1"/>
    <x v="3"/>
    <n v="5.5"/>
    <n v="221.1"/>
  </r>
  <r>
    <x v="32"/>
    <x v="32"/>
    <x v="12"/>
    <x v="12"/>
    <x v="0"/>
    <x v="30"/>
    <x v="1"/>
    <x v="2"/>
    <x v="0"/>
    <n v="2"/>
    <n v="63.22"/>
  </r>
  <r>
    <x v="32"/>
    <x v="32"/>
    <x v="12"/>
    <x v="12"/>
    <x v="0"/>
    <x v="30"/>
    <x v="1"/>
    <x v="2"/>
    <x v="3"/>
    <n v="5.5"/>
    <n v="221.1"/>
  </r>
  <r>
    <x v="32"/>
    <x v="32"/>
    <x v="12"/>
    <x v="12"/>
    <x v="0"/>
    <x v="30"/>
    <x v="1"/>
    <x v="2"/>
    <x v="2"/>
    <n v="0.5"/>
    <n v="14.81"/>
  </r>
  <r>
    <x v="32"/>
    <x v="32"/>
    <x v="12"/>
    <x v="12"/>
    <x v="0"/>
    <x v="30"/>
    <x v="1"/>
    <x v="3"/>
    <x v="0"/>
    <n v="2.5"/>
    <n v="79.03"/>
  </r>
  <r>
    <x v="32"/>
    <x v="32"/>
    <x v="12"/>
    <x v="12"/>
    <x v="0"/>
    <x v="30"/>
    <x v="1"/>
    <x v="3"/>
    <x v="3"/>
    <n v="5.5"/>
    <n v="221.1"/>
  </r>
  <r>
    <x v="32"/>
    <x v="32"/>
    <x v="12"/>
    <x v="12"/>
    <x v="0"/>
    <x v="30"/>
    <x v="1"/>
    <x v="3"/>
    <x v="1"/>
    <n v="0.5"/>
    <n v="20.36"/>
  </r>
  <r>
    <x v="32"/>
    <x v="32"/>
    <x v="12"/>
    <x v="12"/>
    <x v="0"/>
    <x v="30"/>
    <x v="1"/>
    <x v="4"/>
    <x v="0"/>
    <n v="2.5"/>
    <n v="79.03"/>
  </r>
  <r>
    <x v="32"/>
    <x v="32"/>
    <x v="12"/>
    <x v="12"/>
    <x v="0"/>
    <x v="30"/>
    <x v="1"/>
    <x v="4"/>
    <x v="3"/>
    <n v="5.5"/>
    <n v="221.1"/>
  </r>
  <r>
    <x v="33"/>
    <x v="33"/>
    <x v="0"/>
    <x v="0"/>
    <x v="0"/>
    <x v="31"/>
    <x v="1"/>
    <x v="0"/>
    <x v="0"/>
    <n v="8"/>
    <n v="240.88"/>
  </r>
  <r>
    <x v="33"/>
    <x v="33"/>
    <x v="0"/>
    <x v="0"/>
    <x v="0"/>
    <x v="31"/>
    <x v="1"/>
    <x v="1"/>
    <x v="0"/>
    <n v="8"/>
    <n v="240.88"/>
  </r>
  <r>
    <x v="33"/>
    <x v="33"/>
    <x v="0"/>
    <x v="0"/>
    <x v="0"/>
    <x v="31"/>
    <x v="1"/>
    <x v="2"/>
    <x v="0"/>
    <n v="6"/>
    <n v="180.66"/>
  </r>
  <r>
    <x v="33"/>
    <x v="33"/>
    <x v="0"/>
    <x v="0"/>
    <x v="0"/>
    <x v="31"/>
    <x v="1"/>
    <x v="3"/>
    <x v="0"/>
    <n v="8"/>
    <n v="240.88"/>
  </r>
  <r>
    <x v="33"/>
    <x v="33"/>
    <x v="0"/>
    <x v="0"/>
    <x v="0"/>
    <x v="31"/>
    <x v="1"/>
    <x v="4"/>
    <x v="0"/>
    <n v="7.75"/>
    <n v="233.35"/>
  </r>
  <r>
    <x v="34"/>
    <x v="34"/>
    <x v="13"/>
    <x v="13"/>
    <x v="0"/>
    <x v="26"/>
    <x v="1"/>
    <x v="0"/>
    <x v="0"/>
    <n v="8"/>
    <n v="264.8"/>
  </r>
  <r>
    <x v="34"/>
    <x v="34"/>
    <x v="13"/>
    <x v="13"/>
    <x v="0"/>
    <x v="26"/>
    <x v="1"/>
    <x v="1"/>
    <x v="0"/>
    <n v="8"/>
    <n v="264.8"/>
  </r>
  <r>
    <x v="34"/>
    <x v="34"/>
    <x v="13"/>
    <x v="13"/>
    <x v="0"/>
    <x v="26"/>
    <x v="1"/>
    <x v="2"/>
    <x v="0"/>
    <n v="8"/>
    <n v="264.8"/>
  </r>
  <r>
    <x v="34"/>
    <x v="34"/>
    <x v="13"/>
    <x v="13"/>
    <x v="0"/>
    <x v="26"/>
    <x v="1"/>
    <x v="4"/>
    <x v="0"/>
    <n v="6.75"/>
    <n v="223.43"/>
  </r>
  <r>
    <x v="35"/>
    <x v="35"/>
    <x v="7"/>
    <x v="7"/>
    <x v="0"/>
    <x v="31"/>
    <x v="1"/>
    <x v="0"/>
    <x v="0"/>
    <n v="8"/>
    <n v="243.6"/>
  </r>
  <r>
    <x v="35"/>
    <x v="35"/>
    <x v="7"/>
    <x v="7"/>
    <x v="0"/>
    <x v="31"/>
    <x v="1"/>
    <x v="1"/>
    <x v="0"/>
    <n v="8"/>
    <n v="243.6"/>
  </r>
  <r>
    <x v="35"/>
    <x v="35"/>
    <x v="7"/>
    <x v="7"/>
    <x v="0"/>
    <x v="31"/>
    <x v="1"/>
    <x v="2"/>
    <x v="0"/>
    <n v="8"/>
    <n v="243.6"/>
  </r>
  <r>
    <x v="35"/>
    <x v="35"/>
    <x v="7"/>
    <x v="7"/>
    <x v="0"/>
    <x v="31"/>
    <x v="1"/>
    <x v="3"/>
    <x v="0"/>
    <n v="8"/>
    <n v="243.6"/>
  </r>
  <r>
    <x v="35"/>
    <x v="35"/>
    <x v="7"/>
    <x v="7"/>
    <x v="0"/>
    <x v="31"/>
    <x v="1"/>
    <x v="4"/>
    <x v="0"/>
    <n v="7.5"/>
    <n v="228.38"/>
  </r>
  <r>
    <x v="36"/>
    <x v="36"/>
    <x v="14"/>
    <x v="14"/>
    <x v="0"/>
    <x v="32"/>
    <x v="1"/>
    <x v="0"/>
    <x v="0"/>
    <n v="7.75"/>
    <n v="253.04"/>
  </r>
  <r>
    <x v="36"/>
    <x v="36"/>
    <x v="14"/>
    <x v="14"/>
    <x v="0"/>
    <x v="32"/>
    <x v="1"/>
    <x v="1"/>
    <x v="0"/>
    <n v="7.75"/>
    <n v="253.04"/>
  </r>
  <r>
    <x v="36"/>
    <x v="36"/>
    <x v="14"/>
    <x v="14"/>
    <x v="0"/>
    <x v="32"/>
    <x v="1"/>
    <x v="2"/>
    <x v="0"/>
    <n v="7.75"/>
    <n v="253.04"/>
  </r>
  <r>
    <x v="36"/>
    <x v="36"/>
    <x v="14"/>
    <x v="14"/>
    <x v="0"/>
    <x v="32"/>
    <x v="1"/>
    <x v="3"/>
    <x v="0"/>
    <n v="7.75"/>
    <n v="253.04"/>
  </r>
  <r>
    <x v="36"/>
    <x v="36"/>
    <x v="14"/>
    <x v="14"/>
    <x v="0"/>
    <x v="32"/>
    <x v="1"/>
    <x v="4"/>
    <x v="0"/>
    <n v="7.5"/>
    <n v="244.88"/>
  </r>
  <r>
    <x v="37"/>
    <x v="37"/>
    <x v="12"/>
    <x v="12"/>
    <x v="0"/>
    <x v="33"/>
    <x v="1"/>
    <x v="0"/>
    <x v="0"/>
    <n v="8"/>
    <n v="252.88"/>
  </r>
  <r>
    <x v="37"/>
    <x v="37"/>
    <x v="12"/>
    <x v="12"/>
    <x v="0"/>
    <x v="33"/>
    <x v="1"/>
    <x v="1"/>
    <x v="0"/>
    <n v="7.75"/>
    <n v="244.98"/>
  </r>
  <r>
    <x v="37"/>
    <x v="37"/>
    <x v="12"/>
    <x v="12"/>
    <x v="0"/>
    <x v="33"/>
    <x v="1"/>
    <x v="2"/>
    <x v="0"/>
    <n v="7.75"/>
    <n v="244.98"/>
  </r>
  <r>
    <x v="37"/>
    <x v="37"/>
    <x v="12"/>
    <x v="12"/>
    <x v="0"/>
    <x v="33"/>
    <x v="1"/>
    <x v="3"/>
    <x v="0"/>
    <n v="7.75"/>
    <n v="244.98"/>
  </r>
  <r>
    <x v="37"/>
    <x v="37"/>
    <x v="12"/>
    <x v="12"/>
    <x v="0"/>
    <x v="33"/>
    <x v="1"/>
    <x v="4"/>
    <x v="0"/>
    <n v="8"/>
    <n v="252.88"/>
  </r>
  <r>
    <x v="38"/>
    <x v="38"/>
    <x v="15"/>
    <x v="15"/>
    <x v="0"/>
    <x v="25"/>
    <x v="0"/>
    <x v="0"/>
    <x v="0"/>
    <n v="3.25"/>
    <n v="103.29"/>
  </r>
  <r>
    <x v="38"/>
    <x v="38"/>
    <x v="15"/>
    <x v="15"/>
    <x v="0"/>
    <x v="25"/>
    <x v="0"/>
    <x v="0"/>
    <x v="3"/>
    <n v="5"/>
    <n v="202.55"/>
  </r>
  <r>
    <x v="38"/>
    <x v="38"/>
    <x v="15"/>
    <x v="15"/>
    <x v="0"/>
    <x v="25"/>
    <x v="0"/>
    <x v="0"/>
    <x v="1"/>
    <n v="1"/>
    <n v="41.04"/>
  </r>
  <r>
    <x v="38"/>
    <x v="38"/>
    <x v="15"/>
    <x v="15"/>
    <x v="0"/>
    <x v="25"/>
    <x v="0"/>
    <x v="1"/>
    <x v="0"/>
    <n v="0.5"/>
    <n v="15.89"/>
  </r>
  <r>
    <x v="38"/>
    <x v="38"/>
    <x v="15"/>
    <x v="15"/>
    <x v="0"/>
    <x v="25"/>
    <x v="0"/>
    <x v="1"/>
    <x v="3"/>
    <n v="5.25"/>
    <n v="212.68"/>
  </r>
  <r>
    <x v="38"/>
    <x v="38"/>
    <x v="15"/>
    <x v="15"/>
    <x v="0"/>
    <x v="25"/>
    <x v="0"/>
    <x v="1"/>
    <x v="1"/>
    <n v="1.25"/>
    <n v="51.3"/>
  </r>
  <r>
    <x v="38"/>
    <x v="38"/>
    <x v="15"/>
    <x v="15"/>
    <x v="0"/>
    <x v="25"/>
    <x v="0"/>
    <x v="1"/>
    <x v="2"/>
    <n v="2"/>
    <n v="60.48"/>
  </r>
  <r>
    <x v="38"/>
    <x v="38"/>
    <x v="15"/>
    <x v="15"/>
    <x v="0"/>
    <x v="25"/>
    <x v="0"/>
    <x v="2"/>
    <x v="3"/>
    <n v="5.5"/>
    <n v="222.81"/>
  </r>
  <r>
    <x v="38"/>
    <x v="38"/>
    <x v="15"/>
    <x v="15"/>
    <x v="0"/>
    <x v="25"/>
    <x v="0"/>
    <x v="2"/>
    <x v="1"/>
    <n v="1"/>
    <n v="41.04"/>
  </r>
  <r>
    <x v="38"/>
    <x v="38"/>
    <x v="15"/>
    <x v="15"/>
    <x v="0"/>
    <x v="25"/>
    <x v="0"/>
    <x v="2"/>
    <x v="2"/>
    <n v="2.75"/>
    <n v="83.16"/>
  </r>
  <r>
    <x v="38"/>
    <x v="38"/>
    <x v="15"/>
    <x v="15"/>
    <x v="0"/>
    <x v="25"/>
    <x v="0"/>
    <x v="3"/>
    <x v="0"/>
    <n v="2.75"/>
    <n v="87.4"/>
  </r>
  <r>
    <x v="38"/>
    <x v="38"/>
    <x v="15"/>
    <x v="15"/>
    <x v="0"/>
    <x v="25"/>
    <x v="0"/>
    <x v="3"/>
    <x v="3"/>
    <n v="5.25"/>
    <n v="212.68"/>
  </r>
  <r>
    <x v="38"/>
    <x v="38"/>
    <x v="15"/>
    <x v="15"/>
    <x v="0"/>
    <x v="25"/>
    <x v="0"/>
    <x v="3"/>
    <x v="1"/>
    <n v="0.75"/>
    <n v="30.78"/>
  </r>
  <r>
    <x v="38"/>
    <x v="38"/>
    <x v="15"/>
    <x v="15"/>
    <x v="0"/>
    <x v="25"/>
    <x v="0"/>
    <x v="4"/>
    <x v="0"/>
    <n v="3"/>
    <n v="95.34"/>
  </r>
  <r>
    <x v="38"/>
    <x v="38"/>
    <x v="15"/>
    <x v="15"/>
    <x v="0"/>
    <x v="25"/>
    <x v="0"/>
    <x v="4"/>
    <x v="3"/>
    <n v="5.25"/>
    <n v="212.68"/>
  </r>
  <r>
    <x v="38"/>
    <x v="38"/>
    <x v="15"/>
    <x v="15"/>
    <x v="0"/>
    <x v="25"/>
    <x v="0"/>
    <x v="4"/>
    <x v="1"/>
    <n v="0.25"/>
    <n v="10.26"/>
  </r>
  <r>
    <x v="39"/>
    <x v="39"/>
    <x v="15"/>
    <x v="15"/>
    <x v="0"/>
    <x v="34"/>
    <x v="0"/>
    <x v="0"/>
    <x v="0"/>
    <n v="10"/>
    <n v="317.8"/>
  </r>
  <r>
    <x v="39"/>
    <x v="39"/>
    <x v="15"/>
    <x v="15"/>
    <x v="0"/>
    <x v="34"/>
    <x v="0"/>
    <x v="1"/>
    <x v="0"/>
    <n v="8"/>
    <n v="254.24"/>
  </r>
  <r>
    <x v="39"/>
    <x v="39"/>
    <x v="15"/>
    <x v="15"/>
    <x v="0"/>
    <x v="34"/>
    <x v="0"/>
    <x v="2"/>
    <x v="0"/>
    <n v="9.5"/>
    <n v="301.91000000000003"/>
  </r>
  <r>
    <x v="39"/>
    <x v="39"/>
    <x v="15"/>
    <x v="15"/>
    <x v="0"/>
    <x v="34"/>
    <x v="0"/>
    <x v="3"/>
    <x v="0"/>
    <n v="6.75"/>
    <n v="214.52"/>
  </r>
  <r>
    <x v="39"/>
    <x v="39"/>
    <x v="15"/>
    <x v="15"/>
    <x v="0"/>
    <x v="34"/>
    <x v="0"/>
    <x v="3"/>
    <x v="2"/>
    <n v="3.75"/>
    <n v="113.4"/>
  </r>
  <r>
    <x v="39"/>
    <x v="39"/>
    <x v="15"/>
    <x v="15"/>
    <x v="0"/>
    <x v="34"/>
    <x v="0"/>
    <x v="4"/>
    <x v="0"/>
    <n v="5.75"/>
    <n v="182.74"/>
  </r>
  <r>
    <x v="40"/>
    <x v="40"/>
    <x v="0"/>
    <x v="0"/>
    <x v="0"/>
    <x v="35"/>
    <x v="1"/>
    <x v="0"/>
    <x v="0"/>
    <n v="8"/>
    <n v="240.88"/>
  </r>
  <r>
    <x v="40"/>
    <x v="40"/>
    <x v="0"/>
    <x v="0"/>
    <x v="0"/>
    <x v="35"/>
    <x v="1"/>
    <x v="1"/>
    <x v="0"/>
    <n v="7.75"/>
    <n v="233.35"/>
  </r>
  <r>
    <x v="40"/>
    <x v="40"/>
    <x v="0"/>
    <x v="0"/>
    <x v="0"/>
    <x v="35"/>
    <x v="1"/>
    <x v="2"/>
    <x v="0"/>
    <n v="8.5"/>
    <n v="255.94"/>
  </r>
  <r>
    <x v="40"/>
    <x v="40"/>
    <x v="0"/>
    <x v="0"/>
    <x v="0"/>
    <x v="35"/>
    <x v="1"/>
    <x v="3"/>
    <x v="0"/>
    <n v="8"/>
    <n v="240.88"/>
  </r>
  <r>
    <x v="41"/>
    <x v="41"/>
    <x v="0"/>
    <x v="0"/>
    <x v="0"/>
    <x v="35"/>
    <x v="1"/>
    <x v="0"/>
    <x v="0"/>
    <n v="8"/>
    <n v="240.88"/>
  </r>
  <r>
    <x v="41"/>
    <x v="41"/>
    <x v="0"/>
    <x v="0"/>
    <x v="0"/>
    <x v="35"/>
    <x v="1"/>
    <x v="1"/>
    <x v="0"/>
    <n v="7.75"/>
    <n v="233.35"/>
  </r>
  <r>
    <x v="41"/>
    <x v="41"/>
    <x v="0"/>
    <x v="0"/>
    <x v="0"/>
    <x v="35"/>
    <x v="1"/>
    <x v="2"/>
    <x v="0"/>
    <n v="9"/>
    <n v="270.99"/>
  </r>
  <r>
    <x v="41"/>
    <x v="41"/>
    <x v="0"/>
    <x v="0"/>
    <x v="0"/>
    <x v="35"/>
    <x v="1"/>
    <x v="3"/>
    <x v="0"/>
    <n v="8"/>
    <n v="240.88"/>
  </r>
  <r>
    <x v="42"/>
    <x v="42"/>
    <x v="15"/>
    <x v="15"/>
    <x v="0"/>
    <x v="36"/>
    <x v="0"/>
    <x v="0"/>
    <x v="0"/>
    <n v="8"/>
    <n v="254.24"/>
  </r>
  <r>
    <x v="42"/>
    <x v="42"/>
    <x v="15"/>
    <x v="15"/>
    <x v="0"/>
    <x v="36"/>
    <x v="0"/>
    <x v="1"/>
    <x v="0"/>
    <n v="8"/>
    <n v="254.24"/>
  </r>
  <r>
    <x v="42"/>
    <x v="42"/>
    <x v="15"/>
    <x v="15"/>
    <x v="0"/>
    <x v="36"/>
    <x v="0"/>
    <x v="2"/>
    <x v="0"/>
    <n v="8"/>
    <n v="254.24"/>
  </r>
  <r>
    <x v="42"/>
    <x v="42"/>
    <x v="15"/>
    <x v="15"/>
    <x v="0"/>
    <x v="36"/>
    <x v="0"/>
    <x v="3"/>
    <x v="0"/>
    <n v="8"/>
    <n v="254.24"/>
  </r>
  <r>
    <x v="42"/>
    <x v="42"/>
    <x v="15"/>
    <x v="15"/>
    <x v="0"/>
    <x v="36"/>
    <x v="0"/>
    <x v="4"/>
    <x v="0"/>
    <n v="4"/>
    <n v="127.12"/>
  </r>
  <r>
    <x v="42"/>
    <x v="42"/>
    <x v="15"/>
    <x v="15"/>
    <x v="0"/>
    <x v="36"/>
    <x v="0"/>
    <x v="5"/>
    <x v="0"/>
    <n v="4"/>
    <n v="127.12"/>
  </r>
  <r>
    <x v="42"/>
    <x v="42"/>
    <x v="15"/>
    <x v="15"/>
    <x v="0"/>
    <x v="36"/>
    <x v="0"/>
    <x v="5"/>
    <x v="4"/>
    <n v="2.25"/>
    <n v="87.48"/>
  </r>
  <r>
    <x v="42"/>
    <x v="42"/>
    <x v="15"/>
    <x v="15"/>
    <x v="0"/>
    <x v="36"/>
    <x v="0"/>
    <x v="5"/>
    <x v="5"/>
    <n v="0.25"/>
    <n v="10.8"/>
  </r>
  <r>
    <x v="43"/>
    <x v="43"/>
    <x v="0"/>
    <x v="0"/>
    <x v="0"/>
    <x v="34"/>
    <x v="0"/>
    <x v="0"/>
    <x v="0"/>
    <n v="8"/>
    <n v="240.32"/>
  </r>
  <r>
    <x v="43"/>
    <x v="43"/>
    <x v="0"/>
    <x v="0"/>
    <x v="0"/>
    <x v="34"/>
    <x v="0"/>
    <x v="1"/>
    <x v="0"/>
    <n v="7.5"/>
    <n v="225.3"/>
  </r>
  <r>
    <x v="43"/>
    <x v="43"/>
    <x v="0"/>
    <x v="0"/>
    <x v="0"/>
    <x v="34"/>
    <x v="0"/>
    <x v="2"/>
    <x v="0"/>
    <n v="7.5"/>
    <n v="225.3"/>
  </r>
  <r>
    <x v="43"/>
    <x v="43"/>
    <x v="0"/>
    <x v="0"/>
    <x v="0"/>
    <x v="34"/>
    <x v="0"/>
    <x v="3"/>
    <x v="0"/>
    <n v="7.5"/>
    <n v="225.3"/>
  </r>
  <r>
    <x v="43"/>
    <x v="43"/>
    <x v="0"/>
    <x v="0"/>
    <x v="0"/>
    <x v="34"/>
    <x v="0"/>
    <x v="4"/>
    <x v="0"/>
    <n v="8.5"/>
    <n v="255.34"/>
  </r>
  <r>
    <x v="44"/>
    <x v="44"/>
    <x v="1"/>
    <x v="1"/>
    <x v="0"/>
    <x v="37"/>
    <x v="1"/>
    <x v="0"/>
    <x v="0"/>
    <n v="2.5"/>
    <n v="80.7"/>
  </r>
  <r>
    <x v="44"/>
    <x v="44"/>
    <x v="1"/>
    <x v="1"/>
    <x v="0"/>
    <x v="37"/>
    <x v="1"/>
    <x v="0"/>
    <x v="3"/>
    <n v="4.75"/>
    <n v="195.08"/>
  </r>
  <r>
    <x v="44"/>
    <x v="44"/>
    <x v="1"/>
    <x v="1"/>
    <x v="0"/>
    <x v="37"/>
    <x v="1"/>
    <x v="1"/>
    <x v="0"/>
    <n v="2.5"/>
    <n v="80.7"/>
  </r>
  <r>
    <x v="44"/>
    <x v="44"/>
    <x v="1"/>
    <x v="1"/>
    <x v="0"/>
    <x v="37"/>
    <x v="1"/>
    <x v="1"/>
    <x v="3"/>
    <n v="5.25"/>
    <n v="215.62"/>
  </r>
  <r>
    <x v="44"/>
    <x v="44"/>
    <x v="1"/>
    <x v="1"/>
    <x v="0"/>
    <x v="37"/>
    <x v="1"/>
    <x v="1"/>
    <x v="1"/>
    <n v="0.25"/>
    <n v="10.4"/>
  </r>
  <r>
    <x v="44"/>
    <x v="44"/>
    <x v="1"/>
    <x v="1"/>
    <x v="0"/>
    <x v="37"/>
    <x v="1"/>
    <x v="2"/>
    <x v="0"/>
    <n v="2.25"/>
    <n v="72.63"/>
  </r>
  <r>
    <x v="44"/>
    <x v="44"/>
    <x v="1"/>
    <x v="1"/>
    <x v="0"/>
    <x v="37"/>
    <x v="1"/>
    <x v="2"/>
    <x v="3"/>
    <n v="5.5"/>
    <n v="225.89"/>
  </r>
  <r>
    <x v="44"/>
    <x v="44"/>
    <x v="1"/>
    <x v="1"/>
    <x v="0"/>
    <x v="37"/>
    <x v="1"/>
    <x v="2"/>
    <x v="1"/>
    <n v="0.75"/>
    <n v="31.21"/>
  </r>
  <r>
    <x v="44"/>
    <x v="44"/>
    <x v="1"/>
    <x v="1"/>
    <x v="0"/>
    <x v="37"/>
    <x v="1"/>
    <x v="3"/>
    <x v="0"/>
    <n v="2.5"/>
    <n v="80.7"/>
  </r>
  <r>
    <x v="44"/>
    <x v="44"/>
    <x v="1"/>
    <x v="1"/>
    <x v="0"/>
    <x v="37"/>
    <x v="1"/>
    <x v="3"/>
    <x v="3"/>
    <n v="5"/>
    <n v="205.35"/>
  </r>
  <r>
    <x v="44"/>
    <x v="44"/>
    <x v="1"/>
    <x v="1"/>
    <x v="0"/>
    <x v="37"/>
    <x v="1"/>
    <x v="3"/>
    <x v="1"/>
    <n v="0.75"/>
    <n v="31.21"/>
  </r>
  <r>
    <x v="44"/>
    <x v="44"/>
    <x v="1"/>
    <x v="1"/>
    <x v="0"/>
    <x v="37"/>
    <x v="1"/>
    <x v="4"/>
    <x v="0"/>
    <n v="2.25"/>
    <n v="72.63"/>
  </r>
  <r>
    <x v="44"/>
    <x v="44"/>
    <x v="1"/>
    <x v="1"/>
    <x v="0"/>
    <x v="37"/>
    <x v="1"/>
    <x v="4"/>
    <x v="3"/>
    <n v="4.5"/>
    <n v="184.82"/>
  </r>
  <r>
    <x v="45"/>
    <x v="45"/>
    <x v="0"/>
    <x v="0"/>
    <x v="0"/>
    <x v="36"/>
    <x v="0"/>
    <x v="0"/>
    <x v="0"/>
    <n v="2.25"/>
    <n v="67.59"/>
  </r>
  <r>
    <x v="45"/>
    <x v="45"/>
    <x v="0"/>
    <x v="0"/>
    <x v="0"/>
    <x v="36"/>
    <x v="0"/>
    <x v="0"/>
    <x v="3"/>
    <n v="5.25"/>
    <n v="200.76"/>
  </r>
  <r>
    <x v="45"/>
    <x v="45"/>
    <x v="0"/>
    <x v="0"/>
    <x v="0"/>
    <x v="36"/>
    <x v="0"/>
    <x v="2"/>
    <x v="0"/>
    <n v="2.25"/>
    <n v="67.59"/>
  </r>
  <r>
    <x v="45"/>
    <x v="45"/>
    <x v="0"/>
    <x v="0"/>
    <x v="0"/>
    <x v="36"/>
    <x v="0"/>
    <x v="2"/>
    <x v="3"/>
    <n v="4.75"/>
    <n v="181.64"/>
  </r>
  <r>
    <x v="45"/>
    <x v="45"/>
    <x v="0"/>
    <x v="0"/>
    <x v="0"/>
    <x v="36"/>
    <x v="0"/>
    <x v="3"/>
    <x v="0"/>
    <n v="2.25"/>
    <n v="67.59"/>
  </r>
  <r>
    <x v="45"/>
    <x v="45"/>
    <x v="0"/>
    <x v="0"/>
    <x v="0"/>
    <x v="36"/>
    <x v="0"/>
    <x v="3"/>
    <x v="3"/>
    <n v="5.25"/>
    <n v="200.76"/>
  </r>
  <r>
    <x v="45"/>
    <x v="45"/>
    <x v="0"/>
    <x v="0"/>
    <x v="0"/>
    <x v="36"/>
    <x v="0"/>
    <x v="4"/>
    <x v="0"/>
    <n v="2.25"/>
    <n v="67.59"/>
  </r>
  <r>
    <x v="45"/>
    <x v="45"/>
    <x v="0"/>
    <x v="0"/>
    <x v="0"/>
    <x v="36"/>
    <x v="0"/>
    <x v="4"/>
    <x v="3"/>
    <n v="5"/>
    <n v="191.2"/>
  </r>
  <r>
    <x v="46"/>
    <x v="46"/>
    <x v="0"/>
    <x v="0"/>
    <x v="0"/>
    <x v="25"/>
    <x v="0"/>
    <x v="0"/>
    <x v="0"/>
    <n v="8"/>
    <n v="240.32"/>
  </r>
  <r>
    <x v="46"/>
    <x v="46"/>
    <x v="0"/>
    <x v="0"/>
    <x v="0"/>
    <x v="25"/>
    <x v="0"/>
    <x v="1"/>
    <x v="0"/>
    <n v="8"/>
    <n v="240.32"/>
  </r>
  <r>
    <x v="46"/>
    <x v="46"/>
    <x v="0"/>
    <x v="0"/>
    <x v="0"/>
    <x v="25"/>
    <x v="0"/>
    <x v="2"/>
    <x v="0"/>
    <n v="5"/>
    <n v="150.19999999999999"/>
  </r>
  <r>
    <x v="46"/>
    <x v="46"/>
    <x v="0"/>
    <x v="0"/>
    <x v="0"/>
    <x v="25"/>
    <x v="0"/>
    <x v="3"/>
    <x v="0"/>
    <n v="8"/>
    <n v="240.32"/>
  </r>
  <r>
    <x v="46"/>
    <x v="46"/>
    <x v="0"/>
    <x v="0"/>
    <x v="0"/>
    <x v="25"/>
    <x v="0"/>
    <x v="4"/>
    <x v="0"/>
    <n v="7.75"/>
    <n v="232.81"/>
  </r>
  <r>
    <x v="47"/>
    <x v="47"/>
    <x v="15"/>
    <x v="15"/>
    <x v="0"/>
    <x v="38"/>
    <x v="0"/>
    <x v="0"/>
    <x v="0"/>
    <n v="2.25"/>
    <n v="71.510000000000005"/>
  </r>
  <r>
    <x v="47"/>
    <x v="47"/>
    <x v="15"/>
    <x v="15"/>
    <x v="0"/>
    <x v="38"/>
    <x v="0"/>
    <x v="0"/>
    <x v="3"/>
    <n v="5"/>
    <n v="202.55"/>
  </r>
  <r>
    <x v="47"/>
    <x v="47"/>
    <x v="15"/>
    <x v="15"/>
    <x v="0"/>
    <x v="38"/>
    <x v="0"/>
    <x v="1"/>
    <x v="0"/>
    <n v="2.5"/>
    <n v="79.45"/>
  </r>
  <r>
    <x v="47"/>
    <x v="47"/>
    <x v="15"/>
    <x v="15"/>
    <x v="0"/>
    <x v="38"/>
    <x v="0"/>
    <x v="1"/>
    <x v="3"/>
    <n v="5.5"/>
    <n v="222.81"/>
  </r>
  <r>
    <x v="47"/>
    <x v="47"/>
    <x v="15"/>
    <x v="15"/>
    <x v="0"/>
    <x v="38"/>
    <x v="0"/>
    <x v="1"/>
    <x v="1"/>
    <n v="0.75"/>
    <n v="30.78"/>
  </r>
  <r>
    <x v="47"/>
    <x v="47"/>
    <x v="15"/>
    <x v="15"/>
    <x v="0"/>
    <x v="38"/>
    <x v="0"/>
    <x v="2"/>
    <x v="0"/>
    <n v="2.75"/>
    <n v="87.4"/>
  </r>
  <r>
    <x v="47"/>
    <x v="47"/>
    <x v="15"/>
    <x v="15"/>
    <x v="0"/>
    <x v="38"/>
    <x v="0"/>
    <x v="2"/>
    <x v="3"/>
    <n v="5.25"/>
    <n v="212.68"/>
  </r>
  <r>
    <x v="47"/>
    <x v="47"/>
    <x v="15"/>
    <x v="15"/>
    <x v="0"/>
    <x v="38"/>
    <x v="0"/>
    <x v="2"/>
    <x v="1"/>
    <n v="0.5"/>
    <n v="20.52"/>
  </r>
  <r>
    <x v="47"/>
    <x v="47"/>
    <x v="15"/>
    <x v="15"/>
    <x v="0"/>
    <x v="38"/>
    <x v="0"/>
    <x v="3"/>
    <x v="0"/>
    <n v="2.75"/>
    <n v="87.4"/>
  </r>
  <r>
    <x v="47"/>
    <x v="47"/>
    <x v="15"/>
    <x v="15"/>
    <x v="0"/>
    <x v="38"/>
    <x v="0"/>
    <x v="3"/>
    <x v="3"/>
    <n v="5.25"/>
    <n v="212.68"/>
  </r>
  <r>
    <x v="47"/>
    <x v="47"/>
    <x v="15"/>
    <x v="15"/>
    <x v="0"/>
    <x v="38"/>
    <x v="0"/>
    <x v="3"/>
    <x v="1"/>
    <n v="0.5"/>
    <n v="20.52"/>
  </r>
  <r>
    <x v="47"/>
    <x v="47"/>
    <x v="15"/>
    <x v="15"/>
    <x v="0"/>
    <x v="38"/>
    <x v="0"/>
    <x v="4"/>
    <x v="0"/>
    <n v="2.5"/>
    <n v="79.45"/>
  </r>
  <r>
    <x v="47"/>
    <x v="47"/>
    <x v="15"/>
    <x v="15"/>
    <x v="0"/>
    <x v="38"/>
    <x v="0"/>
    <x v="4"/>
    <x v="3"/>
    <n v="4.5"/>
    <n v="182.3"/>
  </r>
  <r>
    <x v="48"/>
    <x v="48"/>
    <x v="15"/>
    <x v="15"/>
    <x v="0"/>
    <x v="39"/>
    <x v="1"/>
    <x v="0"/>
    <x v="0"/>
    <n v="2.5"/>
    <n v="79.63"/>
  </r>
  <r>
    <x v="48"/>
    <x v="48"/>
    <x v="15"/>
    <x v="15"/>
    <x v="0"/>
    <x v="39"/>
    <x v="1"/>
    <x v="0"/>
    <x v="3"/>
    <n v="4.25"/>
    <n v="172.21"/>
  </r>
  <r>
    <x v="48"/>
    <x v="48"/>
    <x v="15"/>
    <x v="15"/>
    <x v="0"/>
    <x v="39"/>
    <x v="1"/>
    <x v="1"/>
    <x v="0"/>
    <n v="2.75"/>
    <n v="87.59"/>
  </r>
  <r>
    <x v="48"/>
    <x v="48"/>
    <x v="15"/>
    <x v="15"/>
    <x v="0"/>
    <x v="39"/>
    <x v="1"/>
    <x v="1"/>
    <x v="3"/>
    <n v="3.75"/>
    <n v="151.94999999999999"/>
  </r>
  <r>
    <x v="48"/>
    <x v="48"/>
    <x v="15"/>
    <x v="15"/>
    <x v="0"/>
    <x v="39"/>
    <x v="1"/>
    <x v="2"/>
    <x v="0"/>
    <n v="2.25"/>
    <n v="71.66"/>
  </r>
  <r>
    <x v="48"/>
    <x v="48"/>
    <x v="15"/>
    <x v="15"/>
    <x v="0"/>
    <x v="39"/>
    <x v="1"/>
    <x v="2"/>
    <x v="3"/>
    <n v="3.75"/>
    <n v="151.94999999999999"/>
  </r>
  <r>
    <x v="48"/>
    <x v="48"/>
    <x v="15"/>
    <x v="15"/>
    <x v="0"/>
    <x v="39"/>
    <x v="1"/>
    <x v="3"/>
    <x v="0"/>
    <n v="2"/>
    <n v="63.7"/>
  </r>
  <r>
    <x v="48"/>
    <x v="48"/>
    <x v="15"/>
    <x v="15"/>
    <x v="0"/>
    <x v="39"/>
    <x v="1"/>
    <x v="3"/>
    <x v="3"/>
    <n v="3.75"/>
    <n v="151.94999999999999"/>
  </r>
  <r>
    <x v="49"/>
    <x v="49"/>
    <x v="16"/>
    <x v="16"/>
    <x v="0"/>
    <x v="35"/>
    <x v="1"/>
    <x v="0"/>
    <x v="0"/>
    <n v="8"/>
    <n v="249.92"/>
  </r>
  <r>
    <x v="49"/>
    <x v="49"/>
    <x v="16"/>
    <x v="16"/>
    <x v="0"/>
    <x v="35"/>
    <x v="1"/>
    <x v="1"/>
    <x v="0"/>
    <n v="8"/>
    <n v="249.92"/>
  </r>
  <r>
    <x v="49"/>
    <x v="49"/>
    <x v="16"/>
    <x v="16"/>
    <x v="0"/>
    <x v="35"/>
    <x v="1"/>
    <x v="2"/>
    <x v="0"/>
    <n v="8"/>
    <n v="249.92"/>
  </r>
  <r>
    <x v="49"/>
    <x v="49"/>
    <x v="16"/>
    <x v="16"/>
    <x v="0"/>
    <x v="35"/>
    <x v="1"/>
    <x v="3"/>
    <x v="0"/>
    <n v="8"/>
    <n v="249.92"/>
  </r>
  <r>
    <x v="49"/>
    <x v="49"/>
    <x v="16"/>
    <x v="16"/>
    <x v="0"/>
    <x v="35"/>
    <x v="1"/>
    <x v="4"/>
    <x v="0"/>
    <n v="8"/>
    <n v="249.92"/>
  </r>
  <r>
    <x v="50"/>
    <x v="50"/>
    <x v="0"/>
    <x v="0"/>
    <x v="0"/>
    <x v="40"/>
    <x v="1"/>
    <x v="0"/>
    <x v="0"/>
    <n v="2.5"/>
    <n v="75.28"/>
  </r>
  <r>
    <x v="50"/>
    <x v="50"/>
    <x v="0"/>
    <x v="0"/>
    <x v="0"/>
    <x v="40"/>
    <x v="1"/>
    <x v="0"/>
    <x v="3"/>
    <n v="5"/>
    <n v="191.25"/>
  </r>
  <r>
    <x v="50"/>
    <x v="50"/>
    <x v="0"/>
    <x v="0"/>
    <x v="0"/>
    <x v="40"/>
    <x v="1"/>
    <x v="1"/>
    <x v="0"/>
    <n v="2.5"/>
    <n v="75.28"/>
  </r>
  <r>
    <x v="50"/>
    <x v="50"/>
    <x v="0"/>
    <x v="0"/>
    <x v="0"/>
    <x v="40"/>
    <x v="1"/>
    <x v="1"/>
    <x v="3"/>
    <n v="5.25"/>
    <n v="200.81"/>
  </r>
  <r>
    <x v="50"/>
    <x v="50"/>
    <x v="0"/>
    <x v="0"/>
    <x v="0"/>
    <x v="40"/>
    <x v="1"/>
    <x v="2"/>
    <x v="0"/>
    <n v="1.75"/>
    <n v="52.69"/>
  </r>
  <r>
    <x v="50"/>
    <x v="50"/>
    <x v="0"/>
    <x v="0"/>
    <x v="0"/>
    <x v="40"/>
    <x v="1"/>
    <x v="2"/>
    <x v="3"/>
    <n v="5.25"/>
    <n v="200.81"/>
  </r>
  <r>
    <x v="50"/>
    <x v="50"/>
    <x v="0"/>
    <x v="0"/>
    <x v="0"/>
    <x v="40"/>
    <x v="1"/>
    <x v="2"/>
    <x v="1"/>
    <n v="0.5"/>
    <n v="19.37"/>
  </r>
  <r>
    <x v="50"/>
    <x v="50"/>
    <x v="0"/>
    <x v="0"/>
    <x v="0"/>
    <x v="40"/>
    <x v="1"/>
    <x v="3"/>
    <x v="0"/>
    <n v="2.25"/>
    <n v="67.75"/>
  </r>
  <r>
    <x v="50"/>
    <x v="50"/>
    <x v="0"/>
    <x v="0"/>
    <x v="0"/>
    <x v="40"/>
    <x v="1"/>
    <x v="3"/>
    <x v="3"/>
    <n v="5.25"/>
    <n v="200.81"/>
  </r>
  <r>
    <x v="50"/>
    <x v="50"/>
    <x v="0"/>
    <x v="0"/>
    <x v="0"/>
    <x v="40"/>
    <x v="1"/>
    <x v="4"/>
    <x v="0"/>
    <n v="2.25"/>
    <n v="67.75"/>
  </r>
  <r>
    <x v="50"/>
    <x v="50"/>
    <x v="0"/>
    <x v="0"/>
    <x v="0"/>
    <x v="40"/>
    <x v="1"/>
    <x v="4"/>
    <x v="3"/>
    <n v="4.5"/>
    <n v="172.13"/>
  </r>
  <r>
    <x v="51"/>
    <x v="51"/>
    <x v="0"/>
    <x v="0"/>
    <x v="0"/>
    <x v="35"/>
    <x v="1"/>
    <x v="0"/>
    <x v="0"/>
    <n v="9.5"/>
    <n v="286.05"/>
  </r>
  <r>
    <x v="51"/>
    <x v="51"/>
    <x v="0"/>
    <x v="0"/>
    <x v="0"/>
    <x v="35"/>
    <x v="1"/>
    <x v="1"/>
    <x v="0"/>
    <n v="9"/>
    <n v="270.99"/>
  </r>
  <r>
    <x v="51"/>
    <x v="51"/>
    <x v="0"/>
    <x v="0"/>
    <x v="0"/>
    <x v="35"/>
    <x v="1"/>
    <x v="2"/>
    <x v="0"/>
    <n v="9"/>
    <n v="270.99"/>
  </r>
  <r>
    <x v="51"/>
    <x v="51"/>
    <x v="0"/>
    <x v="0"/>
    <x v="0"/>
    <x v="35"/>
    <x v="1"/>
    <x v="3"/>
    <x v="0"/>
    <n v="3.5"/>
    <n v="105.39"/>
  </r>
  <r>
    <x v="51"/>
    <x v="51"/>
    <x v="0"/>
    <x v="0"/>
    <x v="0"/>
    <x v="35"/>
    <x v="1"/>
    <x v="3"/>
    <x v="2"/>
    <n v="5.5"/>
    <n v="154.44"/>
  </r>
  <r>
    <x v="51"/>
    <x v="51"/>
    <x v="0"/>
    <x v="0"/>
    <x v="0"/>
    <x v="35"/>
    <x v="1"/>
    <x v="4"/>
    <x v="0"/>
    <n v="9"/>
    <n v="270.99"/>
  </r>
  <r>
    <x v="52"/>
    <x v="52"/>
    <x v="0"/>
    <x v="0"/>
    <x v="0"/>
    <x v="41"/>
    <x v="1"/>
    <x v="0"/>
    <x v="0"/>
    <n v="8"/>
    <n v="240.88"/>
  </r>
  <r>
    <x v="52"/>
    <x v="52"/>
    <x v="0"/>
    <x v="0"/>
    <x v="0"/>
    <x v="41"/>
    <x v="1"/>
    <x v="2"/>
    <x v="0"/>
    <n v="8"/>
    <n v="240.88"/>
  </r>
  <r>
    <x v="52"/>
    <x v="52"/>
    <x v="0"/>
    <x v="0"/>
    <x v="0"/>
    <x v="41"/>
    <x v="1"/>
    <x v="3"/>
    <x v="0"/>
    <n v="8"/>
    <n v="240.88"/>
  </r>
  <r>
    <x v="52"/>
    <x v="52"/>
    <x v="0"/>
    <x v="0"/>
    <x v="0"/>
    <x v="41"/>
    <x v="1"/>
    <x v="4"/>
    <x v="0"/>
    <n v="7.5"/>
    <n v="225.83"/>
  </r>
  <r>
    <x v="53"/>
    <x v="53"/>
    <x v="15"/>
    <x v="15"/>
    <x v="0"/>
    <x v="42"/>
    <x v="1"/>
    <x v="0"/>
    <x v="0"/>
    <n v="7"/>
    <n v="222.95"/>
  </r>
  <r>
    <x v="53"/>
    <x v="53"/>
    <x v="15"/>
    <x v="15"/>
    <x v="0"/>
    <x v="42"/>
    <x v="1"/>
    <x v="0"/>
    <x v="1"/>
    <n v="1"/>
    <n v="41.04"/>
  </r>
  <r>
    <x v="53"/>
    <x v="53"/>
    <x v="15"/>
    <x v="15"/>
    <x v="0"/>
    <x v="42"/>
    <x v="1"/>
    <x v="1"/>
    <x v="0"/>
    <n v="6.75"/>
    <n v="214.99"/>
  </r>
  <r>
    <x v="53"/>
    <x v="53"/>
    <x v="15"/>
    <x v="15"/>
    <x v="0"/>
    <x v="42"/>
    <x v="1"/>
    <x v="1"/>
    <x v="1"/>
    <n v="1"/>
    <n v="41.04"/>
  </r>
  <r>
    <x v="53"/>
    <x v="53"/>
    <x v="15"/>
    <x v="15"/>
    <x v="0"/>
    <x v="42"/>
    <x v="1"/>
    <x v="2"/>
    <x v="0"/>
    <n v="7"/>
    <n v="222.95"/>
  </r>
  <r>
    <x v="53"/>
    <x v="53"/>
    <x v="15"/>
    <x v="15"/>
    <x v="0"/>
    <x v="42"/>
    <x v="1"/>
    <x v="2"/>
    <x v="1"/>
    <n v="1"/>
    <n v="41.04"/>
  </r>
  <r>
    <x v="53"/>
    <x v="53"/>
    <x v="15"/>
    <x v="15"/>
    <x v="0"/>
    <x v="42"/>
    <x v="1"/>
    <x v="3"/>
    <x v="0"/>
    <n v="7"/>
    <n v="222.95"/>
  </r>
  <r>
    <x v="53"/>
    <x v="53"/>
    <x v="15"/>
    <x v="15"/>
    <x v="0"/>
    <x v="42"/>
    <x v="1"/>
    <x v="3"/>
    <x v="1"/>
    <n v="1"/>
    <n v="41.04"/>
  </r>
  <r>
    <x v="53"/>
    <x v="53"/>
    <x v="15"/>
    <x v="15"/>
    <x v="0"/>
    <x v="42"/>
    <x v="1"/>
    <x v="4"/>
    <x v="0"/>
    <n v="7"/>
    <n v="222.95"/>
  </r>
  <r>
    <x v="53"/>
    <x v="53"/>
    <x v="15"/>
    <x v="15"/>
    <x v="0"/>
    <x v="42"/>
    <x v="1"/>
    <x v="4"/>
    <x v="1"/>
    <n v="0.5"/>
    <n v="20.52"/>
  </r>
  <r>
    <x v="54"/>
    <x v="54"/>
    <x v="15"/>
    <x v="15"/>
    <x v="0"/>
    <x v="43"/>
    <x v="1"/>
    <x v="0"/>
    <x v="0"/>
    <n v="7"/>
    <n v="222.95"/>
  </r>
  <r>
    <x v="54"/>
    <x v="54"/>
    <x v="15"/>
    <x v="15"/>
    <x v="0"/>
    <x v="43"/>
    <x v="1"/>
    <x v="0"/>
    <x v="1"/>
    <n v="1"/>
    <n v="41.04"/>
  </r>
  <r>
    <x v="54"/>
    <x v="54"/>
    <x v="15"/>
    <x v="15"/>
    <x v="0"/>
    <x v="43"/>
    <x v="1"/>
    <x v="1"/>
    <x v="0"/>
    <n v="7"/>
    <n v="222.95"/>
  </r>
  <r>
    <x v="54"/>
    <x v="54"/>
    <x v="15"/>
    <x v="15"/>
    <x v="0"/>
    <x v="43"/>
    <x v="1"/>
    <x v="1"/>
    <x v="1"/>
    <n v="1"/>
    <n v="41.04"/>
  </r>
  <r>
    <x v="54"/>
    <x v="54"/>
    <x v="15"/>
    <x v="15"/>
    <x v="0"/>
    <x v="43"/>
    <x v="1"/>
    <x v="2"/>
    <x v="0"/>
    <n v="7"/>
    <n v="222.95"/>
  </r>
  <r>
    <x v="54"/>
    <x v="54"/>
    <x v="15"/>
    <x v="15"/>
    <x v="0"/>
    <x v="43"/>
    <x v="1"/>
    <x v="2"/>
    <x v="1"/>
    <n v="1"/>
    <n v="41.04"/>
  </r>
  <r>
    <x v="54"/>
    <x v="54"/>
    <x v="15"/>
    <x v="15"/>
    <x v="0"/>
    <x v="43"/>
    <x v="1"/>
    <x v="3"/>
    <x v="0"/>
    <n v="7"/>
    <n v="222.95"/>
  </r>
  <r>
    <x v="54"/>
    <x v="54"/>
    <x v="15"/>
    <x v="15"/>
    <x v="0"/>
    <x v="43"/>
    <x v="1"/>
    <x v="3"/>
    <x v="1"/>
    <n v="1"/>
    <n v="41.04"/>
  </r>
  <r>
    <x v="54"/>
    <x v="54"/>
    <x v="15"/>
    <x v="15"/>
    <x v="0"/>
    <x v="43"/>
    <x v="1"/>
    <x v="4"/>
    <x v="0"/>
    <n v="7"/>
    <n v="222.95"/>
  </r>
  <r>
    <x v="54"/>
    <x v="54"/>
    <x v="15"/>
    <x v="15"/>
    <x v="0"/>
    <x v="43"/>
    <x v="1"/>
    <x v="4"/>
    <x v="1"/>
    <n v="0.5"/>
    <n v="20.52"/>
  </r>
  <r>
    <x v="55"/>
    <x v="55"/>
    <x v="14"/>
    <x v="14"/>
    <x v="0"/>
    <x v="44"/>
    <x v="1"/>
    <x v="0"/>
    <x v="0"/>
    <n v="2.5"/>
    <n v="81.63"/>
  </r>
  <r>
    <x v="55"/>
    <x v="55"/>
    <x v="14"/>
    <x v="14"/>
    <x v="0"/>
    <x v="44"/>
    <x v="1"/>
    <x v="0"/>
    <x v="3"/>
    <n v="5.25"/>
    <n v="218.19"/>
  </r>
  <r>
    <x v="55"/>
    <x v="55"/>
    <x v="14"/>
    <x v="14"/>
    <x v="0"/>
    <x v="44"/>
    <x v="1"/>
    <x v="0"/>
    <x v="1"/>
    <n v="0.5"/>
    <n v="21.05"/>
  </r>
  <r>
    <x v="55"/>
    <x v="55"/>
    <x v="14"/>
    <x v="14"/>
    <x v="0"/>
    <x v="44"/>
    <x v="1"/>
    <x v="1"/>
    <x v="0"/>
    <n v="2.5"/>
    <n v="81.63"/>
  </r>
  <r>
    <x v="55"/>
    <x v="55"/>
    <x v="14"/>
    <x v="14"/>
    <x v="0"/>
    <x v="44"/>
    <x v="1"/>
    <x v="1"/>
    <x v="3"/>
    <n v="5.25"/>
    <n v="218.19"/>
  </r>
  <r>
    <x v="55"/>
    <x v="55"/>
    <x v="14"/>
    <x v="14"/>
    <x v="0"/>
    <x v="44"/>
    <x v="1"/>
    <x v="1"/>
    <x v="1"/>
    <n v="1"/>
    <n v="42.1"/>
  </r>
  <r>
    <x v="55"/>
    <x v="55"/>
    <x v="14"/>
    <x v="14"/>
    <x v="0"/>
    <x v="44"/>
    <x v="1"/>
    <x v="2"/>
    <x v="0"/>
    <n v="0.5"/>
    <n v="16.329999999999998"/>
  </r>
  <r>
    <x v="55"/>
    <x v="55"/>
    <x v="14"/>
    <x v="14"/>
    <x v="0"/>
    <x v="44"/>
    <x v="1"/>
    <x v="2"/>
    <x v="3"/>
    <n v="5.25"/>
    <n v="218.19"/>
  </r>
  <r>
    <x v="55"/>
    <x v="55"/>
    <x v="14"/>
    <x v="14"/>
    <x v="0"/>
    <x v="44"/>
    <x v="1"/>
    <x v="2"/>
    <x v="1"/>
    <n v="0.75"/>
    <n v="31.58"/>
  </r>
  <r>
    <x v="55"/>
    <x v="55"/>
    <x v="14"/>
    <x v="14"/>
    <x v="0"/>
    <x v="44"/>
    <x v="1"/>
    <x v="2"/>
    <x v="2"/>
    <n v="2.25"/>
    <n v="69.12"/>
  </r>
  <r>
    <x v="55"/>
    <x v="55"/>
    <x v="14"/>
    <x v="14"/>
    <x v="0"/>
    <x v="44"/>
    <x v="1"/>
    <x v="3"/>
    <x v="0"/>
    <n v="2.75"/>
    <n v="89.79"/>
  </r>
  <r>
    <x v="55"/>
    <x v="55"/>
    <x v="14"/>
    <x v="14"/>
    <x v="0"/>
    <x v="44"/>
    <x v="1"/>
    <x v="3"/>
    <x v="3"/>
    <n v="5.25"/>
    <n v="218.19"/>
  </r>
  <r>
    <x v="55"/>
    <x v="55"/>
    <x v="14"/>
    <x v="14"/>
    <x v="0"/>
    <x v="44"/>
    <x v="1"/>
    <x v="3"/>
    <x v="1"/>
    <n v="0.75"/>
    <n v="31.58"/>
  </r>
  <r>
    <x v="55"/>
    <x v="55"/>
    <x v="14"/>
    <x v="14"/>
    <x v="0"/>
    <x v="44"/>
    <x v="1"/>
    <x v="4"/>
    <x v="0"/>
    <n v="2.5"/>
    <n v="81.63"/>
  </r>
  <r>
    <x v="55"/>
    <x v="55"/>
    <x v="14"/>
    <x v="14"/>
    <x v="0"/>
    <x v="44"/>
    <x v="1"/>
    <x v="4"/>
    <x v="3"/>
    <n v="5.25"/>
    <n v="218.19"/>
  </r>
  <r>
    <x v="56"/>
    <x v="56"/>
    <x v="15"/>
    <x v="15"/>
    <x v="0"/>
    <x v="44"/>
    <x v="1"/>
    <x v="0"/>
    <x v="0"/>
    <n v="9"/>
    <n v="286.64999999999998"/>
  </r>
  <r>
    <x v="56"/>
    <x v="56"/>
    <x v="15"/>
    <x v="15"/>
    <x v="0"/>
    <x v="44"/>
    <x v="1"/>
    <x v="1"/>
    <x v="0"/>
    <n v="9"/>
    <n v="286.64999999999998"/>
  </r>
  <r>
    <x v="56"/>
    <x v="56"/>
    <x v="15"/>
    <x v="15"/>
    <x v="0"/>
    <x v="44"/>
    <x v="1"/>
    <x v="2"/>
    <x v="0"/>
    <n v="9"/>
    <n v="286.64999999999998"/>
  </r>
  <r>
    <x v="56"/>
    <x v="56"/>
    <x v="15"/>
    <x v="15"/>
    <x v="0"/>
    <x v="44"/>
    <x v="1"/>
    <x v="3"/>
    <x v="0"/>
    <n v="6.25"/>
    <n v="199.06"/>
  </r>
  <r>
    <x v="56"/>
    <x v="56"/>
    <x v="15"/>
    <x v="15"/>
    <x v="0"/>
    <x v="44"/>
    <x v="1"/>
    <x v="4"/>
    <x v="0"/>
    <n v="6.5"/>
    <n v="207.03"/>
  </r>
  <r>
    <x v="57"/>
    <x v="57"/>
    <x v="15"/>
    <x v="15"/>
    <x v="0"/>
    <x v="45"/>
    <x v="0"/>
    <x v="0"/>
    <x v="0"/>
    <n v="2.5"/>
    <n v="79.45"/>
  </r>
  <r>
    <x v="57"/>
    <x v="57"/>
    <x v="15"/>
    <x v="15"/>
    <x v="0"/>
    <x v="45"/>
    <x v="0"/>
    <x v="0"/>
    <x v="3"/>
    <n v="4.5"/>
    <n v="182.3"/>
  </r>
  <r>
    <x v="57"/>
    <x v="57"/>
    <x v="15"/>
    <x v="15"/>
    <x v="0"/>
    <x v="45"/>
    <x v="0"/>
    <x v="1"/>
    <x v="0"/>
    <n v="2.75"/>
    <n v="87.4"/>
  </r>
  <r>
    <x v="57"/>
    <x v="57"/>
    <x v="15"/>
    <x v="15"/>
    <x v="0"/>
    <x v="45"/>
    <x v="0"/>
    <x v="1"/>
    <x v="3"/>
    <n v="4.25"/>
    <n v="172.17"/>
  </r>
  <r>
    <x v="57"/>
    <x v="57"/>
    <x v="15"/>
    <x v="15"/>
    <x v="0"/>
    <x v="45"/>
    <x v="0"/>
    <x v="2"/>
    <x v="0"/>
    <n v="2.5"/>
    <n v="79.45"/>
  </r>
  <r>
    <x v="57"/>
    <x v="57"/>
    <x v="15"/>
    <x v="15"/>
    <x v="0"/>
    <x v="45"/>
    <x v="0"/>
    <x v="2"/>
    <x v="3"/>
    <n v="4.25"/>
    <n v="172.17"/>
  </r>
  <r>
    <x v="57"/>
    <x v="57"/>
    <x v="15"/>
    <x v="15"/>
    <x v="0"/>
    <x v="45"/>
    <x v="0"/>
    <x v="3"/>
    <x v="0"/>
    <n v="2.75"/>
    <n v="87.4"/>
  </r>
  <r>
    <x v="57"/>
    <x v="57"/>
    <x v="15"/>
    <x v="15"/>
    <x v="0"/>
    <x v="45"/>
    <x v="0"/>
    <x v="3"/>
    <x v="3"/>
    <n v="3.75"/>
    <n v="151.91"/>
  </r>
  <r>
    <x v="57"/>
    <x v="57"/>
    <x v="15"/>
    <x v="15"/>
    <x v="0"/>
    <x v="45"/>
    <x v="0"/>
    <x v="4"/>
    <x v="0"/>
    <n v="2.75"/>
    <n v="87.4"/>
  </r>
  <r>
    <x v="57"/>
    <x v="57"/>
    <x v="15"/>
    <x v="15"/>
    <x v="0"/>
    <x v="45"/>
    <x v="0"/>
    <x v="4"/>
    <x v="3"/>
    <n v="4"/>
    <n v="162.04"/>
  </r>
  <r>
    <x v="58"/>
    <x v="58"/>
    <x v="0"/>
    <x v="0"/>
    <x v="0"/>
    <x v="46"/>
    <x v="0"/>
    <x v="0"/>
    <x v="0"/>
    <n v="3.5"/>
    <n v="105.14"/>
  </r>
  <r>
    <x v="58"/>
    <x v="58"/>
    <x v="0"/>
    <x v="0"/>
    <x v="0"/>
    <x v="46"/>
    <x v="0"/>
    <x v="0"/>
    <x v="3"/>
    <n v="4"/>
    <n v="152.96"/>
  </r>
  <r>
    <x v="58"/>
    <x v="58"/>
    <x v="0"/>
    <x v="0"/>
    <x v="0"/>
    <x v="46"/>
    <x v="0"/>
    <x v="1"/>
    <x v="0"/>
    <n v="3.75"/>
    <n v="112.65"/>
  </r>
  <r>
    <x v="58"/>
    <x v="58"/>
    <x v="0"/>
    <x v="0"/>
    <x v="0"/>
    <x v="46"/>
    <x v="0"/>
    <x v="1"/>
    <x v="3"/>
    <n v="4.5"/>
    <n v="172.08"/>
  </r>
  <r>
    <x v="58"/>
    <x v="58"/>
    <x v="0"/>
    <x v="0"/>
    <x v="0"/>
    <x v="46"/>
    <x v="0"/>
    <x v="2"/>
    <x v="0"/>
    <n v="3.5"/>
    <n v="105.14"/>
  </r>
  <r>
    <x v="58"/>
    <x v="58"/>
    <x v="0"/>
    <x v="0"/>
    <x v="0"/>
    <x v="46"/>
    <x v="0"/>
    <x v="2"/>
    <x v="3"/>
    <n v="3.75"/>
    <n v="143.4"/>
  </r>
  <r>
    <x v="58"/>
    <x v="58"/>
    <x v="0"/>
    <x v="0"/>
    <x v="0"/>
    <x v="46"/>
    <x v="0"/>
    <x v="3"/>
    <x v="0"/>
    <n v="3.75"/>
    <n v="112.65"/>
  </r>
  <r>
    <x v="58"/>
    <x v="58"/>
    <x v="0"/>
    <x v="0"/>
    <x v="0"/>
    <x v="46"/>
    <x v="0"/>
    <x v="3"/>
    <x v="3"/>
    <n v="4.75"/>
    <n v="181.64"/>
  </r>
  <r>
    <x v="58"/>
    <x v="58"/>
    <x v="0"/>
    <x v="0"/>
    <x v="0"/>
    <x v="46"/>
    <x v="0"/>
    <x v="4"/>
    <x v="0"/>
    <n v="3.75"/>
    <n v="112.65"/>
  </r>
  <r>
    <x v="58"/>
    <x v="58"/>
    <x v="0"/>
    <x v="0"/>
    <x v="0"/>
    <x v="46"/>
    <x v="0"/>
    <x v="4"/>
    <x v="3"/>
    <n v="3.75"/>
    <n v="143.4"/>
  </r>
  <r>
    <x v="59"/>
    <x v="59"/>
    <x v="0"/>
    <x v="0"/>
    <x v="0"/>
    <x v="46"/>
    <x v="0"/>
    <x v="0"/>
    <x v="0"/>
    <n v="7.25"/>
    <n v="217.79"/>
  </r>
  <r>
    <x v="59"/>
    <x v="59"/>
    <x v="0"/>
    <x v="0"/>
    <x v="0"/>
    <x v="46"/>
    <x v="0"/>
    <x v="1"/>
    <x v="0"/>
    <n v="7.25"/>
    <n v="217.79"/>
  </r>
  <r>
    <x v="59"/>
    <x v="59"/>
    <x v="0"/>
    <x v="0"/>
    <x v="0"/>
    <x v="46"/>
    <x v="0"/>
    <x v="2"/>
    <x v="0"/>
    <n v="5.5"/>
    <n v="165.22"/>
  </r>
  <r>
    <x v="60"/>
    <x v="60"/>
    <x v="0"/>
    <x v="0"/>
    <x v="0"/>
    <x v="47"/>
    <x v="0"/>
    <x v="0"/>
    <x v="0"/>
    <n v="8"/>
    <n v="240.32"/>
  </r>
  <r>
    <x v="60"/>
    <x v="60"/>
    <x v="0"/>
    <x v="0"/>
    <x v="0"/>
    <x v="47"/>
    <x v="0"/>
    <x v="1"/>
    <x v="0"/>
    <n v="8"/>
    <n v="240.32"/>
  </r>
  <r>
    <x v="60"/>
    <x v="60"/>
    <x v="0"/>
    <x v="0"/>
    <x v="0"/>
    <x v="47"/>
    <x v="0"/>
    <x v="3"/>
    <x v="0"/>
    <n v="7.75"/>
    <n v="232.81"/>
  </r>
  <r>
    <x v="60"/>
    <x v="60"/>
    <x v="0"/>
    <x v="0"/>
    <x v="0"/>
    <x v="47"/>
    <x v="0"/>
    <x v="4"/>
    <x v="0"/>
    <n v="5.5"/>
    <n v="165.22"/>
  </r>
  <r>
    <x v="61"/>
    <x v="61"/>
    <x v="0"/>
    <x v="0"/>
    <x v="0"/>
    <x v="48"/>
    <x v="0"/>
    <x v="0"/>
    <x v="0"/>
    <n v="2.25"/>
    <n v="67.59"/>
  </r>
  <r>
    <x v="61"/>
    <x v="61"/>
    <x v="0"/>
    <x v="0"/>
    <x v="0"/>
    <x v="48"/>
    <x v="0"/>
    <x v="0"/>
    <x v="3"/>
    <n v="5.25"/>
    <n v="200.76"/>
  </r>
  <r>
    <x v="61"/>
    <x v="61"/>
    <x v="0"/>
    <x v="0"/>
    <x v="0"/>
    <x v="48"/>
    <x v="0"/>
    <x v="1"/>
    <x v="0"/>
    <n v="2.5"/>
    <n v="75.099999999999994"/>
  </r>
  <r>
    <x v="61"/>
    <x v="61"/>
    <x v="0"/>
    <x v="0"/>
    <x v="0"/>
    <x v="48"/>
    <x v="0"/>
    <x v="1"/>
    <x v="3"/>
    <n v="5.25"/>
    <n v="200.76"/>
  </r>
  <r>
    <x v="61"/>
    <x v="61"/>
    <x v="0"/>
    <x v="0"/>
    <x v="0"/>
    <x v="48"/>
    <x v="0"/>
    <x v="2"/>
    <x v="0"/>
    <n v="2.5"/>
    <n v="75.099999999999994"/>
  </r>
  <r>
    <x v="61"/>
    <x v="61"/>
    <x v="0"/>
    <x v="0"/>
    <x v="0"/>
    <x v="48"/>
    <x v="0"/>
    <x v="2"/>
    <x v="3"/>
    <n v="5.25"/>
    <n v="200.76"/>
  </r>
  <r>
    <x v="61"/>
    <x v="61"/>
    <x v="0"/>
    <x v="0"/>
    <x v="0"/>
    <x v="48"/>
    <x v="0"/>
    <x v="3"/>
    <x v="0"/>
    <n v="2.25"/>
    <n v="67.59"/>
  </r>
  <r>
    <x v="61"/>
    <x v="61"/>
    <x v="0"/>
    <x v="0"/>
    <x v="0"/>
    <x v="48"/>
    <x v="0"/>
    <x v="3"/>
    <x v="3"/>
    <n v="5.25"/>
    <n v="200.76"/>
  </r>
  <r>
    <x v="61"/>
    <x v="61"/>
    <x v="0"/>
    <x v="0"/>
    <x v="0"/>
    <x v="48"/>
    <x v="0"/>
    <x v="4"/>
    <x v="0"/>
    <n v="2.5"/>
    <n v="75.099999999999994"/>
  </r>
  <r>
    <x v="61"/>
    <x v="61"/>
    <x v="0"/>
    <x v="0"/>
    <x v="0"/>
    <x v="48"/>
    <x v="0"/>
    <x v="4"/>
    <x v="3"/>
    <n v="4.5"/>
    <n v="172.08"/>
  </r>
  <r>
    <x v="62"/>
    <x v="62"/>
    <x v="0"/>
    <x v="0"/>
    <x v="0"/>
    <x v="49"/>
    <x v="0"/>
    <x v="2"/>
    <x v="0"/>
    <n v="9"/>
    <n v="270.36"/>
  </r>
  <r>
    <x v="62"/>
    <x v="62"/>
    <x v="0"/>
    <x v="0"/>
    <x v="0"/>
    <x v="49"/>
    <x v="0"/>
    <x v="3"/>
    <x v="0"/>
    <n v="8"/>
    <n v="240.32"/>
  </r>
  <r>
    <x v="62"/>
    <x v="62"/>
    <x v="0"/>
    <x v="0"/>
    <x v="0"/>
    <x v="49"/>
    <x v="0"/>
    <x v="4"/>
    <x v="0"/>
    <n v="8"/>
    <n v="240.32"/>
  </r>
  <r>
    <x v="63"/>
    <x v="63"/>
    <x v="0"/>
    <x v="0"/>
    <x v="0"/>
    <x v="3"/>
    <x v="0"/>
    <x v="0"/>
    <x v="0"/>
    <n v="8"/>
    <n v="240.32"/>
  </r>
  <r>
    <x v="63"/>
    <x v="63"/>
    <x v="0"/>
    <x v="0"/>
    <x v="0"/>
    <x v="3"/>
    <x v="0"/>
    <x v="2"/>
    <x v="0"/>
    <n v="8"/>
    <n v="240.32"/>
  </r>
  <r>
    <x v="63"/>
    <x v="63"/>
    <x v="0"/>
    <x v="0"/>
    <x v="0"/>
    <x v="3"/>
    <x v="0"/>
    <x v="3"/>
    <x v="0"/>
    <n v="8"/>
    <n v="240.32"/>
  </r>
  <r>
    <x v="63"/>
    <x v="63"/>
    <x v="0"/>
    <x v="0"/>
    <x v="0"/>
    <x v="3"/>
    <x v="0"/>
    <x v="4"/>
    <x v="0"/>
    <n v="7.5"/>
    <n v="225.3"/>
  </r>
  <r>
    <x v="64"/>
    <x v="64"/>
    <x v="15"/>
    <x v="15"/>
    <x v="0"/>
    <x v="50"/>
    <x v="0"/>
    <x v="0"/>
    <x v="0"/>
    <n v="8"/>
    <n v="254.24"/>
  </r>
  <r>
    <x v="64"/>
    <x v="64"/>
    <x v="15"/>
    <x v="15"/>
    <x v="0"/>
    <x v="50"/>
    <x v="0"/>
    <x v="1"/>
    <x v="0"/>
    <n v="8"/>
    <n v="254.24"/>
  </r>
  <r>
    <x v="64"/>
    <x v="64"/>
    <x v="15"/>
    <x v="15"/>
    <x v="0"/>
    <x v="50"/>
    <x v="0"/>
    <x v="2"/>
    <x v="0"/>
    <n v="8"/>
    <n v="254.24"/>
  </r>
  <r>
    <x v="64"/>
    <x v="64"/>
    <x v="15"/>
    <x v="15"/>
    <x v="0"/>
    <x v="50"/>
    <x v="0"/>
    <x v="3"/>
    <x v="0"/>
    <n v="7.25"/>
    <n v="230.41"/>
  </r>
  <r>
    <x v="64"/>
    <x v="64"/>
    <x v="15"/>
    <x v="15"/>
    <x v="0"/>
    <x v="50"/>
    <x v="0"/>
    <x v="4"/>
    <x v="0"/>
    <n v="7.5"/>
    <n v="238.35"/>
  </r>
  <r>
    <x v="64"/>
    <x v="64"/>
    <x v="15"/>
    <x v="15"/>
    <x v="0"/>
    <x v="50"/>
    <x v="0"/>
    <x v="5"/>
    <x v="0"/>
    <n v="1.25"/>
    <n v="39.729999999999997"/>
  </r>
  <r>
    <x v="64"/>
    <x v="64"/>
    <x v="15"/>
    <x v="15"/>
    <x v="0"/>
    <x v="50"/>
    <x v="0"/>
    <x v="5"/>
    <x v="4"/>
    <n v="4.25"/>
    <n v="165.24"/>
  </r>
  <r>
    <x v="65"/>
    <x v="65"/>
    <x v="0"/>
    <x v="0"/>
    <x v="0"/>
    <x v="51"/>
    <x v="0"/>
    <x v="0"/>
    <x v="0"/>
    <n v="2.75"/>
    <n v="82.61"/>
  </r>
  <r>
    <x v="65"/>
    <x v="65"/>
    <x v="0"/>
    <x v="0"/>
    <x v="0"/>
    <x v="51"/>
    <x v="0"/>
    <x v="0"/>
    <x v="3"/>
    <n v="4.5"/>
    <n v="172.08"/>
  </r>
  <r>
    <x v="65"/>
    <x v="65"/>
    <x v="0"/>
    <x v="0"/>
    <x v="0"/>
    <x v="51"/>
    <x v="0"/>
    <x v="1"/>
    <x v="0"/>
    <n v="2.75"/>
    <n v="82.61"/>
  </r>
  <r>
    <x v="65"/>
    <x v="65"/>
    <x v="0"/>
    <x v="0"/>
    <x v="0"/>
    <x v="51"/>
    <x v="0"/>
    <x v="1"/>
    <x v="3"/>
    <n v="5.25"/>
    <n v="200.76"/>
  </r>
  <r>
    <x v="65"/>
    <x v="65"/>
    <x v="0"/>
    <x v="0"/>
    <x v="0"/>
    <x v="51"/>
    <x v="0"/>
    <x v="2"/>
    <x v="0"/>
    <n v="2.75"/>
    <n v="82.61"/>
  </r>
  <r>
    <x v="65"/>
    <x v="65"/>
    <x v="0"/>
    <x v="0"/>
    <x v="0"/>
    <x v="51"/>
    <x v="0"/>
    <x v="2"/>
    <x v="3"/>
    <n v="5.25"/>
    <n v="200.76"/>
  </r>
  <r>
    <x v="65"/>
    <x v="65"/>
    <x v="0"/>
    <x v="0"/>
    <x v="0"/>
    <x v="51"/>
    <x v="0"/>
    <x v="3"/>
    <x v="0"/>
    <n v="3"/>
    <n v="90.12"/>
  </r>
  <r>
    <x v="65"/>
    <x v="65"/>
    <x v="0"/>
    <x v="0"/>
    <x v="0"/>
    <x v="51"/>
    <x v="0"/>
    <x v="3"/>
    <x v="3"/>
    <n v="5"/>
    <n v="191.2"/>
  </r>
  <r>
    <x v="65"/>
    <x v="65"/>
    <x v="0"/>
    <x v="0"/>
    <x v="0"/>
    <x v="51"/>
    <x v="0"/>
    <x v="4"/>
    <x v="0"/>
    <n v="2.75"/>
    <n v="82.61"/>
  </r>
  <r>
    <x v="65"/>
    <x v="65"/>
    <x v="0"/>
    <x v="0"/>
    <x v="0"/>
    <x v="51"/>
    <x v="0"/>
    <x v="4"/>
    <x v="3"/>
    <n v="4.75"/>
    <n v="181.64"/>
  </r>
  <r>
    <x v="66"/>
    <x v="66"/>
    <x v="17"/>
    <x v="17"/>
    <x v="0"/>
    <x v="52"/>
    <x v="2"/>
    <x v="0"/>
    <x v="0"/>
    <n v="6.75"/>
    <n v="233.35"/>
  </r>
  <r>
    <x v="66"/>
    <x v="66"/>
    <x v="17"/>
    <x v="17"/>
    <x v="0"/>
    <x v="52"/>
    <x v="2"/>
    <x v="0"/>
    <x v="1"/>
    <n v="1"/>
    <n v="44.63"/>
  </r>
  <r>
    <x v="66"/>
    <x v="66"/>
    <x v="17"/>
    <x v="17"/>
    <x v="0"/>
    <x v="52"/>
    <x v="2"/>
    <x v="1"/>
    <x v="0"/>
    <n v="7"/>
    <n v="241.99"/>
  </r>
  <r>
    <x v="66"/>
    <x v="66"/>
    <x v="17"/>
    <x v="17"/>
    <x v="0"/>
    <x v="52"/>
    <x v="2"/>
    <x v="1"/>
    <x v="1"/>
    <n v="1"/>
    <n v="44.63"/>
  </r>
  <r>
    <x v="66"/>
    <x v="66"/>
    <x v="17"/>
    <x v="17"/>
    <x v="0"/>
    <x v="52"/>
    <x v="2"/>
    <x v="2"/>
    <x v="0"/>
    <n v="4.75"/>
    <n v="164.21"/>
  </r>
  <r>
    <x v="66"/>
    <x v="66"/>
    <x v="17"/>
    <x v="17"/>
    <x v="0"/>
    <x v="52"/>
    <x v="2"/>
    <x v="2"/>
    <x v="1"/>
    <n v="1"/>
    <n v="44.63"/>
  </r>
  <r>
    <x v="66"/>
    <x v="66"/>
    <x v="17"/>
    <x v="17"/>
    <x v="0"/>
    <x v="52"/>
    <x v="2"/>
    <x v="3"/>
    <x v="0"/>
    <n v="7"/>
    <n v="241.99"/>
  </r>
  <r>
    <x v="66"/>
    <x v="66"/>
    <x v="17"/>
    <x v="17"/>
    <x v="0"/>
    <x v="52"/>
    <x v="2"/>
    <x v="3"/>
    <x v="1"/>
    <n v="1"/>
    <n v="44.63"/>
  </r>
  <r>
    <x v="66"/>
    <x v="66"/>
    <x v="17"/>
    <x v="17"/>
    <x v="0"/>
    <x v="52"/>
    <x v="2"/>
    <x v="4"/>
    <x v="0"/>
    <n v="6.75"/>
    <n v="233.35"/>
  </r>
  <r>
    <x v="66"/>
    <x v="66"/>
    <x v="17"/>
    <x v="17"/>
    <x v="0"/>
    <x v="52"/>
    <x v="2"/>
    <x v="4"/>
    <x v="1"/>
    <n v="0.75"/>
    <n v="33.47"/>
  </r>
  <r>
    <x v="67"/>
    <x v="67"/>
    <x v="17"/>
    <x v="17"/>
    <x v="0"/>
    <x v="53"/>
    <x v="2"/>
    <x v="0"/>
    <x v="0"/>
    <n v="8"/>
    <n v="276.56"/>
  </r>
  <r>
    <x v="67"/>
    <x v="67"/>
    <x v="17"/>
    <x v="17"/>
    <x v="0"/>
    <x v="53"/>
    <x v="2"/>
    <x v="1"/>
    <x v="0"/>
    <n v="8"/>
    <n v="276.56"/>
  </r>
  <r>
    <x v="67"/>
    <x v="67"/>
    <x v="17"/>
    <x v="17"/>
    <x v="0"/>
    <x v="53"/>
    <x v="2"/>
    <x v="2"/>
    <x v="0"/>
    <n v="8"/>
    <n v="276.56"/>
  </r>
  <r>
    <x v="67"/>
    <x v="67"/>
    <x v="17"/>
    <x v="17"/>
    <x v="0"/>
    <x v="53"/>
    <x v="2"/>
    <x v="3"/>
    <x v="0"/>
    <n v="8"/>
    <n v="276.56"/>
  </r>
  <r>
    <x v="67"/>
    <x v="67"/>
    <x v="17"/>
    <x v="17"/>
    <x v="0"/>
    <x v="53"/>
    <x v="2"/>
    <x v="4"/>
    <x v="0"/>
    <n v="8"/>
    <n v="276.56"/>
  </r>
  <r>
    <x v="68"/>
    <x v="68"/>
    <x v="0"/>
    <x v="0"/>
    <x v="0"/>
    <x v="54"/>
    <x v="0"/>
    <x v="0"/>
    <x v="0"/>
    <n v="1.25"/>
    <n v="37.549999999999997"/>
  </r>
  <r>
    <x v="69"/>
    <x v="69"/>
    <x v="15"/>
    <x v="15"/>
    <x v="0"/>
    <x v="55"/>
    <x v="0"/>
    <x v="0"/>
    <x v="0"/>
    <n v="7"/>
    <n v="222.46"/>
  </r>
  <r>
    <x v="69"/>
    <x v="69"/>
    <x v="15"/>
    <x v="15"/>
    <x v="0"/>
    <x v="55"/>
    <x v="0"/>
    <x v="0"/>
    <x v="1"/>
    <n v="1"/>
    <n v="41.04"/>
  </r>
  <r>
    <x v="69"/>
    <x v="69"/>
    <x v="15"/>
    <x v="15"/>
    <x v="0"/>
    <x v="55"/>
    <x v="0"/>
    <x v="1"/>
    <x v="0"/>
    <n v="7"/>
    <n v="222.46"/>
  </r>
  <r>
    <x v="69"/>
    <x v="69"/>
    <x v="15"/>
    <x v="15"/>
    <x v="0"/>
    <x v="55"/>
    <x v="0"/>
    <x v="1"/>
    <x v="1"/>
    <n v="1"/>
    <n v="41.04"/>
  </r>
  <r>
    <x v="69"/>
    <x v="69"/>
    <x v="15"/>
    <x v="15"/>
    <x v="0"/>
    <x v="55"/>
    <x v="0"/>
    <x v="2"/>
    <x v="0"/>
    <n v="6.75"/>
    <n v="214.52"/>
  </r>
  <r>
    <x v="69"/>
    <x v="69"/>
    <x v="15"/>
    <x v="15"/>
    <x v="0"/>
    <x v="55"/>
    <x v="0"/>
    <x v="2"/>
    <x v="1"/>
    <n v="0.75"/>
    <n v="30.78"/>
  </r>
  <r>
    <x v="69"/>
    <x v="69"/>
    <x v="15"/>
    <x v="15"/>
    <x v="0"/>
    <x v="55"/>
    <x v="0"/>
    <x v="2"/>
    <x v="2"/>
    <n v="0.5"/>
    <n v="15.12"/>
  </r>
  <r>
    <x v="69"/>
    <x v="69"/>
    <x v="15"/>
    <x v="15"/>
    <x v="0"/>
    <x v="55"/>
    <x v="0"/>
    <x v="3"/>
    <x v="0"/>
    <n v="7"/>
    <n v="222.46"/>
  </r>
  <r>
    <x v="69"/>
    <x v="69"/>
    <x v="15"/>
    <x v="15"/>
    <x v="0"/>
    <x v="55"/>
    <x v="0"/>
    <x v="3"/>
    <x v="1"/>
    <n v="1"/>
    <n v="41.04"/>
  </r>
  <r>
    <x v="69"/>
    <x v="69"/>
    <x v="15"/>
    <x v="15"/>
    <x v="0"/>
    <x v="55"/>
    <x v="0"/>
    <x v="4"/>
    <x v="0"/>
    <n v="8"/>
    <n v="254.24"/>
  </r>
  <r>
    <x v="69"/>
    <x v="69"/>
    <x v="15"/>
    <x v="15"/>
    <x v="0"/>
    <x v="55"/>
    <x v="0"/>
    <x v="4"/>
    <x v="1"/>
    <n v="0.5"/>
    <n v="20.52"/>
  </r>
  <r>
    <x v="70"/>
    <x v="70"/>
    <x v="0"/>
    <x v="0"/>
    <x v="0"/>
    <x v="56"/>
    <x v="0"/>
    <x v="0"/>
    <x v="0"/>
    <n v="8"/>
    <n v="240.32"/>
  </r>
  <r>
    <x v="70"/>
    <x v="70"/>
    <x v="0"/>
    <x v="0"/>
    <x v="0"/>
    <x v="56"/>
    <x v="0"/>
    <x v="0"/>
    <x v="1"/>
    <n v="1"/>
    <n v="38.74"/>
  </r>
  <r>
    <x v="70"/>
    <x v="70"/>
    <x v="0"/>
    <x v="0"/>
    <x v="0"/>
    <x v="56"/>
    <x v="0"/>
    <x v="1"/>
    <x v="0"/>
    <n v="7"/>
    <n v="210.28"/>
  </r>
  <r>
    <x v="70"/>
    <x v="70"/>
    <x v="0"/>
    <x v="0"/>
    <x v="0"/>
    <x v="56"/>
    <x v="0"/>
    <x v="1"/>
    <x v="1"/>
    <n v="1"/>
    <n v="38.74"/>
  </r>
  <r>
    <x v="70"/>
    <x v="70"/>
    <x v="0"/>
    <x v="0"/>
    <x v="0"/>
    <x v="56"/>
    <x v="0"/>
    <x v="2"/>
    <x v="0"/>
    <n v="8.25"/>
    <n v="247.83"/>
  </r>
  <r>
    <x v="70"/>
    <x v="70"/>
    <x v="0"/>
    <x v="0"/>
    <x v="0"/>
    <x v="56"/>
    <x v="0"/>
    <x v="2"/>
    <x v="1"/>
    <n v="1"/>
    <n v="38.74"/>
  </r>
  <r>
    <x v="70"/>
    <x v="70"/>
    <x v="0"/>
    <x v="0"/>
    <x v="0"/>
    <x v="56"/>
    <x v="0"/>
    <x v="3"/>
    <x v="0"/>
    <n v="8"/>
    <n v="240.32"/>
  </r>
  <r>
    <x v="70"/>
    <x v="70"/>
    <x v="0"/>
    <x v="0"/>
    <x v="0"/>
    <x v="56"/>
    <x v="0"/>
    <x v="3"/>
    <x v="1"/>
    <n v="1"/>
    <n v="38.74"/>
  </r>
  <r>
    <x v="71"/>
    <x v="71"/>
    <x v="0"/>
    <x v="0"/>
    <x v="0"/>
    <x v="57"/>
    <x v="0"/>
    <x v="0"/>
    <x v="0"/>
    <n v="6.25"/>
    <n v="187.75"/>
  </r>
  <r>
    <x v="71"/>
    <x v="71"/>
    <x v="0"/>
    <x v="0"/>
    <x v="0"/>
    <x v="57"/>
    <x v="0"/>
    <x v="2"/>
    <x v="0"/>
    <n v="8"/>
    <n v="240.32"/>
  </r>
  <r>
    <x v="71"/>
    <x v="71"/>
    <x v="0"/>
    <x v="0"/>
    <x v="0"/>
    <x v="57"/>
    <x v="0"/>
    <x v="3"/>
    <x v="0"/>
    <n v="8"/>
    <n v="240.32"/>
  </r>
  <r>
    <x v="71"/>
    <x v="71"/>
    <x v="0"/>
    <x v="0"/>
    <x v="0"/>
    <x v="57"/>
    <x v="0"/>
    <x v="4"/>
    <x v="0"/>
    <n v="7.5"/>
    <n v="225.3"/>
  </r>
  <r>
    <x v="72"/>
    <x v="72"/>
    <x v="15"/>
    <x v="15"/>
    <x v="0"/>
    <x v="56"/>
    <x v="0"/>
    <x v="1"/>
    <x v="0"/>
    <n v="7.25"/>
    <n v="230.41"/>
  </r>
  <r>
    <x v="72"/>
    <x v="72"/>
    <x v="15"/>
    <x v="15"/>
    <x v="0"/>
    <x v="56"/>
    <x v="0"/>
    <x v="2"/>
    <x v="0"/>
    <n v="7.25"/>
    <n v="230.41"/>
  </r>
  <r>
    <x v="72"/>
    <x v="72"/>
    <x v="15"/>
    <x v="15"/>
    <x v="0"/>
    <x v="56"/>
    <x v="0"/>
    <x v="3"/>
    <x v="0"/>
    <n v="8"/>
    <n v="254.24"/>
  </r>
  <r>
    <x v="72"/>
    <x v="72"/>
    <x v="15"/>
    <x v="15"/>
    <x v="0"/>
    <x v="56"/>
    <x v="0"/>
    <x v="4"/>
    <x v="0"/>
    <n v="7.5"/>
    <n v="238.35"/>
  </r>
  <r>
    <x v="73"/>
    <x v="73"/>
    <x v="0"/>
    <x v="0"/>
    <x v="0"/>
    <x v="58"/>
    <x v="0"/>
    <x v="0"/>
    <x v="0"/>
    <n v="10.5"/>
    <n v="315.42"/>
  </r>
  <r>
    <x v="73"/>
    <x v="73"/>
    <x v="0"/>
    <x v="0"/>
    <x v="0"/>
    <x v="58"/>
    <x v="0"/>
    <x v="1"/>
    <x v="0"/>
    <n v="8.5"/>
    <n v="255.34"/>
  </r>
  <r>
    <x v="73"/>
    <x v="73"/>
    <x v="0"/>
    <x v="0"/>
    <x v="0"/>
    <x v="58"/>
    <x v="0"/>
    <x v="2"/>
    <x v="0"/>
    <n v="3.5"/>
    <n v="105.14"/>
  </r>
  <r>
    <x v="73"/>
    <x v="73"/>
    <x v="0"/>
    <x v="0"/>
    <x v="0"/>
    <x v="58"/>
    <x v="0"/>
    <x v="2"/>
    <x v="2"/>
    <n v="6"/>
    <n v="170.52"/>
  </r>
  <r>
    <x v="73"/>
    <x v="73"/>
    <x v="0"/>
    <x v="0"/>
    <x v="0"/>
    <x v="58"/>
    <x v="0"/>
    <x v="3"/>
    <x v="0"/>
    <n v="9"/>
    <n v="270.36"/>
  </r>
  <r>
    <x v="73"/>
    <x v="73"/>
    <x v="0"/>
    <x v="0"/>
    <x v="0"/>
    <x v="58"/>
    <x v="0"/>
    <x v="4"/>
    <x v="0"/>
    <n v="8.5"/>
    <n v="255.34"/>
  </r>
  <r>
    <x v="74"/>
    <x v="74"/>
    <x v="0"/>
    <x v="0"/>
    <x v="0"/>
    <x v="57"/>
    <x v="0"/>
    <x v="0"/>
    <x v="0"/>
    <n v="9"/>
    <n v="270.36"/>
  </r>
  <r>
    <x v="74"/>
    <x v="74"/>
    <x v="0"/>
    <x v="0"/>
    <x v="0"/>
    <x v="57"/>
    <x v="0"/>
    <x v="1"/>
    <x v="0"/>
    <n v="8"/>
    <n v="240.32"/>
  </r>
  <r>
    <x v="74"/>
    <x v="74"/>
    <x v="0"/>
    <x v="0"/>
    <x v="0"/>
    <x v="57"/>
    <x v="0"/>
    <x v="2"/>
    <x v="0"/>
    <n v="7"/>
    <n v="210.28"/>
  </r>
  <r>
    <x v="74"/>
    <x v="74"/>
    <x v="0"/>
    <x v="0"/>
    <x v="0"/>
    <x v="57"/>
    <x v="0"/>
    <x v="2"/>
    <x v="2"/>
    <n v="0.5"/>
    <n v="14.21"/>
  </r>
  <r>
    <x v="74"/>
    <x v="74"/>
    <x v="0"/>
    <x v="0"/>
    <x v="0"/>
    <x v="57"/>
    <x v="0"/>
    <x v="3"/>
    <x v="0"/>
    <n v="8"/>
    <n v="240.32"/>
  </r>
  <r>
    <x v="74"/>
    <x v="74"/>
    <x v="0"/>
    <x v="0"/>
    <x v="0"/>
    <x v="57"/>
    <x v="0"/>
    <x v="4"/>
    <x v="0"/>
    <n v="8"/>
    <n v="240.32"/>
  </r>
  <r>
    <x v="75"/>
    <x v="75"/>
    <x v="15"/>
    <x v="15"/>
    <x v="0"/>
    <x v="58"/>
    <x v="0"/>
    <x v="0"/>
    <x v="0"/>
    <n v="9"/>
    <n v="286.02"/>
  </r>
  <r>
    <x v="75"/>
    <x v="75"/>
    <x v="15"/>
    <x v="15"/>
    <x v="0"/>
    <x v="58"/>
    <x v="0"/>
    <x v="1"/>
    <x v="0"/>
    <n v="9"/>
    <n v="286.02"/>
  </r>
  <r>
    <x v="75"/>
    <x v="75"/>
    <x v="15"/>
    <x v="15"/>
    <x v="0"/>
    <x v="58"/>
    <x v="0"/>
    <x v="2"/>
    <x v="0"/>
    <n v="8.25"/>
    <n v="262.19"/>
  </r>
  <r>
    <x v="75"/>
    <x v="75"/>
    <x v="15"/>
    <x v="15"/>
    <x v="0"/>
    <x v="58"/>
    <x v="0"/>
    <x v="3"/>
    <x v="0"/>
    <n v="9"/>
    <n v="286.02"/>
  </r>
  <r>
    <x v="76"/>
    <x v="76"/>
    <x v="0"/>
    <x v="0"/>
    <x v="0"/>
    <x v="57"/>
    <x v="0"/>
    <x v="0"/>
    <x v="0"/>
    <n v="9.75"/>
    <n v="292.89"/>
  </r>
  <r>
    <x v="76"/>
    <x v="76"/>
    <x v="0"/>
    <x v="0"/>
    <x v="0"/>
    <x v="57"/>
    <x v="0"/>
    <x v="0"/>
    <x v="3"/>
    <n v="0.75"/>
    <n v="28.68"/>
  </r>
  <r>
    <x v="76"/>
    <x v="76"/>
    <x v="0"/>
    <x v="0"/>
    <x v="0"/>
    <x v="57"/>
    <x v="0"/>
    <x v="1"/>
    <x v="0"/>
    <n v="8"/>
    <n v="240.32"/>
  </r>
  <r>
    <x v="76"/>
    <x v="76"/>
    <x v="0"/>
    <x v="0"/>
    <x v="0"/>
    <x v="57"/>
    <x v="0"/>
    <x v="2"/>
    <x v="0"/>
    <n v="7"/>
    <n v="210.28"/>
  </r>
  <r>
    <x v="76"/>
    <x v="76"/>
    <x v="0"/>
    <x v="0"/>
    <x v="0"/>
    <x v="57"/>
    <x v="0"/>
    <x v="2"/>
    <x v="2"/>
    <n v="1"/>
    <n v="28.42"/>
  </r>
  <r>
    <x v="76"/>
    <x v="76"/>
    <x v="0"/>
    <x v="0"/>
    <x v="0"/>
    <x v="57"/>
    <x v="0"/>
    <x v="3"/>
    <x v="0"/>
    <n v="8"/>
    <n v="240.32"/>
  </r>
  <r>
    <x v="76"/>
    <x v="76"/>
    <x v="0"/>
    <x v="0"/>
    <x v="0"/>
    <x v="57"/>
    <x v="0"/>
    <x v="4"/>
    <x v="0"/>
    <n v="6.5"/>
    <n v="195.26"/>
  </r>
  <r>
    <x v="77"/>
    <x v="77"/>
    <x v="0"/>
    <x v="0"/>
    <x v="0"/>
    <x v="38"/>
    <x v="0"/>
    <x v="0"/>
    <x v="0"/>
    <n v="2.25"/>
    <n v="67.59"/>
  </r>
  <r>
    <x v="77"/>
    <x v="77"/>
    <x v="0"/>
    <x v="0"/>
    <x v="0"/>
    <x v="38"/>
    <x v="0"/>
    <x v="0"/>
    <x v="3"/>
    <n v="4.75"/>
    <n v="181.64"/>
  </r>
  <r>
    <x v="77"/>
    <x v="77"/>
    <x v="0"/>
    <x v="0"/>
    <x v="0"/>
    <x v="38"/>
    <x v="0"/>
    <x v="1"/>
    <x v="0"/>
    <n v="2.5"/>
    <n v="75.099999999999994"/>
  </r>
  <r>
    <x v="77"/>
    <x v="77"/>
    <x v="0"/>
    <x v="0"/>
    <x v="0"/>
    <x v="38"/>
    <x v="0"/>
    <x v="1"/>
    <x v="3"/>
    <n v="5.25"/>
    <n v="200.76"/>
  </r>
  <r>
    <x v="77"/>
    <x v="77"/>
    <x v="0"/>
    <x v="0"/>
    <x v="0"/>
    <x v="38"/>
    <x v="0"/>
    <x v="3"/>
    <x v="0"/>
    <n v="2.25"/>
    <n v="67.59"/>
  </r>
  <r>
    <x v="77"/>
    <x v="77"/>
    <x v="0"/>
    <x v="0"/>
    <x v="0"/>
    <x v="38"/>
    <x v="0"/>
    <x v="3"/>
    <x v="3"/>
    <n v="5.25"/>
    <n v="200.76"/>
  </r>
  <r>
    <x v="77"/>
    <x v="77"/>
    <x v="0"/>
    <x v="0"/>
    <x v="0"/>
    <x v="38"/>
    <x v="0"/>
    <x v="4"/>
    <x v="0"/>
    <n v="2.25"/>
    <n v="67.59"/>
  </r>
  <r>
    <x v="77"/>
    <x v="77"/>
    <x v="0"/>
    <x v="0"/>
    <x v="0"/>
    <x v="38"/>
    <x v="0"/>
    <x v="4"/>
    <x v="3"/>
    <n v="3.75"/>
    <n v="143.4"/>
  </r>
  <r>
    <x v="78"/>
    <x v="78"/>
    <x v="0"/>
    <x v="0"/>
    <x v="0"/>
    <x v="38"/>
    <x v="0"/>
    <x v="0"/>
    <x v="0"/>
    <n v="3.75"/>
    <n v="112.65"/>
  </r>
  <r>
    <x v="78"/>
    <x v="78"/>
    <x v="0"/>
    <x v="0"/>
    <x v="0"/>
    <x v="38"/>
    <x v="0"/>
    <x v="0"/>
    <x v="3"/>
    <n v="3.75"/>
    <n v="143.4"/>
  </r>
  <r>
    <x v="78"/>
    <x v="78"/>
    <x v="0"/>
    <x v="0"/>
    <x v="0"/>
    <x v="38"/>
    <x v="0"/>
    <x v="1"/>
    <x v="0"/>
    <n v="3.5"/>
    <n v="105.14"/>
  </r>
  <r>
    <x v="78"/>
    <x v="78"/>
    <x v="0"/>
    <x v="0"/>
    <x v="0"/>
    <x v="38"/>
    <x v="0"/>
    <x v="1"/>
    <x v="3"/>
    <n v="4.5"/>
    <n v="172.08"/>
  </r>
  <r>
    <x v="78"/>
    <x v="78"/>
    <x v="0"/>
    <x v="0"/>
    <x v="0"/>
    <x v="38"/>
    <x v="0"/>
    <x v="2"/>
    <x v="0"/>
    <n v="3.5"/>
    <n v="105.14"/>
  </r>
  <r>
    <x v="78"/>
    <x v="78"/>
    <x v="0"/>
    <x v="0"/>
    <x v="0"/>
    <x v="38"/>
    <x v="0"/>
    <x v="2"/>
    <x v="3"/>
    <n v="4.5"/>
    <n v="172.08"/>
  </r>
  <r>
    <x v="78"/>
    <x v="78"/>
    <x v="0"/>
    <x v="0"/>
    <x v="0"/>
    <x v="38"/>
    <x v="0"/>
    <x v="3"/>
    <x v="0"/>
    <n v="3.5"/>
    <n v="105.14"/>
  </r>
  <r>
    <x v="78"/>
    <x v="78"/>
    <x v="0"/>
    <x v="0"/>
    <x v="0"/>
    <x v="38"/>
    <x v="0"/>
    <x v="3"/>
    <x v="3"/>
    <n v="4.5"/>
    <n v="172.08"/>
  </r>
  <r>
    <x v="78"/>
    <x v="78"/>
    <x v="0"/>
    <x v="0"/>
    <x v="0"/>
    <x v="38"/>
    <x v="0"/>
    <x v="4"/>
    <x v="0"/>
    <n v="3.5"/>
    <n v="105.14"/>
  </r>
  <r>
    <x v="78"/>
    <x v="78"/>
    <x v="0"/>
    <x v="0"/>
    <x v="0"/>
    <x v="38"/>
    <x v="0"/>
    <x v="4"/>
    <x v="3"/>
    <n v="4"/>
    <n v="152.96"/>
  </r>
  <r>
    <x v="79"/>
    <x v="79"/>
    <x v="7"/>
    <x v="7"/>
    <x v="0"/>
    <x v="59"/>
    <x v="1"/>
    <x v="0"/>
    <x v="0"/>
    <n v="2.75"/>
    <n v="83.71"/>
  </r>
  <r>
    <x v="79"/>
    <x v="79"/>
    <x v="7"/>
    <x v="7"/>
    <x v="0"/>
    <x v="59"/>
    <x v="1"/>
    <x v="0"/>
    <x v="3"/>
    <n v="5.25"/>
    <n v="203.07"/>
  </r>
  <r>
    <x v="79"/>
    <x v="79"/>
    <x v="7"/>
    <x v="7"/>
    <x v="0"/>
    <x v="59"/>
    <x v="1"/>
    <x v="1"/>
    <x v="0"/>
    <n v="2.75"/>
    <n v="83.71"/>
  </r>
  <r>
    <x v="79"/>
    <x v="79"/>
    <x v="7"/>
    <x v="7"/>
    <x v="0"/>
    <x v="59"/>
    <x v="1"/>
    <x v="1"/>
    <x v="3"/>
    <n v="5.25"/>
    <n v="203.07"/>
  </r>
  <r>
    <x v="79"/>
    <x v="79"/>
    <x v="7"/>
    <x v="7"/>
    <x v="0"/>
    <x v="59"/>
    <x v="1"/>
    <x v="2"/>
    <x v="0"/>
    <n v="3"/>
    <n v="91.32"/>
  </r>
  <r>
    <x v="79"/>
    <x v="79"/>
    <x v="7"/>
    <x v="7"/>
    <x v="0"/>
    <x v="59"/>
    <x v="1"/>
    <x v="2"/>
    <x v="3"/>
    <n v="5"/>
    <n v="193.4"/>
  </r>
  <r>
    <x v="79"/>
    <x v="79"/>
    <x v="7"/>
    <x v="7"/>
    <x v="0"/>
    <x v="59"/>
    <x v="1"/>
    <x v="3"/>
    <x v="0"/>
    <n v="3"/>
    <n v="91.32"/>
  </r>
  <r>
    <x v="79"/>
    <x v="79"/>
    <x v="7"/>
    <x v="7"/>
    <x v="0"/>
    <x v="59"/>
    <x v="1"/>
    <x v="3"/>
    <x v="3"/>
    <n v="5"/>
    <n v="193.4"/>
  </r>
  <r>
    <x v="79"/>
    <x v="79"/>
    <x v="7"/>
    <x v="7"/>
    <x v="0"/>
    <x v="59"/>
    <x v="1"/>
    <x v="4"/>
    <x v="0"/>
    <n v="3"/>
    <n v="91.32"/>
  </r>
  <r>
    <x v="79"/>
    <x v="79"/>
    <x v="7"/>
    <x v="7"/>
    <x v="0"/>
    <x v="59"/>
    <x v="1"/>
    <x v="4"/>
    <x v="3"/>
    <n v="5"/>
    <n v="193.4"/>
  </r>
  <r>
    <x v="80"/>
    <x v="80"/>
    <x v="15"/>
    <x v="15"/>
    <x v="0"/>
    <x v="60"/>
    <x v="0"/>
    <x v="0"/>
    <x v="0"/>
    <n v="8"/>
    <n v="254.24"/>
  </r>
  <r>
    <x v="80"/>
    <x v="80"/>
    <x v="15"/>
    <x v="15"/>
    <x v="0"/>
    <x v="60"/>
    <x v="0"/>
    <x v="1"/>
    <x v="0"/>
    <n v="8"/>
    <n v="254.24"/>
  </r>
  <r>
    <x v="80"/>
    <x v="80"/>
    <x v="15"/>
    <x v="15"/>
    <x v="0"/>
    <x v="60"/>
    <x v="0"/>
    <x v="2"/>
    <x v="0"/>
    <n v="8"/>
    <n v="254.24"/>
  </r>
  <r>
    <x v="81"/>
    <x v="81"/>
    <x v="0"/>
    <x v="0"/>
    <x v="0"/>
    <x v="60"/>
    <x v="0"/>
    <x v="0"/>
    <x v="0"/>
    <n v="7"/>
    <n v="210.28"/>
  </r>
  <r>
    <x v="81"/>
    <x v="81"/>
    <x v="0"/>
    <x v="0"/>
    <x v="0"/>
    <x v="60"/>
    <x v="0"/>
    <x v="1"/>
    <x v="0"/>
    <n v="7"/>
    <n v="210.28"/>
  </r>
  <r>
    <x v="81"/>
    <x v="81"/>
    <x v="0"/>
    <x v="0"/>
    <x v="0"/>
    <x v="60"/>
    <x v="0"/>
    <x v="2"/>
    <x v="0"/>
    <n v="7"/>
    <n v="210.28"/>
  </r>
  <r>
    <x v="82"/>
    <x v="82"/>
    <x v="0"/>
    <x v="0"/>
    <x v="0"/>
    <x v="61"/>
    <x v="0"/>
    <x v="0"/>
    <x v="0"/>
    <n v="8"/>
    <n v="240.32"/>
  </r>
  <r>
    <x v="82"/>
    <x v="82"/>
    <x v="0"/>
    <x v="0"/>
    <x v="0"/>
    <x v="61"/>
    <x v="0"/>
    <x v="1"/>
    <x v="0"/>
    <n v="8"/>
    <n v="240.32"/>
  </r>
  <r>
    <x v="82"/>
    <x v="82"/>
    <x v="0"/>
    <x v="0"/>
    <x v="0"/>
    <x v="61"/>
    <x v="0"/>
    <x v="2"/>
    <x v="0"/>
    <n v="8"/>
    <n v="240.32"/>
  </r>
  <r>
    <x v="82"/>
    <x v="82"/>
    <x v="0"/>
    <x v="0"/>
    <x v="0"/>
    <x v="61"/>
    <x v="0"/>
    <x v="3"/>
    <x v="0"/>
    <n v="8"/>
    <n v="240.32"/>
  </r>
  <r>
    <x v="82"/>
    <x v="82"/>
    <x v="0"/>
    <x v="0"/>
    <x v="0"/>
    <x v="61"/>
    <x v="0"/>
    <x v="4"/>
    <x v="0"/>
    <n v="7.75"/>
    <n v="232.81"/>
  </r>
  <r>
    <x v="83"/>
    <x v="83"/>
    <x v="0"/>
    <x v="0"/>
    <x v="0"/>
    <x v="61"/>
    <x v="0"/>
    <x v="0"/>
    <x v="0"/>
    <n v="9"/>
    <n v="270.36"/>
  </r>
  <r>
    <x v="83"/>
    <x v="83"/>
    <x v="0"/>
    <x v="0"/>
    <x v="0"/>
    <x v="61"/>
    <x v="0"/>
    <x v="1"/>
    <x v="0"/>
    <n v="3.5"/>
    <n v="105.14"/>
  </r>
  <r>
    <x v="83"/>
    <x v="83"/>
    <x v="0"/>
    <x v="0"/>
    <x v="0"/>
    <x v="61"/>
    <x v="0"/>
    <x v="1"/>
    <x v="2"/>
    <n v="5.5"/>
    <n v="156.31"/>
  </r>
  <r>
    <x v="83"/>
    <x v="83"/>
    <x v="0"/>
    <x v="0"/>
    <x v="0"/>
    <x v="61"/>
    <x v="0"/>
    <x v="2"/>
    <x v="0"/>
    <n v="9.5"/>
    <n v="285.38"/>
  </r>
  <r>
    <x v="83"/>
    <x v="83"/>
    <x v="0"/>
    <x v="0"/>
    <x v="0"/>
    <x v="61"/>
    <x v="0"/>
    <x v="3"/>
    <x v="0"/>
    <n v="9"/>
    <n v="270.36"/>
  </r>
  <r>
    <x v="83"/>
    <x v="83"/>
    <x v="0"/>
    <x v="0"/>
    <x v="0"/>
    <x v="61"/>
    <x v="0"/>
    <x v="4"/>
    <x v="0"/>
    <n v="9"/>
    <n v="270.36"/>
  </r>
  <r>
    <x v="84"/>
    <x v="84"/>
    <x v="0"/>
    <x v="0"/>
    <x v="0"/>
    <x v="61"/>
    <x v="0"/>
    <x v="0"/>
    <x v="0"/>
    <n v="8.75"/>
    <n v="262.85000000000002"/>
  </r>
  <r>
    <x v="84"/>
    <x v="84"/>
    <x v="0"/>
    <x v="0"/>
    <x v="0"/>
    <x v="61"/>
    <x v="0"/>
    <x v="1"/>
    <x v="0"/>
    <n v="7.5"/>
    <n v="225.3"/>
  </r>
  <r>
    <x v="84"/>
    <x v="84"/>
    <x v="0"/>
    <x v="0"/>
    <x v="0"/>
    <x v="61"/>
    <x v="0"/>
    <x v="2"/>
    <x v="0"/>
    <n v="7.75"/>
    <n v="232.81"/>
  </r>
  <r>
    <x v="84"/>
    <x v="84"/>
    <x v="0"/>
    <x v="0"/>
    <x v="0"/>
    <x v="61"/>
    <x v="0"/>
    <x v="2"/>
    <x v="2"/>
    <n v="1.25"/>
    <n v="35.53"/>
  </r>
  <r>
    <x v="84"/>
    <x v="84"/>
    <x v="0"/>
    <x v="0"/>
    <x v="0"/>
    <x v="61"/>
    <x v="0"/>
    <x v="3"/>
    <x v="0"/>
    <n v="9.5"/>
    <n v="285.38"/>
  </r>
  <r>
    <x v="84"/>
    <x v="84"/>
    <x v="0"/>
    <x v="0"/>
    <x v="0"/>
    <x v="61"/>
    <x v="0"/>
    <x v="4"/>
    <x v="0"/>
    <n v="6.5"/>
    <n v="195.26"/>
  </r>
  <r>
    <x v="85"/>
    <x v="85"/>
    <x v="15"/>
    <x v="15"/>
    <x v="0"/>
    <x v="48"/>
    <x v="0"/>
    <x v="0"/>
    <x v="0"/>
    <n v="8"/>
    <n v="254.24"/>
  </r>
  <r>
    <x v="85"/>
    <x v="85"/>
    <x v="15"/>
    <x v="15"/>
    <x v="0"/>
    <x v="48"/>
    <x v="0"/>
    <x v="1"/>
    <x v="0"/>
    <n v="8"/>
    <n v="254.24"/>
  </r>
  <r>
    <x v="85"/>
    <x v="85"/>
    <x v="15"/>
    <x v="15"/>
    <x v="0"/>
    <x v="48"/>
    <x v="0"/>
    <x v="2"/>
    <x v="0"/>
    <n v="8"/>
    <n v="254.24"/>
  </r>
  <r>
    <x v="85"/>
    <x v="85"/>
    <x v="15"/>
    <x v="15"/>
    <x v="0"/>
    <x v="48"/>
    <x v="0"/>
    <x v="3"/>
    <x v="0"/>
    <n v="7"/>
    <n v="222.46"/>
  </r>
  <r>
    <x v="85"/>
    <x v="85"/>
    <x v="15"/>
    <x v="15"/>
    <x v="0"/>
    <x v="48"/>
    <x v="0"/>
    <x v="4"/>
    <x v="0"/>
    <n v="7.5"/>
    <n v="238.35"/>
  </r>
  <r>
    <x v="86"/>
    <x v="86"/>
    <x v="0"/>
    <x v="0"/>
    <x v="0"/>
    <x v="48"/>
    <x v="0"/>
    <x v="0"/>
    <x v="0"/>
    <n v="8"/>
    <n v="240.32"/>
  </r>
  <r>
    <x v="86"/>
    <x v="86"/>
    <x v="0"/>
    <x v="0"/>
    <x v="0"/>
    <x v="48"/>
    <x v="0"/>
    <x v="1"/>
    <x v="0"/>
    <n v="8"/>
    <n v="240.32"/>
  </r>
  <r>
    <x v="86"/>
    <x v="86"/>
    <x v="0"/>
    <x v="0"/>
    <x v="0"/>
    <x v="48"/>
    <x v="0"/>
    <x v="2"/>
    <x v="0"/>
    <n v="8"/>
    <n v="240.32"/>
  </r>
  <r>
    <x v="86"/>
    <x v="86"/>
    <x v="0"/>
    <x v="0"/>
    <x v="0"/>
    <x v="48"/>
    <x v="0"/>
    <x v="3"/>
    <x v="0"/>
    <n v="8"/>
    <n v="240.32"/>
  </r>
  <r>
    <x v="86"/>
    <x v="86"/>
    <x v="0"/>
    <x v="0"/>
    <x v="0"/>
    <x v="48"/>
    <x v="0"/>
    <x v="4"/>
    <x v="0"/>
    <n v="7.5"/>
    <n v="225.3"/>
  </r>
  <r>
    <x v="87"/>
    <x v="87"/>
    <x v="15"/>
    <x v="15"/>
    <x v="0"/>
    <x v="62"/>
    <x v="0"/>
    <x v="0"/>
    <x v="0"/>
    <n v="8"/>
    <n v="254.24"/>
  </r>
  <r>
    <x v="87"/>
    <x v="87"/>
    <x v="15"/>
    <x v="15"/>
    <x v="0"/>
    <x v="62"/>
    <x v="0"/>
    <x v="1"/>
    <x v="0"/>
    <n v="8"/>
    <n v="254.24"/>
  </r>
  <r>
    <x v="87"/>
    <x v="87"/>
    <x v="15"/>
    <x v="15"/>
    <x v="0"/>
    <x v="62"/>
    <x v="0"/>
    <x v="2"/>
    <x v="0"/>
    <n v="8"/>
    <n v="254.24"/>
  </r>
  <r>
    <x v="87"/>
    <x v="87"/>
    <x v="15"/>
    <x v="15"/>
    <x v="0"/>
    <x v="62"/>
    <x v="0"/>
    <x v="3"/>
    <x v="0"/>
    <n v="8"/>
    <n v="254.24"/>
  </r>
  <r>
    <x v="87"/>
    <x v="87"/>
    <x v="15"/>
    <x v="15"/>
    <x v="0"/>
    <x v="62"/>
    <x v="0"/>
    <x v="4"/>
    <x v="0"/>
    <n v="7.5"/>
    <n v="238.35"/>
  </r>
  <r>
    <x v="88"/>
    <x v="88"/>
    <x v="0"/>
    <x v="0"/>
    <x v="0"/>
    <x v="62"/>
    <x v="0"/>
    <x v="0"/>
    <x v="0"/>
    <n v="8"/>
    <n v="240.32"/>
  </r>
  <r>
    <x v="88"/>
    <x v="88"/>
    <x v="0"/>
    <x v="0"/>
    <x v="0"/>
    <x v="62"/>
    <x v="0"/>
    <x v="1"/>
    <x v="0"/>
    <n v="8"/>
    <n v="240.32"/>
  </r>
  <r>
    <x v="88"/>
    <x v="88"/>
    <x v="0"/>
    <x v="0"/>
    <x v="0"/>
    <x v="62"/>
    <x v="0"/>
    <x v="2"/>
    <x v="0"/>
    <n v="8"/>
    <n v="240.32"/>
  </r>
  <r>
    <x v="88"/>
    <x v="88"/>
    <x v="0"/>
    <x v="0"/>
    <x v="0"/>
    <x v="62"/>
    <x v="0"/>
    <x v="3"/>
    <x v="0"/>
    <n v="8"/>
    <n v="240.32"/>
  </r>
  <r>
    <x v="88"/>
    <x v="88"/>
    <x v="0"/>
    <x v="0"/>
    <x v="0"/>
    <x v="62"/>
    <x v="0"/>
    <x v="4"/>
    <x v="0"/>
    <n v="8"/>
    <n v="240.32"/>
  </r>
  <r>
    <x v="89"/>
    <x v="89"/>
    <x v="0"/>
    <x v="0"/>
    <x v="0"/>
    <x v="63"/>
    <x v="0"/>
    <x v="0"/>
    <x v="0"/>
    <n v="8"/>
    <n v="240.32"/>
  </r>
  <r>
    <x v="89"/>
    <x v="89"/>
    <x v="0"/>
    <x v="0"/>
    <x v="0"/>
    <x v="63"/>
    <x v="0"/>
    <x v="1"/>
    <x v="0"/>
    <n v="7.25"/>
    <n v="217.79"/>
  </r>
  <r>
    <x v="89"/>
    <x v="89"/>
    <x v="0"/>
    <x v="0"/>
    <x v="0"/>
    <x v="63"/>
    <x v="0"/>
    <x v="1"/>
    <x v="2"/>
    <n v="0.75"/>
    <n v="21.32"/>
  </r>
  <r>
    <x v="89"/>
    <x v="89"/>
    <x v="0"/>
    <x v="0"/>
    <x v="0"/>
    <x v="63"/>
    <x v="0"/>
    <x v="2"/>
    <x v="0"/>
    <n v="8.25"/>
    <n v="247.83"/>
  </r>
  <r>
    <x v="89"/>
    <x v="89"/>
    <x v="0"/>
    <x v="0"/>
    <x v="0"/>
    <x v="63"/>
    <x v="0"/>
    <x v="3"/>
    <x v="0"/>
    <n v="8"/>
    <n v="240.32"/>
  </r>
  <r>
    <x v="89"/>
    <x v="89"/>
    <x v="0"/>
    <x v="0"/>
    <x v="0"/>
    <x v="63"/>
    <x v="0"/>
    <x v="4"/>
    <x v="0"/>
    <n v="8.5"/>
    <n v="255.34"/>
  </r>
  <r>
    <x v="90"/>
    <x v="90"/>
    <x v="0"/>
    <x v="0"/>
    <x v="0"/>
    <x v="64"/>
    <x v="0"/>
    <x v="0"/>
    <x v="0"/>
    <n v="1.75"/>
    <n v="52.57"/>
  </r>
  <r>
    <x v="90"/>
    <x v="90"/>
    <x v="0"/>
    <x v="0"/>
    <x v="0"/>
    <x v="64"/>
    <x v="0"/>
    <x v="0"/>
    <x v="3"/>
    <n v="5.25"/>
    <n v="200.76"/>
  </r>
  <r>
    <x v="90"/>
    <x v="90"/>
    <x v="0"/>
    <x v="0"/>
    <x v="0"/>
    <x v="64"/>
    <x v="0"/>
    <x v="0"/>
    <x v="1"/>
    <n v="1"/>
    <n v="38.74"/>
  </r>
  <r>
    <x v="90"/>
    <x v="90"/>
    <x v="0"/>
    <x v="0"/>
    <x v="0"/>
    <x v="64"/>
    <x v="0"/>
    <x v="1"/>
    <x v="0"/>
    <n v="1.75"/>
    <n v="52.57"/>
  </r>
  <r>
    <x v="90"/>
    <x v="90"/>
    <x v="0"/>
    <x v="0"/>
    <x v="0"/>
    <x v="64"/>
    <x v="0"/>
    <x v="1"/>
    <x v="3"/>
    <n v="5.25"/>
    <n v="200.76"/>
  </r>
  <r>
    <x v="90"/>
    <x v="90"/>
    <x v="0"/>
    <x v="0"/>
    <x v="0"/>
    <x v="64"/>
    <x v="0"/>
    <x v="1"/>
    <x v="1"/>
    <n v="1"/>
    <n v="38.74"/>
  </r>
  <r>
    <x v="90"/>
    <x v="90"/>
    <x v="0"/>
    <x v="0"/>
    <x v="0"/>
    <x v="64"/>
    <x v="0"/>
    <x v="2"/>
    <x v="0"/>
    <n v="1.75"/>
    <n v="52.57"/>
  </r>
  <r>
    <x v="90"/>
    <x v="90"/>
    <x v="0"/>
    <x v="0"/>
    <x v="0"/>
    <x v="64"/>
    <x v="0"/>
    <x v="2"/>
    <x v="3"/>
    <n v="5.25"/>
    <n v="200.76"/>
  </r>
  <r>
    <x v="90"/>
    <x v="90"/>
    <x v="0"/>
    <x v="0"/>
    <x v="0"/>
    <x v="64"/>
    <x v="0"/>
    <x v="2"/>
    <x v="1"/>
    <n v="1"/>
    <n v="38.74"/>
  </r>
  <r>
    <x v="90"/>
    <x v="90"/>
    <x v="0"/>
    <x v="0"/>
    <x v="0"/>
    <x v="64"/>
    <x v="0"/>
    <x v="3"/>
    <x v="0"/>
    <n v="1.75"/>
    <n v="52.57"/>
  </r>
  <r>
    <x v="90"/>
    <x v="90"/>
    <x v="0"/>
    <x v="0"/>
    <x v="0"/>
    <x v="64"/>
    <x v="0"/>
    <x v="3"/>
    <x v="3"/>
    <n v="5.25"/>
    <n v="200.76"/>
  </r>
  <r>
    <x v="90"/>
    <x v="90"/>
    <x v="0"/>
    <x v="0"/>
    <x v="0"/>
    <x v="64"/>
    <x v="0"/>
    <x v="3"/>
    <x v="1"/>
    <n v="1"/>
    <n v="38.74"/>
  </r>
  <r>
    <x v="90"/>
    <x v="90"/>
    <x v="0"/>
    <x v="0"/>
    <x v="0"/>
    <x v="64"/>
    <x v="0"/>
    <x v="4"/>
    <x v="0"/>
    <n v="1.75"/>
    <n v="52.57"/>
  </r>
  <r>
    <x v="90"/>
    <x v="90"/>
    <x v="0"/>
    <x v="0"/>
    <x v="0"/>
    <x v="64"/>
    <x v="0"/>
    <x v="4"/>
    <x v="3"/>
    <n v="5.25"/>
    <n v="200.76"/>
  </r>
  <r>
    <x v="90"/>
    <x v="90"/>
    <x v="0"/>
    <x v="0"/>
    <x v="0"/>
    <x v="64"/>
    <x v="0"/>
    <x v="4"/>
    <x v="1"/>
    <n v="1"/>
    <n v="38.74"/>
  </r>
  <r>
    <x v="91"/>
    <x v="91"/>
    <x v="0"/>
    <x v="0"/>
    <x v="0"/>
    <x v="65"/>
    <x v="0"/>
    <x v="0"/>
    <x v="0"/>
    <n v="8"/>
    <n v="240.32"/>
  </r>
  <r>
    <x v="91"/>
    <x v="91"/>
    <x v="0"/>
    <x v="0"/>
    <x v="0"/>
    <x v="65"/>
    <x v="0"/>
    <x v="1"/>
    <x v="0"/>
    <n v="6.25"/>
    <n v="187.75"/>
  </r>
  <r>
    <x v="91"/>
    <x v="91"/>
    <x v="0"/>
    <x v="0"/>
    <x v="0"/>
    <x v="65"/>
    <x v="0"/>
    <x v="1"/>
    <x v="2"/>
    <n v="4.25"/>
    <n v="120.79"/>
  </r>
  <r>
    <x v="91"/>
    <x v="91"/>
    <x v="0"/>
    <x v="0"/>
    <x v="0"/>
    <x v="65"/>
    <x v="0"/>
    <x v="2"/>
    <x v="0"/>
    <n v="9.5"/>
    <n v="285.38"/>
  </r>
  <r>
    <x v="91"/>
    <x v="91"/>
    <x v="0"/>
    <x v="0"/>
    <x v="0"/>
    <x v="65"/>
    <x v="0"/>
    <x v="3"/>
    <x v="0"/>
    <n v="10.5"/>
    <n v="315.42"/>
  </r>
  <r>
    <x v="91"/>
    <x v="91"/>
    <x v="0"/>
    <x v="0"/>
    <x v="0"/>
    <x v="65"/>
    <x v="0"/>
    <x v="4"/>
    <x v="0"/>
    <n v="5.75"/>
    <n v="172.73"/>
  </r>
  <r>
    <x v="92"/>
    <x v="92"/>
    <x v="15"/>
    <x v="15"/>
    <x v="0"/>
    <x v="65"/>
    <x v="0"/>
    <x v="0"/>
    <x v="0"/>
    <n v="3.5"/>
    <n v="111.23"/>
  </r>
  <r>
    <x v="92"/>
    <x v="92"/>
    <x v="15"/>
    <x v="15"/>
    <x v="0"/>
    <x v="65"/>
    <x v="0"/>
    <x v="0"/>
    <x v="3"/>
    <n v="4.75"/>
    <n v="192.42"/>
  </r>
  <r>
    <x v="92"/>
    <x v="92"/>
    <x v="15"/>
    <x v="15"/>
    <x v="0"/>
    <x v="65"/>
    <x v="0"/>
    <x v="1"/>
    <x v="0"/>
    <n v="3.5"/>
    <n v="111.23"/>
  </r>
  <r>
    <x v="92"/>
    <x v="92"/>
    <x v="15"/>
    <x v="15"/>
    <x v="0"/>
    <x v="65"/>
    <x v="0"/>
    <x v="1"/>
    <x v="3"/>
    <n v="4.75"/>
    <n v="192.42"/>
  </r>
  <r>
    <x v="92"/>
    <x v="92"/>
    <x v="15"/>
    <x v="15"/>
    <x v="0"/>
    <x v="65"/>
    <x v="0"/>
    <x v="2"/>
    <x v="0"/>
    <n v="3"/>
    <n v="95.34"/>
  </r>
  <r>
    <x v="92"/>
    <x v="92"/>
    <x v="15"/>
    <x v="15"/>
    <x v="0"/>
    <x v="65"/>
    <x v="0"/>
    <x v="2"/>
    <x v="3"/>
    <n v="4.5"/>
    <n v="182.3"/>
  </r>
  <r>
    <x v="92"/>
    <x v="92"/>
    <x v="15"/>
    <x v="15"/>
    <x v="0"/>
    <x v="65"/>
    <x v="0"/>
    <x v="2"/>
    <x v="2"/>
    <n v="0.5"/>
    <n v="15.12"/>
  </r>
  <r>
    <x v="92"/>
    <x v="92"/>
    <x v="15"/>
    <x v="15"/>
    <x v="0"/>
    <x v="65"/>
    <x v="0"/>
    <x v="3"/>
    <x v="0"/>
    <n v="3.5"/>
    <n v="111.23"/>
  </r>
  <r>
    <x v="92"/>
    <x v="92"/>
    <x v="15"/>
    <x v="15"/>
    <x v="0"/>
    <x v="65"/>
    <x v="0"/>
    <x v="3"/>
    <x v="3"/>
    <n v="4.5"/>
    <n v="182.3"/>
  </r>
  <r>
    <x v="92"/>
    <x v="92"/>
    <x v="15"/>
    <x v="15"/>
    <x v="0"/>
    <x v="65"/>
    <x v="0"/>
    <x v="4"/>
    <x v="0"/>
    <n v="3.5"/>
    <n v="111.23"/>
  </r>
  <r>
    <x v="92"/>
    <x v="92"/>
    <x v="15"/>
    <x v="15"/>
    <x v="0"/>
    <x v="65"/>
    <x v="0"/>
    <x v="4"/>
    <x v="3"/>
    <n v="4.5"/>
    <n v="182.3"/>
  </r>
  <r>
    <x v="93"/>
    <x v="93"/>
    <x v="0"/>
    <x v="0"/>
    <x v="0"/>
    <x v="66"/>
    <x v="0"/>
    <x v="0"/>
    <x v="0"/>
    <n v="8"/>
    <n v="240.32"/>
  </r>
  <r>
    <x v="93"/>
    <x v="93"/>
    <x v="0"/>
    <x v="0"/>
    <x v="0"/>
    <x v="66"/>
    <x v="0"/>
    <x v="1"/>
    <x v="0"/>
    <n v="8"/>
    <n v="240.32"/>
  </r>
  <r>
    <x v="93"/>
    <x v="93"/>
    <x v="0"/>
    <x v="0"/>
    <x v="0"/>
    <x v="66"/>
    <x v="0"/>
    <x v="2"/>
    <x v="0"/>
    <n v="8"/>
    <n v="240.32"/>
  </r>
  <r>
    <x v="93"/>
    <x v="93"/>
    <x v="0"/>
    <x v="0"/>
    <x v="0"/>
    <x v="66"/>
    <x v="0"/>
    <x v="3"/>
    <x v="0"/>
    <n v="8"/>
    <n v="240.32"/>
  </r>
  <r>
    <x v="93"/>
    <x v="93"/>
    <x v="0"/>
    <x v="0"/>
    <x v="0"/>
    <x v="66"/>
    <x v="0"/>
    <x v="4"/>
    <x v="0"/>
    <n v="7.5"/>
    <n v="225.3"/>
  </r>
  <r>
    <x v="94"/>
    <x v="94"/>
    <x v="0"/>
    <x v="0"/>
    <x v="0"/>
    <x v="66"/>
    <x v="0"/>
    <x v="0"/>
    <x v="0"/>
    <n v="8"/>
    <n v="240.32"/>
  </r>
  <r>
    <x v="94"/>
    <x v="94"/>
    <x v="0"/>
    <x v="0"/>
    <x v="0"/>
    <x v="66"/>
    <x v="0"/>
    <x v="1"/>
    <x v="0"/>
    <n v="8"/>
    <n v="240.32"/>
  </r>
  <r>
    <x v="94"/>
    <x v="94"/>
    <x v="0"/>
    <x v="0"/>
    <x v="0"/>
    <x v="66"/>
    <x v="0"/>
    <x v="2"/>
    <x v="0"/>
    <n v="8"/>
    <n v="240.32"/>
  </r>
  <r>
    <x v="94"/>
    <x v="94"/>
    <x v="0"/>
    <x v="0"/>
    <x v="0"/>
    <x v="66"/>
    <x v="0"/>
    <x v="3"/>
    <x v="0"/>
    <n v="8"/>
    <n v="240.32"/>
  </r>
  <r>
    <x v="94"/>
    <x v="94"/>
    <x v="0"/>
    <x v="0"/>
    <x v="0"/>
    <x v="66"/>
    <x v="0"/>
    <x v="4"/>
    <x v="0"/>
    <n v="7.5"/>
    <n v="225.3"/>
  </r>
  <r>
    <x v="95"/>
    <x v="95"/>
    <x v="0"/>
    <x v="0"/>
    <x v="0"/>
    <x v="0"/>
    <x v="0"/>
    <x v="0"/>
    <x v="0"/>
    <n v="3"/>
    <n v="90.12"/>
  </r>
  <r>
    <x v="95"/>
    <x v="95"/>
    <x v="0"/>
    <x v="0"/>
    <x v="0"/>
    <x v="0"/>
    <x v="0"/>
    <x v="0"/>
    <x v="3"/>
    <n v="4.5"/>
    <n v="172.08"/>
  </r>
  <r>
    <x v="95"/>
    <x v="95"/>
    <x v="0"/>
    <x v="0"/>
    <x v="0"/>
    <x v="0"/>
    <x v="0"/>
    <x v="1"/>
    <x v="0"/>
    <n v="3.25"/>
    <n v="97.63"/>
  </r>
  <r>
    <x v="95"/>
    <x v="95"/>
    <x v="0"/>
    <x v="0"/>
    <x v="0"/>
    <x v="0"/>
    <x v="0"/>
    <x v="1"/>
    <x v="3"/>
    <n v="5"/>
    <n v="191.2"/>
  </r>
  <r>
    <x v="95"/>
    <x v="95"/>
    <x v="0"/>
    <x v="0"/>
    <x v="0"/>
    <x v="0"/>
    <x v="0"/>
    <x v="1"/>
    <x v="1"/>
    <n v="0.5"/>
    <n v="19.37"/>
  </r>
  <r>
    <x v="95"/>
    <x v="95"/>
    <x v="0"/>
    <x v="0"/>
    <x v="0"/>
    <x v="0"/>
    <x v="0"/>
    <x v="2"/>
    <x v="0"/>
    <n v="2.75"/>
    <n v="82.61"/>
  </r>
  <r>
    <x v="95"/>
    <x v="95"/>
    <x v="0"/>
    <x v="0"/>
    <x v="0"/>
    <x v="0"/>
    <x v="0"/>
    <x v="2"/>
    <x v="3"/>
    <n v="5"/>
    <n v="191.2"/>
  </r>
  <r>
    <x v="95"/>
    <x v="95"/>
    <x v="0"/>
    <x v="0"/>
    <x v="0"/>
    <x v="0"/>
    <x v="0"/>
    <x v="2"/>
    <x v="1"/>
    <n v="0.5"/>
    <n v="19.37"/>
  </r>
  <r>
    <x v="95"/>
    <x v="95"/>
    <x v="0"/>
    <x v="0"/>
    <x v="0"/>
    <x v="0"/>
    <x v="0"/>
    <x v="2"/>
    <x v="2"/>
    <n v="0.25"/>
    <n v="7.11"/>
  </r>
  <r>
    <x v="95"/>
    <x v="95"/>
    <x v="0"/>
    <x v="0"/>
    <x v="0"/>
    <x v="0"/>
    <x v="0"/>
    <x v="3"/>
    <x v="0"/>
    <n v="3"/>
    <n v="90.12"/>
  </r>
  <r>
    <x v="95"/>
    <x v="95"/>
    <x v="0"/>
    <x v="0"/>
    <x v="0"/>
    <x v="0"/>
    <x v="0"/>
    <x v="3"/>
    <x v="3"/>
    <n v="5"/>
    <n v="191.2"/>
  </r>
  <r>
    <x v="95"/>
    <x v="95"/>
    <x v="0"/>
    <x v="0"/>
    <x v="0"/>
    <x v="0"/>
    <x v="0"/>
    <x v="3"/>
    <x v="1"/>
    <n v="0.5"/>
    <n v="19.37"/>
  </r>
  <r>
    <x v="95"/>
    <x v="95"/>
    <x v="0"/>
    <x v="0"/>
    <x v="0"/>
    <x v="0"/>
    <x v="0"/>
    <x v="4"/>
    <x v="0"/>
    <n v="3"/>
    <n v="90.12"/>
  </r>
  <r>
    <x v="95"/>
    <x v="95"/>
    <x v="0"/>
    <x v="0"/>
    <x v="0"/>
    <x v="0"/>
    <x v="0"/>
    <x v="4"/>
    <x v="3"/>
    <n v="4"/>
    <n v="152.96"/>
  </r>
  <r>
    <x v="96"/>
    <x v="96"/>
    <x v="0"/>
    <x v="0"/>
    <x v="0"/>
    <x v="0"/>
    <x v="0"/>
    <x v="0"/>
    <x v="0"/>
    <n v="3"/>
    <n v="90.12"/>
  </r>
  <r>
    <x v="96"/>
    <x v="96"/>
    <x v="0"/>
    <x v="0"/>
    <x v="0"/>
    <x v="0"/>
    <x v="0"/>
    <x v="0"/>
    <x v="3"/>
    <n v="4.5"/>
    <n v="172.08"/>
  </r>
  <r>
    <x v="96"/>
    <x v="96"/>
    <x v="0"/>
    <x v="0"/>
    <x v="0"/>
    <x v="0"/>
    <x v="0"/>
    <x v="1"/>
    <x v="0"/>
    <n v="3"/>
    <n v="90.12"/>
  </r>
  <r>
    <x v="96"/>
    <x v="96"/>
    <x v="0"/>
    <x v="0"/>
    <x v="0"/>
    <x v="0"/>
    <x v="0"/>
    <x v="1"/>
    <x v="3"/>
    <n v="5"/>
    <n v="191.2"/>
  </r>
  <r>
    <x v="96"/>
    <x v="96"/>
    <x v="0"/>
    <x v="0"/>
    <x v="0"/>
    <x v="0"/>
    <x v="0"/>
    <x v="1"/>
    <x v="1"/>
    <n v="0.75"/>
    <n v="29.06"/>
  </r>
  <r>
    <x v="96"/>
    <x v="96"/>
    <x v="0"/>
    <x v="0"/>
    <x v="0"/>
    <x v="0"/>
    <x v="0"/>
    <x v="2"/>
    <x v="0"/>
    <n v="2.75"/>
    <n v="82.61"/>
  </r>
  <r>
    <x v="96"/>
    <x v="96"/>
    <x v="0"/>
    <x v="0"/>
    <x v="0"/>
    <x v="0"/>
    <x v="0"/>
    <x v="2"/>
    <x v="3"/>
    <n v="5"/>
    <n v="191.2"/>
  </r>
  <r>
    <x v="96"/>
    <x v="96"/>
    <x v="0"/>
    <x v="0"/>
    <x v="0"/>
    <x v="0"/>
    <x v="0"/>
    <x v="2"/>
    <x v="1"/>
    <n v="0.5"/>
    <n v="19.37"/>
  </r>
  <r>
    <x v="96"/>
    <x v="96"/>
    <x v="0"/>
    <x v="0"/>
    <x v="0"/>
    <x v="0"/>
    <x v="0"/>
    <x v="2"/>
    <x v="2"/>
    <n v="0.25"/>
    <n v="7.11"/>
  </r>
  <r>
    <x v="96"/>
    <x v="96"/>
    <x v="0"/>
    <x v="0"/>
    <x v="0"/>
    <x v="0"/>
    <x v="0"/>
    <x v="3"/>
    <x v="0"/>
    <n v="3"/>
    <n v="90.12"/>
  </r>
  <r>
    <x v="96"/>
    <x v="96"/>
    <x v="0"/>
    <x v="0"/>
    <x v="0"/>
    <x v="0"/>
    <x v="0"/>
    <x v="3"/>
    <x v="3"/>
    <n v="5"/>
    <n v="191.2"/>
  </r>
  <r>
    <x v="96"/>
    <x v="96"/>
    <x v="0"/>
    <x v="0"/>
    <x v="0"/>
    <x v="0"/>
    <x v="0"/>
    <x v="3"/>
    <x v="1"/>
    <n v="0.5"/>
    <n v="19.37"/>
  </r>
  <r>
    <x v="96"/>
    <x v="96"/>
    <x v="0"/>
    <x v="0"/>
    <x v="0"/>
    <x v="0"/>
    <x v="0"/>
    <x v="4"/>
    <x v="0"/>
    <n v="3"/>
    <n v="90.12"/>
  </r>
  <r>
    <x v="96"/>
    <x v="96"/>
    <x v="0"/>
    <x v="0"/>
    <x v="0"/>
    <x v="0"/>
    <x v="0"/>
    <x v="4"/>
    <x v="3"/>
    <n v="4"/>
    <n v="152.96"/>
  </r>
  <r>
    <x v="97"/>
    <x v="97"/>
    <x v="0"/>
    <x v="0"/>
    <x v="0"/>
    <x v="0"/>
    <x v="0"/>
    <x v="0"/>
    <x v="0"/>
    <n v="3.75"/>
    <n v="112.65"/>
  </r>
  <r>
    <x v="97"/>
    <x v="97"/>
    <x v="0"/>
    <x v="0"/>
    <x v="0"/>
    <x v="0"/>
    <x v="0"/>
    <x v="0"/>
    <x v="3"/>
    <n v="3.75"/>
    <n v="143.4"/>
  </r>
  <r>
    <x v="97"/>
    <x v="97"/>
    <x v="0"/>
    <x v="0"/>
    <x v="0"/>
    <x v="0"/>
    <x v="0"/>
    <x v="1"/>
    <x v="0"/>
    <n v="4"/>
    <n v="120.16"/>
  </r>
  <r>
    <x v="97"/>
    <x v="97"/>
    <x v="0"/>
    <x v="0"/>
    <x v="0"/>
    <x v="0"/>
    <x v="0"/>
    <x v="1"/>
    <x v="3"/>
    <n v="3.75"/>
    <n v="143.4"/>
  </r>
  <r>
    <x v="97"/>
    <x v="97"/>
    <x v="0"/>
    <x v="0"/>
    <x v="0"/>
    <x v="0"/>
    <x v="0"/>
    <x v="2"/>
    <x v="0"/>
    <n v="4"/>
    <n v="120.16"/>
  </r>
  <r>
    <x v="97"/>
    <x v="97"/>
    <x v="0"/>
    <x v="0"/>
    <x v="0"/>
    <x v="0"/>
    <x v="0"/>
    <x v="2"/>
    <x v="3"/>
    <n v="3.5"/>
    <n v="133.84"/>
  </r>
  <r>
    <x v="97"/>
    <x v="97"/>
    <x v="0"/>
    <x v="0"/>
    <x v="0"/>
    <x v="0"/>
    <x v="0"/>
    <x v="3"/>
    <x v="0"/>
    <n v="4"/>
    <n v="120.16"/>
  </r>
  <r>
    <x v="97"/>
    <x v="97"/>
    <x v="0"/>
    <x v="0"/>
    <x v="0"/>
    <x v="0"/>
    <x v="0"/>
    <x v="3"/>
    <x v="3"/>
    <n v="3.75"/>
    <n v="143.4"/>
  </r>
  <r>
    <x v="97"/>
    <x v="97"/>
    <x v="0"/>
    <x v="0"/>
    <x v="0"/>
    <x v="0"/>
    <x v="0"/>
    <x v="4"/>
    <x v="0"/>
    <n v="4"/>
    <n v="120.16"/>
  </r>
  <r>
    <x v="97"/>
    <x v="97"/>
    <x v="0"/>
    <x v="0"/>
    <x v="0"/>
    <x v="0"/>
    <x v="0"/>
    <x v="4"/>
    <x v="3"/>
    <n v="3.25"/>
    <n v="124.28"/>
  </r>
  <r>
    <x v="98"/>
    <x v="98"/>
    <x v="0"/>
    <x v="0"/>
    <x v="0"/>
    <x v="66"/>
    <x v="0"/>
    <x v="0"/>
    <x v="0"/>
    <n v="8"/>
    <n v="240.32"/>
  </r>
  <r>
    <x v="98"/>
    <x v="98"/>
    <x v="0"/>
    <x v="0"/>
    <x v="0"/>
    <x v="66"/>
    <x v="0"/>
    <x v="1"/>
    <x v="0"/>
    <n v="5.25"/>
    <n v="157.71"/>
  </r>
  <r>
    <x v="98"/>
    <x v="98"/>
    <x v="0"/>
    <x v="0"/>
    <x v="0"/>
    <x v="66"/>
    <x v="0"/>
    <x v="1"/>
    <x v="3"/>
    <n v="0.75"/>
    <n v="28.68"/>
  </r>
  <r>
    <x v="98"/>
    <x v="98"/>
    <x v="0"/>
    <x v="0"/>
    <x v="0"/>
    <x v="66"/>
    <x v="0"/>
    <x v="1"/>
    <x v="2"/>
    <n v="4.5"/>
    <n v="127.89"/>
  </r>
  <r>
    <x v="98"/>
    <x v="98"/>
    <x v="0"/>
    <x v="0"/>
    <x v="0"/>
    <x v="66"/>
    <x v="0"/>
    <x v="2"/>
    <x v="0"/>
    <n v="9"/>
    <n v="270.36"/>
  </r>
  <r>
    <x v="98"/>
    <x v="98"/>
    <x v="0"/>
    <x v="0"/>
    <x v="0"/>
    <x v="66"/>
    <x v="0"/>
    <x v="3"/>
    <x v="0"/>
    <n v="9"/>
    <n v="270.36"/>
  </r>
  <r>
    <x v="98"/>
    <x v="98"/>
    <x v="0"/>
    <x v="0"/>
    <x v="0"/>
    <x v="66"/>
    <x v="0"/>
    <x v="4"/>
    <x v="0"/>
    <n v="8"/>
    <n v="240.32"/>
  </r>
  <r>
    <x v="99"/>
    <x v="99"/>
    <x v="0"/>
    <x v="0"/>
    <x v="0"/>
    <x v="67"/>
    <x v="0"/>
    <x v="0"/>
    <x v="0"/>
    <n v="9"/>
    <n v="270.36"/>
  </r>
  <r>
    <x v="99"/>
    <x v="99"/>
    <x v="0"/>
    <x v="0"/>
    <x v="0"/>
    <x v="67"/>
    <x v="0"/>
    <x v="1"/>
    <x v="0"/>
    <n v="7.5"/>
    <n v="225.3"/>
  </r>
  <r>
    <x v="99"/>
    <x v="99"/>
    <x v="0"/>
    <x v="0"/>
    <x v="0"/>
    <x v="67"/>
    <x v="0"/>
    <x v="1"/>
    <x v="2"/>
    <n v="1.5"/>
    <n v="42.63"/>
  </r>
  <r>
    <x v="99"/>
    <x v="99"/>
    <x v="0"/>
    <x v="0"/>
    <x v="0"/>
    <x v="67"/>
    <x v="0"/>
    <x v="2"/>
    <x v="0"/>
    <n v="7.5"/>
    <n v="225.3"/>
  </r>
  <r>
    <x v="99"/>
    <x v="99"/>
    <x v="0"/>
    <x v="0"/>
    <x v="0"/>
    <x v="67"/>
    <x v="0"/>
    <x v="3"/>
    <x v="0"/>
    <n v="8"/>
    <n v="240.32"/>
  </r>
  <r>
    <x v="99"/>
    <x v="99"/>
    <x v="0"/>
    <x v="0"/>
    <x v="0"/>
    <x v="67"/>
    <x v="0"/>
    <x v="4"/>
    <x v="0"/>
    <n v="8"/>
    <n v="240.32"/>
  </r>
  <r>
    <x v="100"/>
    <x v="100"/>
    <x v="0"/>
    <x v="0"/>
    <x v="0"/>
    <x v="67"/>
    <x v="0"/>
    <x v="0"/>
    <x v="0"/>
    <n v="8"/>
    <n v="240.32"/>
  </r>
  <r>
    <x v="100"/>
    <x v="100"/>
    <x v="0"/>
    <x v="0"/>
    <x v="0"/>
    <x v="67"/>
    <x v="0"/>
    <x v="1"/>
    <x v="0"/>
    <n v="8"/>
    <n v="240.32"/>
  </r>
  <r>
    <x v="100"/>
    <x v="100"/>
    <x v="0"/>
    <x v="0"/>
    <x v="0"/>
    <x v="67"/>
    <x v="0"/>
    <x v="2"/>
    <x v="0"/>
    <n v="8"/>
    <n v="240.32"/>
  </r>
  <r>
    <x v="100"/>
    <x v="100"/>
    <x v="0"/>
    <x v="0"/>
    <x v="0"/>
    <x v="67"/>
    <x v="0"/>
    <x v="3"/>
    <x v="0"/>
    <n v="8"/>
    <n v="240.32"/>
  </r>
  <r>
    <x v="100"/>
    <x v="100"/>
    <x v="0"/>
    <x v="0"/>
    <x v="0"/>
    <x v="67"/>
    <x v="0"/>
    <x v="4"/>
    <x v="0"/>
    <n v="7.5"/>
    <n v="225.3"/>
  </r>
  <r>
    <x v="101"/>
    <x v="101"/>
    <x v="0"/>
    <x v="0"/>
    <x v="0"/>
    <x v="68"/>
    <x v="0"/>
    <x v="3"/>
    <x v="0"/>
    <n v="4.75"/>
    <n v="142.69"/>
  </r>
  <r>
    <x v="101"/>
    <x v="101"/>
    <x v="0"/>
    <x v="0"/>
    <x v="0"/>
    <x v="68"/>
    <x v="0"/>
    <x v="4"/>
    <x v="0"/>
    <n v="7.25"/>
    <n v="217.79"/>
  </r>
  <r>
    <x v="102"/>
    <x v="102"/>
    <x v="0"/>
    <x v="0"/>
    <x v="0"/>
    <x v="69"/>
    <x v="0"/>
    <x v="0"/>
    <x v="0"/>
    <n v="2.75"/>
    <n v="82.61"/>
  </r>
  <r>
    <x v="102"/>
    <x v="102"/>
    <x v="0"/>
    <x v="0"/>
    <x v="0"/>
    <x v="69"/>
    <x v="0"/>
    <x v="0"/>
    <x v="3"/>
    <n v="5.25"/>
    <n v="200.76"/>
  </r>
  <r>
    <x v="102"/>
    <x v="102"/>
    <x v="0"/>
    <x v="0"/>
    <x v="0"/>
    <x v="69"/>
    <x v="0"/>
    <x v="0"/>
    <x v="1"/>
    <n v="0.5"/>
    <n v="19.37"/>
  </r>
  <r>
    <x v="102"/>
    <x v="102"/>
    <x v="0"/>
    <x v="0"/>
    <x v="0"/>
    <x v="69"/>
    <x v="0"/>
    <x v="1"/>
    <x v="0"/>
    <n v="2.75"/>
    <n v="82.61"/>
  </r>
  <r>
    <x v="102"/>
    <x v="102"/>
    <x v="0"/>
    <x v="0"/>
    <x v="0"/>
    <x v="69"/>
    <x v="0"/>
    <x v="1"/>
    <x v="3"/>
    <n v="5.25"/>
    <n v="200.76"/>
  </r>
  <r>
    <x v="102"/>
    <x v="102"/>
    <x v="0"/>
    <x v="0"/>
    <x v="0"/>
    <x v="69"/>
    <x v="0"/>
    <x v="1"/>
    <x v="1"/>
    <n v="1"/>
    <n v="38.74"/>
  </r>
  <r>
    <x v="102"/>
    <x v="102"/>
    <x v="0"/>
    <x v="0"/>
    <x v="0"/>
    <x v="69"/>
    <x v="0"/>
    <x v="2"/>
    <x v="3"/>
    <n v="5.25"/>
    <n v="200.76"/>
  </r>
  <r>
    <x v="102"/>
    <x v="102"/>
    <x v="0"/>
    <x v="0"/>
    <x v="0"/>
    <x v="69"/>
    <x v="0"/>
    <x v="2"/>
    <x v="1"/>
    <n v="0.5"/>
    <n v="19.37"/>
  </r>
  <r>
    <x v="102"/>
    <x v="102"/>
    <x v="0"/>
    <x v="0"/>
    <x v="0"/>
    <x v="69"/>
    <x v="0"/>
    <x v="2"/>
    <x v="2"/>
    <n v="2.75"/>
    <n v="78.16"/>
  </r>
  <r>
    <x v="102"/>
    <x v="102"/>
    <x v="0"/>
    <x v="0"/>
    <x v="0"/>
    <x v="69"/>
    <x v="0"/>
    <x v="3"/>
    <x v="0"/>
    <n v="2.75"/>
    <n v="82.61"/>
  </r>
  <r>
    <x v="102"/>
    <x v="102"/>
    <x v="0"/>
    <x v="0"/>
    <x v="0"/>
    <x v="69"/>
    <x v="0"/>
    <x v="3"/>
    <x v="3"/>
    <n v="5.25"/>
    <n v="200.76"/>
  </r>
  <r>
    <x v="102"/>
    <x v="102"/>
    <x v="0"/>
    <x v="0"/>
    <x v="0"/>
    <x v="69"/>
    <x v="0"/>
    <x v="3"/>
    <x v="1"/>
    <n v="0.5"/>
    <n v="19.37"/>
  </r>
  <r>
    <x v="102"/>
    <x v="102"/>
    <x v="0"/>
    <x v="0"/>
    <x v="0"/>
    <x v="69"/>
    <x v="0"/>
    <x v="4"/>
    <x v="0"/>
    <n v="2.75"/>
    <n v="82.61"/>
  </r>
  <r>
    <x v="102"/>
    <x v="102"/>
    <x v="0"/>
    <x v="0"/>
    <x v="0"/>
    <x v="69"/>
    <x v="0"/>
    <x v="4"/>
    <x v="3"/>
    <n v="5.25"/>
    <n v="200.76"/>
  </r>
  <r>
    <x v="102"/>
    <x v="102"/>
    <x v="0"/>
    <x v="0"/>
    <x v="0"/>
    <x v="69"/>
    <x v="0"/>
    <x v="4"/>
    <x v="1"/>
    <n v="0.25"/>
    <n v="9.69"/>
  </r>
  <r>
    <x v="103"/>
    <x v="103"/>
    <x v="0"/>
    <x v="0"/>
    <x v="0"/>
    <x v="69"/>
    <x v="0"/>
    <x v="0"/>
    <x v="0"/>
    <n v="9.5"/>
    <n v="285.38"/>
  </r>
  <r>
    <x v="103"/>
    <x v="103"/>
    <x v="0"/>
    <x v="0"/>
    <x v="0"/>
    <x v="69"/>
    <x v="0"/>
    <x v="1"/>
    <x v="0"/>
    <n v="3"/>
    <n v="90.12"/>
  </r>
  <r>
    <x v="103"/>
    <x v="103"/>
    <x v="0"/>
    <x v="0"/>
    <x v="0"/>
    <x v="69"/>
    <x v="0"/>
    <x v="1"/>
    <x v="2"/>
    <n v="5"/>
    <n v="142.1"/>
  </r>
  <r>
    <x v="103"/>
    <x v="103"/>
    <x v="0"/>
    <x v="0"/>
    <x v="0"/>
    <x v="69"/>
    <x v="0"/>
    <x v="2"/>
    <x v="0"/>
    <n v="9"/>
    <n v="270.36"/>
  </r>
  <r>
    <x v="103"/>
    <x v="103"/>
    <x v="0"/>
    <x v="0"/>
    <x v="0"/>
    <x v="69"/>
    <x v="0"/>
    <x v="3"/>
    <x v="0"/>
    <n v="9.75"/>
    <n v="292.89"/>
  </r>
  <r>
    <x v="103"/>
    <x v="103"/>
    <x v="0"/>
    <x v="0"/>
    <x v="0"/>
    <x v="69"/>
    <x v="0"/>
    <x v="3"/>
    <x v="3"/>
    <n v="0.75"/>
    <n v="28.68"/>
  </r>
  <r>
    <x v="103"/>
    <x v="103"/>
    <x v="0"/>
    <x v="0"/>
    <x v="0"/>
    <x v="69"/>
    <x v="0"/>
    <x v="4"/>
    <x v="0"/>
    <n v="8"/>
    <n v="240.32"/>
  </r>
  <r>
    <x v="104"/>
    <x v="104"/>
    <x v="0"/>
    <x v="0"/>
    <x v="0"/>
    <x v="70"/>
    <x v="0"/>
    <x v="0"/>
    <x v="0"/>
    <n v="8"/>
    <n v="240.32"/>
  </r>
  <r>
    <x v="104"/>
    <x v="104"/>
    <x v="0"/>
    <x v="0"/>
    <x v="0"/>
    <x v="70"/>
    <x v="0"/>
    <x v="1"/>
    <x v="0"/>
    <n v="8"/>
    <n v="240.32"/>
  </r>
  <r>
    <x v="104"/>
    <x v="104"/>
    <x v="0"/>
    <x v="0"/>
    <x v="0"/>
    <x v="70"/>
    <x v="0"/>
    <x v="2"/>
    <x v="0"/>
    <n v="8"/>
    <n v="240.32"/>
  </r>
  <r>
    <x v="104"/>
    <x v="104"/>
    <x v="0"/>
    <x v="0"/>
    <x v="0"/>
    <x v="70"/>
    <x v="0"/>
    <x v="3"/>
    <x v="0"/>
    <n v="8"/>
    <n v="240.32"/>
  </r>
  <r>
    <x v="104"/>
    <x v="104"/>
    <x v="0"/>
    <x v="0"/>
    <x v="0"/>
    <x v="70"/>
    <x v="0"/>
    <x v="4"/>
    <x v="0"/>
    <n v="6.75"/>
    <n v="202.77"/>
  </r>
  <r>
    <x v="105"/>
    <x v="105"/>
    <x v="0"/>
    <x v="0"/>
    <x v="0"/>
    <x v="66"/>
    <x v="0"/>
    <x v="0"/>
    <x v="0"/>
    <n v="8.25"/>
    <n v="247.83"/>
  </r>
  <r>
    <x v="105"/>
    <x v="105"/>
    <x v="0"/>
    <x v="0"/>
    <x v="0"/>
    <x v="66"/>
    <x v="0"/>
    <x v="1"/>
    <x v="0"/>
    <n v="9.25"/>
    <n v="277.87"/>
  </r>
  <r>
    <x v="105"/>
    <x v="105"/>
    <x v="0"/>
    <x v="0"/>
    <x v="0"/>
    <x v="66"/>
    <x v="0"/>
    <x v="2"/>
    <x v="0"/>
    <n v="7"/>
    <n v="210.28"/>
  </r>
  <r>
    <x v="105"/>
    <x v="105"/>
    <x v="0"/>
    <x v="0"/>
    <x v="0"/>
    <x v="66"/>
    <x v="0"/>
    <x v="2"/>
    <x v="2"/>
    <n v="2"/>
    <n v="56.84"/>
  </r>
  <r>
    <x v="105"/>
    <x v="105"/>
    <x v="0"/>
    <x v="0"/>
    <x v="0"/>
    <x v="66"/>
    <x v="0"/>
    <x v="3"/>
    <x v="0"/>
    <n v="8"/>
    <n v="240.32"/>
  </r>
  <r>
    <x v="105"/>
    <x v="105"/>
    <x v="0"/>
    <x v="0"/>
    <x v="0"/>
    <x v="66"/>
    <x v="0"/>
    <x v="4"/>
    <x v="0"/>
    <n v="7.5"/>
    <n v="225.3"/>
  </r>
  <r>
    <x v="106"/>
    <x v="106"/>
    <x v="0"/>
    <x v="0"/>
    <x v="0"/>
    <x v="66"/>
    <x v="0"/>
    <x v="0"/>
    <x v="0"/>
    <n v="8.75"/>
    <n v="262.85000000000002"/>
  </r>
  <r>
    <x v="106"/>
    <x v="106"/>
    <x v="0"/>
    <x v="0"/>
    <x v="0"/>
    <x v="66"/>
    <x v="0"/>
    <x v="1"/>
    <x v="0"/>
    <n v="8.5"/>
    <n v="255.34"/>
  </r>
  <r>
    <x v="106"/>
    <x v="106"/>
    <x v="0"/>
    <x v="0"/>
    <x v="0"/>
    <x v="66"/>
    <x v="0"/>
    <x v="2"/>
    <x v="0"/>
    <n v="6"/>
    <n v="180.24"/>
  </r>
  <r>
    <x v="106"/>
    <x v="106"/>
    <x v="0"/>
    <x v="0"/>
    <x v="0"/>
    <x v="66"/>
    <x v="0"/>
    <x v="2"/>
    <x v="2"/>
    <n v="3"/>
    <n v="85.26"/>
  </r>
  <r>
    <x v="106"/>
    <x v="106"/>
    <x v="0"/>
    <x v="0"/>
    <x v="0"/>
    <x v="66"/>
    <x v="0"/>
    <x v="3"/>
    <x v="0"/>
    <n v="9.5"/>
    <n v="285.38"/>
  </r>
  <r>
    <x v="106"/>
    <x v="106"/>
    <x v="0"/>
    <x v="0"/>
    <x v="0"/>
    <x v="66"/>
    <x v="0"/>
    <x v="4"/>
    <x v="0"/>
    <n v="7.25"/>
    <n v="217.79"/>
  </r>
  <r>
    <x v="107"/>
    <x v="107"/>
    <x v="0"/>
    <x v="0"/>
    <x v="0"/>
    <x v="66"/>
    <x v="0"/>
    <x v="0"/>
    <x v="0"/>
    <n v="5.75"/>
    <n v="172.73"/>
  </r>
  <r>
    <x v="107"/>
    <x v="107"/>
    <x v="0"/>
    <x v="0"/>
    <x v="0"/>
    <x v="66"/>
    <x v="0"/>
    <x v="1"/>
    <x v="0"/>
    <n v="8"/>
    <n v="240.32"/>
  </r>
  <r>
    <x v="107"/>
    <x v="107"/>
    <x v="0"/>
    <x v="0"/>
    <x v="0"/>
    <x v="66"/>
    <x v="0"/>
    <x v="2"/>
    <x v="0"/>
    <n v="8"/>
    <n v="240.32"/>
  </r>
  <r>
    <x v="107"/>
    <x v="107"/>
    <x v="0"/>
    <x v="0"/>
    <x v="0"/>
    <x v="66"/>
    <x v="0"/>
    <x v="3"/>
    <x v="0"/>
    <n v="8"/>
    <n v="240.32"/>
  </r>
  <r>
    <x v="107"/>
    <x v="107"/>
    <x v="0"/>
    <x v="0"/>
    <x v="0"/>
    <x v="66"/>
    <x v="0"/>
    <x v="4"/>
    <x v="0"/>
    <n v="7.5"/>
    <n v="225.3"/>
  </r>
  <r>
    <x v="108"/>
    <x v="108"/>
    <x v="0"/>
    <x v="0"/>
    <x v="0"/>
    <x v="66"/>
    <x v="0"/>
    <x v="0"/>
    <x v="0"/>
    <n v="5.75"/>
    <n v="172.73"/>
  </r>
  <r>
    <x v="108"/>
    <x v="108"/>
    <x v="0"/>
    <x v="0"/>
    <x v="0"/>
    <x v="66"/>
    <x v="0"/>
    <x v="1"/>
    <x v="0"/>
    <n v="7.75"/>
    <n v="232.81"/>
  </r>
  <r>
    <x v="108"/>
    <x v="108"/>
    <x v="0"/>
    <x v="0"/>
    <x v="0"/>
    <x v="66"/>
    <x v="0"/>
    <x v="2"/>
    <x v="0"/>
    <n v="8"/>
    <n v="240.32"/>
  </r>
  <r>
    <x v="108"/>
    <x v="108"/>
    <x v="0"/>
    <x v="0"/>
    <x v="0"/>
    <x v="66"/>
    <x v="0"/>
    <x v="3"/>
    <x v="0"/>
    <n v="8"/>
    <n v="240.32"/>
  </r>
  <r>
    <x v="108"/>
    <x v="108"/>
    <x v="0"/>
    <x v="0"/>
    <x v="0"/>
    <x v="66"/>
    <x v="0"/>
    <x v="4"/>
    <x v="0"/>
    <n v="7.5"/>
    <n v="225.3"/>
  </r>
  <r>
    <x v="109"/>
    <x v="109"/>
    <x v="0"/>
    <x v="0"/>
    <x v="0"/>
    <x v="68"/>
    <x v="0"/>
    <x v="0"/>
    <x v="0"/>
    <n v="3"/>
    <n v="90.12"/>
  </r>
  <r>
    <x v="109"/>
    <x v="109"/>
    <x v="0"/>
    <x v="0"/>
    <x v="0"/>
    <x v="68"/>
    <x v="0"/>
    <x v="0"/>
    <x v="3"/>
    <n v="4.5"/>
    <n v="172.08"/>
  </r>
  <r>
    <x v="109"/>
    <x v="109"/>
    <x v="0"/>
    <x v="0"/>
    <x v="0"/>
    <x v="68"/>
    <x v="0"/>
    <x v="1"/>
    <x v="0"/>
    <n v="3"/>
    <n v="90.12"/>
  </r>
  <r>
    <x v="109"/>
    <x v="109"/>
    <x v="0"/>
    <x v="0"/>
    <x v="0"/>
    <x v="68"/>
    <x v="0"/>
    <x v="1"/>
    <x v="3"/>
    <n v="4.5"/>
    <n v="172.08"/>
  </r>
  <r>
    <x v="109"/>
    <x v="109"/>
    <x v="0"/>
    <x v="0"/>
    <x v="0"/>
    <x v="68"/>
    <x v="0"/>
    <x v="2"/>
    <x v="0"/>
    <n v="3"/>
    <n v="90.12"/>
  </r>
  <r>
    <x v="109"/>
    <x v="109"/>
    <x v="0"/>
    <x v="0"/>
    <x v="0"/>
    <x v="68"/>
    <x v="0"/>
    <x v="2"/>
    <x v="3"/>
    <n v="4"/>
    <n v="152.96"/>
  </r>
  <r>
    <x v="109"/>
    <x v="109"/>
    <x v="0"/>
    <x v="0"/>
    <x v="0"/>
    <x v="68"/>
    <x v="0"/>
    <x v="3"/>
    <x v="0"/>
    <n v="2.75"/>
    <n v="82.61"/>
  </r>
  <r>
    <x v="109"/>
    <x v="109"/>
    <x v="0"/>
    <x v="0"/>
    <x v="0"/>
    <x v="68"/>
    <x v="0"/>
    <x v="3"/>
    <x v="3"/>
    <n v="4.5"/>
    <n v="172.08"/>
  </r>
  <r>
    <x v="109"/>
    <x v="109"/>
    <x v="0"/>
    <x v="0"/>
    <x v="0"/>
    <x v="68"/>
    <x v="0"/>
    <x v="4"/>
    <x v="0"/>
    <n v="2.75"/>
    <n v="82.61"/>
  </r>
  <r>
    <x v="109"/>
    <x v="109"/>
    <x v="0"/>
    <x v="0"/>
    <x v="0"/>
    <x v="68"/>
    <x v="0"/>
    <x v="4"/>
    <x v="3"/>
    <n v="4.75"/>
    <n v="181.6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5154577-8488-4A73-A454-DA2510281571}" name="Draaitabel1" cacheId="99" applyNumberFormats="0" applyBorderFormats="0" applyFontFormats="0" applyPatternFormats="0" applyAlignmentFormats="0" applyWidthHeightFormats="1" dataCaption="Waarden" updatedVersion="8" minRefreshableVersion="3" useAutoFormatting="1" itemPrintTitles="1" createdVersion="8" indent="0" compact="0" compactData="0" multipleFieldFilters="0">
  <location ref="A1:K813" firstHeaderRow="0" firstDataRow="1" firstDataCol="9"/>
  <pivotFields count="11">
    <pivotField axis="axisRow" compact="0" outline="0" subtotalTop="0" showAll="0" defaultSubtotal="0">
      <items count="11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10">
        <item x="0"/>
        <item x="100"/>
        <item x="6"/>
        <item x="3"/>
        <item x="95"/>
        <item x="17"/>
        <item x="10"/>
        <item x="16"/>
        <item x="24"/>
        <item x="86"/>
        <item x="68"/>
        <item x="72"/>
        <item x="29"/>
        <item x="27"/>
        <item x="8"/>
        <item x="93"/>
        <item x="7"/>
        <item x="57"/>
        <item x="64"/>
        <item x="48"/>
        <item x="33"/>
        <item x="60"/>
        <item x="12"/>
        <item x="51"/>
        <item x="74"/>
        <item x="106"/>
        <item x="11"/>
        <item x="103"/>
        <item x="58"/>
        <item x="44"/>
        <item x="73"/>
        <item x="2"/>
        <item x="107"/>
        <item x="30"/>
        <item x="92"/>
        <item x="67"/>
        <item x="61"/>
        <item x="42"/>
        <item x="59"/>
        <item x="87"/>
        <item x="14"/>
        <item x="84"/>
        <item x="108"/>
        <item x="83"/>
        <item x="5"/>
        <item x="21"/>
        <item x="101"/>
        <item x="70"/>
        <item x="45"/>
        <item x="80"/>
        <item x="104"/>
        <item x="82"/>
        <item x="43"/>
        <item x="98"/>
        <item x="18"/>
        <item x="13"/>
        <item x="35"/>
        <item x="19"/>
        <item x="34"/>
        <item x="15"/>
        <item x="102"/>
        <item x="109"/>
        <item x="37"/>
        <item x="50"/>
        <item x="94"/>
        <item x="63"/>
        <item x="31"/>
        <item x="97"/>
        <item x="69"/>
        <item x="96"/>
        <item x="91"/>
        <item x="62"/>
        <item x="32"/>
        <item x="25"/>
        <item x="46"/>
        <item x="66"/>
        <item x="90"/>
        <item x="55"/>
        <item x="52"/>
        <item x="41"/>
        <item x="89"/>
        <item x="76"/>
        <item x="22"/>
        <item x="77"/>
        <item x="9"/>
        <item x="23"/>
        <item x="85"/>
        <item x="88"/>
        <item x="4"/>
        <item x="40"/>
        <item x="54"/>
        <item x="38"/>
        <item x="1"/>
        <item x="39"/>
        <item x="20"/>
        <item x="28"/>
        <item x="49"/>
        <item x="99"/>
        <item x="71"/>
        <item x="36"/>
        <item x="65"/>
        <item x="47"/>
        <item x="56"/>
        <item x="105"/>
        <item x="26"/>
        <item x="79"/>
        <item x="78"/>
        <item x="75"/>
        <item x="81"/>
        <item x="5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numFmtId="44" outline="0" showAll="0" defaultSubtotal="0">
      <items count="18">
        <item x="0"/>
        <item x="7"/>
        <item x="2"/>
        <item x="6"/>
        <item x="16"/>
        <item x="4"/>
        <item x="12"/>
        <item x="15"/>
        <item x="11"/>
        <item x="1"/>
        <item x="5"/>
        <item x="14"/>
        <item x="3"/>
        <item x="10"/>
        <item x="8"/>
        <item x="13"/>
        <item x="9"/>
        <item x="1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numFmtId="44" outline="0" showAll="0" defaultSubtotal="0">
      <items count="18">
        <item x="0"/>
        <item x="7"/>
        <item x="2"/>
        <item x="6"/>
        <item x="16"/>
        <item x="4"/>
        <item x="12"/>
        <item x="15"/>
        <item x="11"/>
        <item x="1"/>
        <item x="5"/>
        <item x="14"/>
        <item x="3"/>
        <item x="10"/>
        <item x="8"/>
        <item x="13"/>
        <item x="9"/>
        <item x="1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numFmtId="44" outline="0" showAll="0" defaultSubtotal="0">
      <items count="1"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71">
        <item x="68"/>
        <item x="66"/>
        <item x="70"/>
        <item x="69"/>
        <item x="67"/>
        <item x="0"/>
        <item x="50"/>
        <item x="65"/>
        <item x="64"/>
        <item x="63"/>
        <item x="62"/>
        <item x="34"/>
        <item x="48"/>
        <item x="61"/>
        <item x="60"/>
        <item x="21"/>
        <item x="38"/>
        <item x="58"/>
        <item x="57"/>
        <item x="56"/>
        <item x="54"/>
        <item x="51"/>
        <item x="55"/>
        <item x="25"/>
        <item x="45"/>
        <item x="36"/>
        <item x="47"/>
        <item x="3"/>
        <item x="46"/>
        <item x="49"/>
        <item x="16"/>
        <item x="39"/>
        <item x="44"/>
        <item x="40"/>
        <item x="43"/>
        <item x="23"/>
        <item x="42"/>
        <item x="41"/>
        <item x="35"/>
        <item x="37"/>
        <item x="33"/>
        <item x="32"/>
        <item x="29"/>
        <item x="31"/>
        <item x="26"/>
        <item x="28"/>
        <item x="27"/>
        <item x="30"/>
        <item x="22"/>
        <item x="1"/>
        <item x="59"/>
        <item x="24"/>
        <item x="18"/>
        <item x="19"/>
        <item x="4"/>
        <item x="20"/>
        <item x="5"/>
        <item x="2"/>
        <item x="17"/>
        <item x="12"/>
        <item x="13"/>
        <item x="8"/>
        <item x="9"/>
        <item x="10"/>
        <item x="53"/>
        <item x="52"/>
        <item x="7"/>
        <item x="6"/>
        <item x="11"/>
        <item x="14"/>
        <item x="1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ubtotalTop="0" showAll="0" defaultSubtotal="0">
      <items count="3">
        <item x="0"/>
        <item x="1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numFmtId="164" outline="0" showAll="0" defaultSubtotal="0">
      <items count="6">
        <item x="0"/>
        <item x="1"/>
        <item x="2"/>
        <item x="3"/>
        <item x="4"/>
        <item x="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6">
        <item x="0"/>
        <item x="2"/>
        <item x="4"/>
        <item x="5"/>
        <item x="3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44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9">
    <field x="0"/>
    <field x="1"/>
    <field x="2"/>
    <field x="3"/>
    <field x="4"/>
    <field x="5"/>
    <field x="6"/>
    <field x="7"/>
    <field x="8"/>
  </rowFields>
  <rowItems count="812">
    <i>
      <x/>
      <x/>
      <x/>
      <x/>
      <x/>
      <x v="5"/>
      <x/>
      <x/>
      <x/>
    </i>
    <i r="7">
      <x v="1"/>
      <x/>
    </i>
    <i r="7">
      <x v="2"/>
      <x/>
    </i>
    <i r="7">
      <x v="3"/>
      <x/>
    </i>
    <i r="7">
      <x v="4"/>
      <x/>
    </i>
    <i>
      <x v="1"/>
      <x v="92"/>
      <x v="9"/>
      <x v="9"/>
      <x/>
      <x v="49"/>
      <x v="1"/>
      <x/>
      <x/>
    </i>
    <i r="8">
      <x v="5"/>
    </i>
    <i r="7">
      <x v="1"/>
      <x/>
    </i>
    <i r="8">
      <x v="5"/>
    </i>
    <i r="7">
      <x v="2"/>
      <x/>
    </i>
    <i r="8">
      <x v="1"/>
    </i>
    <i r="8">
      <x v="5"/>
    </i>
    <i r="7">
      <x v="3"/>
      <x/>
    </i>
    <i r="8">
      <x v="5"/>
    </i>
    <i r="7">
      <x v="4"/>
      <x/>
    </i>
    <i r="8">
      <x v="5"/>
    </i>
    <i>
      <x v="2"/>
      <x v="31"/>
      <x v="2"/>
      <x v="2"/>
      <x/>
      <x v="57"/>
      <x v="1"/>
      <x/>
      <x/>
    </i>
    <i r="7">
      <x v="1"/>
      <x/>
    </i>
    <i r="7">
      <x v="2"/>
      <x/>
    </i>
    <i r="7">
      <x v="3"/>
      <x/>
    </i>
    <i r="7">
      <x v="4"/>
      <x/>
    </i>
    <i>
      <x v="3"/>
      <x v="3"/>
      <x/>
      <x/>
      <x/>
      <x v="27"/>
      <x/>
      <x/>
      <x/>
    </i>
    <i r="7">
      <x v="1"/>
      <x/>
    </i>
    <i r="7">
      <x v="2"/>
      <x/>
    </i>
    <i r="7">
      <x v="3"/>
      <x/>
    </i>
    <i r="7">
      <x v="4"/>
      <x/>
    </i>
    <i>
      <x v="4"/>
      <x v="88"/>
      <x v="2"/>
      <x v="2"/>
      <x/>
      <x v="54"/>
      <x v="1"/>
      <x/>
      <x/>
    </i>
    <i r="7">
      <x v="1"/>
      <x/>
    </i>
    <i r="7">
      <x v="2"/>
      <x/>
    </i>
    <i r="7">
      <x v="3"/>
      <x/>
    </i>
    <i r="7">
      <x v="4"/>
      <x/>
    </i>
    <i>
      <x v="5"/>
      <x v="44"/>
      <x v="12"/>
      <x v="12"/>
      <x/>
      <x v="56"/>
      <x v="1"/>
      <x/>
      <x/>
    </i>
    <i r="8">
      <x v="4"/>
    </i>
    <i r="7">
      <x v="1"/>
      <x/>
    </i>
    <i r="8">
      <x v="4"/>
    </i>
    <i r="7">
      <x v="2"/>
      <x/>
    </i>
    <i r="8">
      <x v="1"/>
    </i>
    <i r="8">
      <x v="4"/>
    </i>
    <i r="7">
      <x v="3"/>
      <x/>
    </i>
    <i r="8">
      <x v="4"/>
    </i>
    <i r="7">
      <x v="4"/>
      <x/>
    </i>
    <i r="8">
      <x v="4"/>
    </i>
    <i>
      <x v="6"/>
      <x v="2"/>
      <x v="5"/>
      <x v="5"/>
      <x/>
      <x v="67"/>
      <x v="2"/>
      <x/>
      <x/>
    </i>
    <i r="7">
      <x v="1"/>
      <x/>
    </i>
    <i r="7">
      <x v="2"/>
      <x/>
    </i>
    <i r="7">
      <x v="3"/>
      <x/>
    </i>
    <i r="7">
      <x v="4"/>
      <x/>
    </i>
    <i>
      <x v="7"/>
      <x v="16"/>
      <x v="10"/>
      <x v="10"/>
      <x/>
      <x v="66"/>
      <x v="2"/>
      <x/>
      <x/>
    </i>
    <i r="7">
      <x v="1"/>
      <x/>
    </i>
    <i r="7">
      <x v="2"/>
      <x/>
    </i>
    <i r="7">
      <x v="3"/>
      <x/>
    </i>
    <i r="7">
      <x v="4"/>
      <x/>
    </i>
    <i>
      <x v="8"/>
      <x v="14"/>
      <x v="3"/>
      <x v="3"/>
      <x/>
      <x v="61"/>
      <x v="1"/>
      <x/>
      <x/>
    </i>
    <i r="7">
      <x v="1"/>
      <x/>
    </i>
    <i r="7">
      <x v="3"/>
      <x/>
    </i>
    <i r="7">
      <x v="4"/>
      <x/>
    </i>
    <i>
      <x v="9"/>
      <x v="84"/>
      <x v="3"/>
      <x v="3"/>
      <x/>
      <x v="62"/>
      <x v="1"/>
      <x/>
      <x/>
    </i>
    <i r="8">
      <x v="4"/>
    </i>
    <i r="7">
      <x v="1"/>
      <x/>
    </i>
    <i r="8">
      <x v="4"/>
    </i>
    <i r="7">
      <x v="2"/>
      <x/>
    </i>
    <i r="8">
      <x v="4"/>
    </i>
    <i r="7">
      <x v="3"/>
      <x/>
    </i>
    <i r="8">
      <x v="4"/>
    </i>
    <i r="7">
      <x v="4"/>
      <x/>
    </i>
    <i r="8">
      <x v="4"/>
    </i>
    <i>
      <x v="10"/>
      <x v="6"/>
      <x v="1"/>
      <x v="1"/>
      <x/>
      <x v="49"/>
      <x v="1"/>
      <x/>
      <x/>
    </i>
    <i r="8">
      <x v="4"/>
    </i>
    <i r="7">
      <x v="1"/>
      <x/>
    </i>
    <i r="8">
      <x v="4"/>
    </i>
    <i r="7">
      <x v="2"/>
      <x/>
    </i>
    <i r="8">
      <x v="4"/>
    </i>
    <i r="7">
      <x v="3"/>
      <x/>
    </i>
    <i r="8">
      <x v="4"/>
    </i>
    <i r="7">
      <x v="4"/>
      <x/>
    </i>
    <i r="8">
      <x v="4"/>
    </i>
    <i>
      <x v="11"/>
      <x v="26"/>
      <x v="14"/>
      <x v="14"/>
      <x/>
      <x v="63"/>
      <x v="2"/>
      <x/>
      <x/>
    </i>
    <i r="8">
      <x v="4"/>
    </i>
    <i r="8">
      <x v="5"/>
    </i>
    <i r="7">
      <x v="1"/>
      <x/>
    </i>
    <i r="8">
      <x v="4"/>
    </i>
    <i r="8">
      <x v="5"/>
    </i>
    <i r="7">
      <x v="3"/>
      <x/>
    </i>
    <i r="8">
      <x v="4"/>
    </i>
    <i r="8">
      <x v="5"/>
    </i>
    <i r="7">
      <x v="4"/>
      <x/>
    </i>
    <i r="8">
      <x v="4"/>
    </i>
    <i r="8">
      <x v="5"/>
    </i>
    <i>
      <x v="12"/>
      <x v="22"/>
      <x v="16"/>
      <x v="16"/>
      <x/>
      <x v="68"/>
      <x v="2"/>
      <x/>
      <x/>
    </i>
    <i r="8">
      <x v="5"/>
    </i>
    <i r="7">
      <x v="1"/>
      <x/>
    </i>
    <i r="8">
      <x v="5"/>
    </i>
    <i r="7">
      <x v="2"/>
      <x/>
    </i>
    <i r="8">
      <x v="1"/>
    </i>
    <i r="8">
      <x v="5"/>
    </i>
    <i r="7">
      <x v="3"/>
      <x/>
    </i>
    <i r="8">
      <x v="5"/>
    </i>
    <i r="7">
      <x v="4"/>
      <x/>
    </i>
    <i r="8">
      <x v="5"/>
    </i>
    <i>
      <x v="13"/>
      <x v="55"/>
      <x v="3"/>
      <x v="3"/>
      <x/>
      <x v="59"/>
      <x v="1"/>
      <x/>
      <x/>
    </i>
    <i r="7">
      <x v="1"/>
      <x/>
    </i>
    <i r="7">
      <x v="2"/>
      <x/>
    </i>
    <i r="7">
      <x v="3"/>
      <x/>
    </i>
    <i r="7">
      <x v="4"/>
      <x/>
    </i>
    <i>
      <x v="14"/>
      <x v="40"/>
      <x v="3"/>
      <x v="3"/>
      <x/>
      <x v="60"/>
      <x v="1"/>
      <x/>
      <x/>
    </i>
    <i r="8">
      <x v="4"/>
    </i>
    <i r="7">
      <x v="1"/>
      <x/>
    </i>
    <i r="8">
      <x v="4"/>
    </i>
    <i r="7">
      <x v="2"/>
      <x/>
    </i>
    <i r="8">
      <x v="4"/>
    </i>
    <i r="7">
      <x v="3"/>
      <x/>
    </i>
    <i r="8">
      <x v="4"/>
    </i>
    <i r="7">
      <x v="4"/>
      <x/>
    </i>
    <i r="8">
      <x v="4"/>
    </i>
    <i>
      <x v="15"/>
      <x v="59"/>
      <x v="13"/>
      <x v="13"/>
      <x/>
      <x v="69"/>
      <x v="2"/>
      <x/>
      <x/>
    </i>
    <i r="7">
      <x v="1"/>
      <x/>
    </i>
    <i r="8">
      <x v="4"/>
    </i>
    <i r="7">
      <x v="2"/>
      <x/>
    </i>
    <i r="8">
      <x v="1"/>
    </i>
    <i r="7">
      <x v="3"/>
      <x/>
    </i>
    <i r="7">
      <x v="4"/>
      <x/>
    </i>
    <i>
      <x v="16"/>
      <x v="7"/>
      <x v="10"/>
      <x v="10"/>
      <x/>
      <x v="70"/>
      <x v="2"/>
      <x/>
      <x/>
    </i>
    <i r="8">
      <x v="4"/>
    </i>
    <i r="7">
      <x v="1"/>
      <x/>
    </i>
    <i r="8">
      <x v="4"/>
    </i>
    <i r="8">
      <x v="5"/>
    </i>
    <i r="7">
      <x v="2"/>
      <x/>
    </i>
    <i r="8">
      <x v="4"/>
    </i>
    <i r="8">
      <x v="5"/>
    </i>
    <i r="7">
      <x v="3"/>
      <x/>
    </i>
    <i r="8">
      <x v="4"/>
    </i>
    <i r="7">
      <x v="4"/>
      <x/>
    </i>
    <i r="8">
      <x v="4"/>
    </i>
    <i>
      <x v="17"/>
      <x v="5"/>
      <x v="16"/>
      <x v="16"/>
      <x/>
      <x v="30"/>
      <x v="1"/>
      <x/>
      <x/>
    </i>
    <i r="8">
      <x v="4"/>
    </i>
    <i r="7">
      <x v="1"/>
      <x/>
    </i>
    <i r="8">
      <x v="4"/>
    </i>
    <i r="7">
      <x v="2"/>
      <x/>
    </i>
    <i r="8">
      <x v="4"/>
    </i>
    <i r="7">
      <x v="3"/>
      <x/>
    </i>
    <i r="8">
      <x v="4"/>
    </i>
    <i r="7">
      <x v="4"/>
      <x/>
    </i>
    <i r="8">
      <x v="4"/>
    </i>
    <i>
      <x v="18"/>
      <x v="54"/>
      <x v="8"/>
      <x v="8"/>
      <x/>
      <x v="58"/>
      <x v="1"/>
      <x/>
      <x/>
    </i>
    <i r="8">
      <x v="5"/>
    </i>
    <i r="7">
      <x v="1"/>
      <x/>
    </i>
    <i r="8">
      <x v="1"/>
    </i>
    <i r="8">
      <x v="5"/>
    </i>
    <i r="7">
      <x v="2"/>
      <x/>
    </i>
    <i r="8">
      <x v="5"/>
    </i>
    <i r="7">
      <x v="3"/>
      <x/>
    </i>
    <i r="8">
      <x v="5"/>
    </i>
    <i r="7">
      <x v="4"/>
      <x/>
    </i>
    <i r="8">
      <x v="5"/>
    </i>
    <i>
      <x v="19"/>
      <x v="57"/>
      <x v="8"/>
      <x v="8"/>
      <x/>
      <x v="52"/>
      <x v="1"/>
      <x/>
      <x/>
    </i>
    <i r="8">
      <x v="4"/>
    </i>
    <i r="7">
      <x v="1"/>
      <x/>
    </i>
    <i r="8">
      <x v="4"/>
    </i>
    <i r="7">
      <x v="2"/>
      <x/>
    </i>
    <i r="8">
      <x v="4"/>
    </i>
    <i r="7">
      <x v="3"/>
      <x/>
    </i>
    <i r="8">
      <x v="4"/>
    </i>
    <i r="7">
      <x v="4"/>
      <x/>
    </i>
    <i r="8">
      <x v="4"/>
    </i>
    <i>
      <x v="20"/>
      <x v="94"/>
      <x v="2"/>
      <x v="2"/>
      <x/>
      <x v="53"/>
      <x v="1"/>
      <x v="1"/>
      <x/>
    </i>
    <i r="7">
      <x v="2"/>
      <x/>
    </i>
    <i r="7">
      <x v="3"/>
      <x/>
    </i>
    <i r="7">
      <x v="4"/>
      <x/>
    </i>
    <i>
      <x v="21"/>
      <x v="45"/>
      <x v="2"/>
      <x v="2"/>
      <x/>
      <x v="55"/>
      <x v="1"/>
      <x/>
      <x/>
    </i>
    <i r="8">
      <x v="4"/>
    </i>
    <i r="7">
      <x v="1"/>
      <x/>
    </i>
    <i r="8">
      <x v="4"/>
    </i>
    <i r="7">
      <x v="2"/>
      <x/>
    </i>
    <i r="8">
      <x v="4"/>
    </i>
    <i r="7">
      <x v="3"/>
      <x/>
    </i>
    <i r="8">
      <x v="4"/>
    </i>
    <i r="7">
      <x v="4"/>
      <x/>
    </i>
    <i r="8">
      <x v="4"/>
    </i>
    <i>
      <x v="22"/>
      <x v="82"/>
      <x/>
      <x/>
      <x/>
      <x v="15"/>
      <x/>
      <x v="1"/>
      <x/>
    </i>
    <i r="7">
      <x v="2"/>
      <x/>
    </i>
    <i r="7">
      <x v="3"/>
      <x/>
    </i>
    <i r="7">
      <x v="4"/>
      <x/>
    </i>
    <i>
      <x v="23"/>
      <x v="85"/>
      <x v="9"/>
      <x v="9"/>
      <x/>
      <x v="48"/>
      <x v="1"/>
      <x/>
      <x/>
    </i>
    <i r="8">
      <x v="4"/>
    </i>
    <i r="7">
      <x v="1"/>
      <x/>
    </i>
    <i r="8">
      <x v="4"/>
    </i>
    <i r="7">
      <x v="2"/>
      <x/>
    </i>
    <i r="8">
      <x v="4"/>
    </i>
    <i r="7">
      <x v="3"/>
      <x/>
    </i>
    <i r="8">
      <x v="4"/>
    </i>
    <i r="7">
      <x v="4"/>
      <x/>
    </i>
    <i r="8">
      <x v="4"/>
    </i>
    <i>
      <x v="24"/>
      <x v="8"/>
      <x/>
      <x/>
      <x/>
      <x v="35"/>
      <x v="1"/>
      <x v="1"/>
      <x/>
    </i>
    <i r="8">
      <x v="4"/>
    </i>
    <i r="7">
      <x v="2"/>
      <x/>
    </i>
    <i r="8">
      <x v="4"/>
    </i>
    <i r="7">
      <x v="3"/>
      <x/>
    </i>
    <i r="8">
      <x v="4"/>
    </i>
    <i r="7">
      <x v="4"/>
      <x/>
    </i>
    <i r="8">
      <x v="4"/>
    </i>
    <i>
      <x v="25"/>
      <x v="73"/>
      <x v="8"/>
      <x v="8"/>
      <x/>
      <x v="51"/>
      <x v="1"/>
      <x/>
      <x/>
    </i>
    <i r="8">
      <x v="5"/>
    </i>
    <i r="7">
      <x v="1"/>
      <x/>
    </i>
    <i r="8">
      <x v="5"/>
    </i>
    <i r="7">
      <x v="2"/>
      <x/>
    </i>
    <i r="8">
      <x v="1"/>
    </i>
    <i r="8">
      <x v="5"/>
    </i>
    <i r="7">
      <x v="3"/>
      <x/>
    </i>
    <i r="8">
      <x v="5"/>
    </i>
    <i r="7">
      <x v="4"/>
      <x/>
    </i>
    <i r="8">
      <x v="5"/>
    </i>
    <i>
      <x v="26"/>
      <x v="104"/>
      <x/>
      <x/>
      <x/>
      <x v="23"/>
      <x/>
      <x/>
      <x/>
    </i>
    <i r="8">
      <x v="5"/>
    </i>
    <i r="7">
      <x v="1"/>
      <x/>
    </i>
    <i r="8">
      <x v="5"/>
    </i>
    <i r="7">
      <x v="2"/>
      <x/>
    </i>
    <i r="8">
      <x v="5"/>
    </i>
    <i r="7">
      <x v="3"/>
      <x/>
    </i>
    <i r="8">
      <x v="5"/>
    </i>
    <i r="7">
      <x v="4"/>
      <x/>
    </i>
    <i r="8">
      <x v="5"/>
    </i>
    <i>
      <x v="27"/>
      <x v="13"/>
      <x/>
      <x/>
      <x/>
      <x v="23"/>
      <x/>
      <x/>
      <x/>
    </i>
    <i r="8">
      <x v="4"/>
    </i>
    <i r="7">
      <x v="1"/>
      <x/>
    </i>
    <i r="8">
      <x v="4"/>
    </i>
    <i r="7">
      <x v="2"/>
      <x/>
    </i>
    <i r="8">
      <x v="4"/>
    </i>
    <i r="7">
      <x v="3"/>
      <x/>
    </i>
    <i r="8">
      <x v="1"/>
    </i>
    <i r="8">
      <x v="4"/>
    </i>
    <i r="7">
      <x v="4"/>
      <x/>
    </i>
    <i r="8">
      <x v="4"/>
    </i>
    <i r="8">
      <x v="5"/>
    </i>
    <i>
      <x v="28"/>
      <x v="95"/>
      <x v="1"/>
      <x v="1"/>
      <x/>
      <x v="44"/>
      <x v="1"/>
      <x v="1"/>
      <x/>
    </i>
    <i r="8">
      <x v="4"/>
    </i>
    <i r="7">
      <x v="2"/>
      <x/>
    </i>
    <i r="8">
      <x v="4"/>
    </i>
    <i r="7">
      <x v="3"/>
      <x/>
    </i>
    <i r="8">
      <x v="4"/>
    </i>
    <i r="7">
      <x v="4"/>
      <x/>
    </i>
    <i r="8">
      <x v="4"/>
    </i>
    <i>
      <x v="29"/>
      <x v="12"/>
      <x v="1"/>
      <x v="1"/>
      <x/>
      <x v="46"/>
      <x v="1"/>
      <x/>
      <x/>
    </i>
    <i r="7">
      <x v="1"/>
      <x/>
    </i>
    <i r="7">
      <x v="2"/>
      <x/>
    </i>
    <i r="7">
      <x v="3"/>
      <x/>
    </i>
    <i r="7">
      <x v="4"/>
      <x/>
    </i>
    <i>
      <x v="30"/>
      <x v="33"/>
      <x v="1"/>
      <x v="1"/>
      <x/>
      <x v="45"/>
      <x v="1"/>
      <x/>
      <x/>
    </i>
    <i r="7">
      <x v="1"/>
      <x/>
    </i>
    <i r="7">
      <x v="2"/>
      <x/>
    </i>
    <i r="7">
      <x v="3"/>
      <x/>
    </i>
    <i r="7">
      <x v="4"/>
      <x/>
    </i>
    <i>
      <x v="31"/>
      <x v="66"/>
      <x v="1"/>
      <x v="1"/>
      <x/>
      <x v="42"/>
      <x v="1"/>
      <x/>
      <x/>
    </i>
    <i r="7">
      <x v="1"/>
      <x/>
    </i>
    <i r="7">
      <x v="2"/>
      <x/>
    </i>
    <i r="7">
      <x v="3"/>
      <x/>
    </i>
    <i r="7">
      <x v="4"/>
      <x/>
    </i>
    <i>
      <x v="32"/>
      <x v="72"/>
      <x v="6"/>
      <x v="6"/>
      <x/>
      <x v="47"/>
      <x v="1"/>
      <x/>
      <x/>
    </i>
    <i r="8">
      <x v="4"/>
    </i>
    <i r="7">
      <x v="1"/>
      <x/>
    </i>
    <i r="8">
      <x v="4"/>
    </i>
    <i r="7">
      <x v="2"/>
      <x/>
    </i>
    <i r="8">
      <x v="1"/>
    </i>
    <i r="8">
      <x v="4"/>
    </i>
    <i r="7">
      <x v="3"/>
      <x/>
    </i>
    <i r="8">
      <x v="4"/>
    </i>
    <i r="8">
      <x v="5"/>
    </i>
    <i r="7">
      <x v="4"/>
      <x/>
    </i>
    <i r="8">
      <x v="4"/>
    </i>
    <i>
      <x v="33"/>
      <x v="20"/>
      <x/>
      <x/>
      <x/>
      <x v="43"/>
      <x v="1"/>
      <x/>
      <x/>
    </i>
    <i r="7">
      <x v="1"/>
      <x/>
    </i>
    <i r="7">
      <x v="2"/>
      <x/>
    </i>
    <i r="7">
      <x v="3"/>
      <x/>
    </i>
    <i r="7">
      <x v="4"/>
      <x/>
    </i>
    <i>
      <x v="34"/>
      <x v="58"/>
      <x v="15"/>
      <x v="15"/>
      <x/>
      <x v="44"/>
      <x v="1"/>
      <x/>
      <x/>
    </i>
    <i r="7">
      <x v="1"/>
      <x/>
    </i>
    <i r="7">
      <x v="2"/>
      <x/>
    </i>
    <i r="7">
      <x v="4"/>
      <x/>
    </i>
    <i>
      <x v="35"/>
      <x v="56"/>
      <x v="1"/>
      <x v="1"/>
      <x/>
      <x v="43"/>
      <x v="1"/>
      <x/>
      <x/>
    </i>
    <i r="7">
      <x v="1"/>
      <x/>
    </i>
    <i r="7">
      <x v="2"/>
      <x/>
    </i>
    <i r="7">
      <x v="3"/>
      <x/>
    </i>
    <i r="7">
      <x v="4"/>
      <x/>
    </i>
    <i>
      <x v="36"/>
      <x v="99"/>
      <x v="11"/>
      <x v="11"/>
      <x/>
      <x v="41"/>
      <x v="1"/>
      <x/>
      <x/>
    </i>
    <i r="7">
      <x v="1"/>
      <x/>
    </i>
    <i r="7">
      <x v="2"/>
      <x/>
    </i>
    <i r="7">
      <x v="3"/>
      <x/>
    </i>
    <i r="7">
      <x v="4"/>
      <x/>
    </i>
    <i>
      <x v="37"/>
      <x v="62"/>
      <x v="6"/>
      <x v="6"/>
      <x/>
      <x v="40"/>
      <x v="1"/>
      <x/>
      <x/>
    </i>
    <i r="7">
      <x v="1"/>
      <x/>
    </i>
    <i r="7">
      <x v="2"/>
      <x/>
    </i>
    <i r="7">
      <x v="3"/>
      <x/>
    </i>
    <i r="7">
      <x v="4"/>
      <x/>
    </i>
    <i>
      <x v="38"/>
      <x v="91"/>
      <x v="7"/>
      <x v="7"/>
      <x/>
      <x v="23"/>
      <x/>
      <x/>
      <x/>
    </i>
    <i r="8">
      <x v="4"/>
    </i>
    <i r="8">
      <x v="5"/>
    </i>
    <i r="7">
      <x v="1"/>
      <x/>
    </i>
    <i r="8">
      <x v="1"/>
    </i>
    <i r="8">
      <x v="4"/>
    </i>
    <i r="8">
      <x v="5"/>
    </i>
    <i r="7">
      <x v="2"/>
      <x v="1"/>
    </i>
    <i r="8">
      <x v="4"/>
    </i>
    <i r="8">
      <x v="5"/>
    </i>
    <i r="7">
      <x v="3"/>
      <x/>
    </i>
    <i r="8">
      <x v="4"/>
    </i>
    <i r="8">
      <x v="5"/>
    </i>
    <i r="7">
      <x v="4"/>
      <x/>
    </i>
    <i r="8">
      <x v="4"/>
    </i>
    <i r="8">
      <x v="5"/>
    </i>
    <i>
      <x v="39"/>
      <x v="93"/>
      <x v="7"/>
      <x v="7"/>
      <x/>
      <x v="11"/>
      <x/>
      <x/>
      <x/>
    </i>
    <i r="7">
      <x v="1"/>
      <x/>
    </i>
    <i r="7">
      <x v="2"/>
      <x/>
    </i>
    <i r="7">
      <x v="3"/>
      <x/>
    </i>
    <i r="8">
      <x v="1"/>
    </i>
    <i r="7">
      <x v="4"/>
      <x/>
    </i>
    <i>
      <x v="40"/>
      <x v="89"/>
      <x/>
      <x/>
      <x/>
      <x v="38"/>
      <x v="1"/>
      <x/>
      <x/>
    </i>
    <i r="7">
      <x v="1"/>
      <x/>
    </i>
    <i r="7">
      <x v="2"/>
      <x/>
    </i>
    <i r="7">
      <x v="3"/>
      <x/>
    </i>
    <i>
      <x v="41"/>
      <x v="79"/>
      <x/>
      <x/>
      <x/>
      <x v="38"/>
      <x v="1"/>
      <x/>
      <x/>
    </i>
    <i r="7">
      <x v="1"/>
      <x/>
    </i>
    <i r="7">
      <x v="2"/>
      <x/>
    </i>
    <i r="7">
      <x v="3"/>
      <x/>
    </i>
    <i>
      <x v="42"/>
      <x v="37"/>
      <x v="7"/>
      <x v="7"/>
      <x/>
      <x v="25"/>
      <x/>
      <x/>
      <x/>
    </i>
    <i r="7">
      <x v="1"/>
      <x/>
    </i>
    <i r="7">
      <x v="2"/>
      <x/>
    </i>
    <i r="7">
      <x v="3"/>
      <x/>
    </i>
    <i r="7">
      <x v="4"/>
      <x/>
    </i>
    <i r="7">
      <x v="5"/>
      <x/>
    </i>
    <i r="8">
      <x v="2"/>
    </i>
    <i r="8">
      <x v="3"/>
    </i>
    <i>
      <x v="43"/>
      <x v="52"/>
      <x/>
      <x/>
      <x/>
      <x v="11"/>
      <x/>
      <x/>
      <x/>
    </i>
    <i r="7">
      <x v="1"/>
      <x/>
    </i>
    <i r="7">
      <x v="2"/>
      <x/>
    </i>
    <i r="7">
      <x v="3"/>
      <x/>
    </i>
    <i r="7">
      <x v="4"/>
      <x/>
    </i>
    <i>
      <x v="44"/>
      <x v="29"/>
      <x v="9"/>
      <x v="9"/>
      <x/>
      <x v="39"/>
      <x v="1"/>
      <x/>
      <x/>
    </i>
    <i r="8">
      <x v="4"/>
    </i>
    <i r="7">
      <x v="1"/>
      <x/>
    </i>
    <i r="8">
      <x v="4"/>
    </i>
    <i r="8">
      <x v="5"/>
    </i>
    <i r="7">
      <x v="2"/>
      <x/>
    </i>
    <i r="8">
      <x v="4"/>
    </i>
    <i r="8">
      <x v="5"/>
    </i>
    <i r="7">
      <x v="3"/>
      <x/>
    </i>
    <i r="8">
      <x v="4"/>
    </i>
    <i r="8">
      <x v="5"/>
    </i>
    <i r="7">
      <x v="4"/>
      <x/>
    </i>
    <i r="8">
      <x v="4"/>
    </i>
    <i>
      <x v="45"/>
      <x v="48"/>
      <x/>
      <x/>
      <x/>
      <x v="25"/>
      <x/>
      <x/>
      <x/>
    </i>
    <i r="8">
      <x v="4"/>
    </i>
    <i r="7">
      <x v="2"/>
      <x/>
    </i>
    <i r="8">
      <x v="4"/>
    </i>
    <i r="7">
      <x v="3"/>
      <x/>
    </i>
    <i r="8">
      <x v="4"/>
    </i>
    <i r="7">
      <x v="4"/>
      <x/>
    </i>
    <i r="8">
      <x v="4"/>
    </i>
    <i>
      <x v="46"/>
      <x v="74"/>
      <x/>
      <x/>
      <x/>
      <x v="23"/>
      <x/>
      <x/>
      <x/>
    </i>
    <i r="7">
      <x v="1"/>
      <x/>
    </i>
    <i r="7">
      <x v="2"/>
      <x/>
    </i>
    <i r="7">
      <x v="3"/>
      <x/>
    </i>
    <i r="7">
      <x v="4"/>
      <x/>
    </i>
    <i>
      <x v="47"/>
      <x v="101"/>
      <x v="7"/>
      <x v="7"/>
      <x/>
      <x v="16"/>
      <x/>
      <x/>
      <x/>
    </i>
    <i r="8">
      <x v="4"/>
    </i>
    <i r="7">
      <x v="1"/>
      <x/>
    </i>
    <i r="8">
      <x v="4"/>
    </i>
    <i r="8">
      <x v="5"/>
    </i>
    <i r="7">
      <x v="2"/>
      <x/>
    </i>
    <i r="8">
      <x v="4"/>
    </i>
    <i r="8">
      <x v="5"/>
    </i>
    <i r="7">
      <x v="3"/>
      <x/>
    </i>
    <i r="8">
      <x v="4"/>
    </i>
    <i r="8">
      <x v="5"/>
    </i>
    <i r="7">
      <x v="4"/>
      <x/>
    </i>
    <i r="8">
      <x v="4"/>
    </i>
    <i>
      <x v="48"/>
      <x v="19"/>
      <x v="7"/>
      <x v="7"/>
      <x/>
      <x v="31"/>
      <x v="1"/>
      <x/>
      <x/>
    </i>
    <i r="8">
      <x v="4"/>
    </i>
    <i r="7">
      <x v="1"/>
      <x/>
    </i>
    <i r="8">
      <x v="4"/>
    </i>
    <i r="7">
      <x v="2"/>
      <x/>
    </i>
    <i r="8">
      <x v="4"/>
    </i>
    <i r="7">
      <x v="3"/>
      <x/>
    </i>
    <i r="8">
      <x v="4"/>
    </i>
    <i>
      <x v="49"/>
      <x v="96"/>
      <x v="4"/>
      <x v="4"/>
      <x/>
      <x v="38"/>
      <x v="1"/>
      <x/>
      <x/>
    </i>
    <i r="7">
      <x v="1"/>
      <x/>
    </i>
    <i r="7">
      <x v="2"/>
      <x/>
    </i>
    <i r="7">
      <x v="3"/>
      <x/>
    </i>
    <i r="7">
      <x v="4"/>
      <x/>
    </i>
    <i>
      <x v="50"/>
      <x v="63"/>
      <x/>
      <x/>
      <x/>
      <x v="33"/>
      <x v="1"/>
      <x/>
      <x/>
    </i>
    <i r="8">
      <x v="4"/>
    </i>
    <i r="7">
      <x v="1"/>
      <x/>
    </i>
    <i r="8">
      <x v="4"/>
    </i>
    <i r="7">
      <x v="2"/>
      <x/>
    </i>
    <i r="8">
      <x v="4"/>
    </i>
    <i r="8">
      <x v="5"/>
    </i>
    <i r="7">
      <x v="3"/>
      <x/>
    </i>
    <i r="8">
      <x v="4"/>
    </i>
    <i r="7">
      <x v="4"/>
      <x/>
    </i>
    <i r="8">
      <x v="4"/>
    </i>
    <i>
      <x v="51"/>
      <x v="23"/>
      <x/>
      <x/>
      <x/>
      <x v="38"/>
      <x v="1"/>
      <x/>
      <x/>
    </i>
    <i r="7">
      <x v="1"/>
      <x/>
    </i>
    <i r="7">
      <x v="2"/>
      <x/>
    </i>
    <i r="7">
      <x v="3"/>
      <x/>
    </i>
    <i r="8">
      <x v="1"/>
    </i>
    <i r="7">
      <x v="4"/>
      <x/>
    </i>
    <i>
      <x v="52"/>
      <x v="78"/>
      <x/>
      <x/>
      <x/>
      <x v="37"/>
      <x v="1"/>
      <x/>
      <x/>
    </i>
    <i r="7">
      <x v="2"/>
      <x/>
    </i>
    <i r="7">
      <x v="3"/>
      <x/>
    </i>
    <i r="7">
      <x v="4"/>
      <x/>
    </i>
    <i>
      <x v="53"/>
      <x v="109"/>
      <x v="7"/>
      <x v="7"/>
      <x/>
      <x v="36"/>
      <x v="1"/>
      <x/>
      <x/>
    </i>
    <i r="8">
      <x v="5"/>
    </i>
    <i r="7">
      <x v="1"/>
      <x/>
    </i>
    <i r="8">
      <x v="5"/>
    </i>
    <i r="7">
      <x v="2"/>
      <x/>
    </i>
    <i r="8">
      <x v="5"/>
    </i>
    <i r="7">
      <x v="3"/>
      <x/>
    </i>
    <i r="8">
      <x v="5"/>
    </i>
    <i r="7">
      <x v="4"/>
      <x/>
    </i>
    <i r="8">
      <x v="5"/>
    </i>
    <i>
      <x v="54"/>
      <x v="90"/>
      <x v="7"/>
      <x v="7"/>
      <x/>
      <x v="34"/>
      <x v="1"/>
      <x/>
      <x/>
    </i>
    <i r="8">
      <x v="5"/>
    </i>
    <i r="7">
      <x v="1"/>
      <x/>
    </i>
    <i r="8">
      <x v="5"/>
    </i>
    <i r="7">
      <x v="2"/>
      <x/>
    </i>
    <i r="8">
      <x v="5"/>
    </i>
    <i r="7">
      <x v="3"/>
      <x/>
    </i>
    <i r="8">
      <x v="5"/>
    </i>
    <i r="7">
      <x v="4"/>
      <x/>
    </i>
    <i r="8">
      <x v="5"/>
    </i>
    <i>
      <x v="55"/>
      <x v="77"/>
      <x v="11"/>
      <x v="11"/>
      <x/>
      <x v="32"/>
      <x v="1"/>
      <x/>
      <x/>
    </i>
    <i r="8">
      <x v="4"/>
    </i>
    <i r="8">
      <x v="5"/>
    </i>
    <i r="7">
      <x v="1"/>
      <x/>
    </i>
    <i r="8">
      <x v="4"/>
    </i>
    <i r="8">
      <x v="5"/>
    </i>
    <i r="7">
      <x v="2"/>
      <x/>
    </i>
    <i r="8">
      <x v="1"/>
    </i>
    <i r="8">
      <x v="4"/>
    </i>
    <i r="8">
      <x v="5"/>
    </i>
    <i r="7">
      <x v="3"/>
      <x/>
    </i>
    <i r="8">
      <x v="4"/>
    </i>
    <i r="8">
      <x v="5"/>
    </i>
    <i r="7">
      <x v="4"/>
      <x/>
    </i>
    <i r="8">
      <x v="4"/>
    </i>
    <i>
      <x v="56"/>
      <x v="102"/>
      <x v="7"/>
      <x v="7"/>
      <x/>
      <x v="32"/>
      <x v="1"/>
      <x/>
      <x/>
    </i>
    <i r="7">
      <x v="1"/>
      <x/>
    </i>
    <i r="7">
      <x v="2"/>
      <x/>
    </i>
    <i r="7">
      <x v="3"/>
      <x/>
    </i>
    <i r="7">
      <x v="4"/>
      <x/>
    </i>
    <i>
      <x v="57"/>
      <x v="17"/>
      <x v="7"/>
      <x v="7"/>
      <x/>
      <x v="24"/>
      <x/>
      <x/>
      <x/>
    </i>
    <i r="8">
      <x v="4"/>
    </i>
    <i r="7">
      <x v="1"/>
      <x/>
    </i>
    <i r="8">
      <x v="4"/>
    </i>
    <i r="7">
      <x v="2"/>
      <x/>
    </i>
    <i r="8">
      <x v="4"/>
    </i>
    <i r="7">
      <x v="3"/>
      <x/>
    </i>
    <i r="8">
      <x v="4"/>
    </i>
    <i r="7">
      <x v="4"/>
      <x/>
    </i>
    <i r="8">
      <x v="4"/>
    </i>
    <i>
      <x v="58"/>
      <x v="28"/>
      <x/>
      <x/>
      <x/>
      <x v="28"/>
      <x/>
      <x/>
      <x/>
    </i>
    <i r="8">
      <x v="4"/>
    </i>
    <i r="7">
      <x v="1"/>
      <x/>
    </i>
    <i r="8">
      <x v="4"/>
    </i>
    <i r="7">
      <x v="2"/>
      <x/>
    </i>
    <i r="8">
      <x v="4"/>
    </i>
    <i r="7">
      <x v="3"/>
      <x/>
    </i>
    <i r="8">
      <x v="4"/>
    </i>
    <i r="7">
      <x v="4"/>
      <x/>
    </i>
    <i r="8">
      <x v="4"/>
    </i>
    <i>
      <x v="59"/>
      <x v="38"/>
      <x/>
      <x/>
      <x/>
      <x v="28"/>
      <x/>
      <x/>
      <x/>
    </i>
    <i r="7">
      <x v="1"/>
      <x/>
    </i>
    <i r="7">
      <x v="2"/>
      <x/>
    </i>
    <i>
      <x v="60"/>
      <x v="21"/>
      <x/>
      <x/>
      <x/>
      <x v="26"/>
      <x/>
      <x/>
      <x/>
    </i>
    <i r="7">
      <x v="1"/>
      <x/>
    </i>
    <i r="7">
      <x v="3"/>
      <x/>
    </i>
    <i r="7">
      <x v="4"/>
      <x/>
    </i>
    <i>
      <x v="61"/>
      <x v="36"/>
      <x/>
      <x/>
      <x/>
      <x v="12"/>
      <x/>
      <x/>
      <x/>
    </i>
    <i r="8">
      <x v="4"/>
    </i>
    <i r="7">
      <x v="1"/>
      <x/>
    </i>
    <i r="8">
      <x v="4"/>
    </i>
    <i r="7">
      <x v="2"/>
      <x/>
    </i>
    <i r="8">
      <x v="4"/>
    </i>
    <i r="7">
      <x v="3"/>
      <x/>
    </i>
    <i r="8">
      <x v="4"/>
    </i>
    <i r="7">
      <x v="4"/>
      <x/>
    </i>
    <i r="8">
      <x v="4"/>
    </i>
    <i>
      <x v="62"/>
      <x v="71"/>
      <x/>
      <x/>
      <x/>
      <x v="29"/>
      <x/>
      <x v="2"/>
      <x/>
    </i>
    <i r="7">
      <x v="3"/>
      <x/>
    </i>
    <i r="7">
      <x v="4"/>
      <x/>
    </i>
    <i>
      <x v="63"/>
      <x v="65"/>
      <x/>
      <x/>
      <x/>
      <x v="27"/>
      <x/>
      <x/>
      <x/>
    </i>
    <i r="7">
      <x v="2"/>
      <x/>
    </i>
    <i r="7">
      <x v="3"/>
      <x/>
    </i>
    <i r="7">
      <x v="4"/>
      <x/>
    </i>
    <i>
      <x v="64"/>
      <x v="18"/>
      <x v="7"/>
      <x v="7"/>
      <x/>
      <x v="6"/>
      <x/>
      <x/>
      <x/>
    </i>
    <i r="7">
      <x v="1"/>
      <x/>
    </i>
    <i r="7">
      <x v="2"/>
      <x/>
    </i>
    <i r="7">
      <x v="3"/>
      <x/>
    </i>
    <i r="7">
      <x v="4"/>
      <x/>
    </i>
    <i r="7">
      <x v="5"/>
      <x/>
    </i>
    <i r="8">
      <x v="2"/>
    </i>
    <i>
      <x v="65"/>
      <x v="100"/>
      <x/>
      <x/>
      <x/>
      <x v="21"/>
      <x/>
      <x/>
      <x/>
    </i>
    <i r="8">
      <x v="4"/>
    </i>
    <i r="7">
      <x v="1"/>
      <x/>
    </i>
    <i r="8">
      <x v="4"/>
    </i>
    <i r="7">
      <x v="2"/>
      <x/>
    </i>
    <i r="8">
      <x v="4"/>
    </i>
    <i r="7">
      <x v="3"/>
      <x/>
    </i>
    <i r="8">
      <x v="4"/>
    </i>
    <i r="7">
      <x v="4"/>
      <x/>
    </i>
    <i r="8">
      <x v="4"/>
    </i>
    <i>
      <x v="66"/>
      <x v="75"/>
      <x v="17"/>
      <x v="17"/>
      <x/>
      <x v="65"/>
      <x v="2"/>
      <x/>
      <x/>
    </i>
    <i r="8">
      <x v="5"/>
    </i>
    <i r="7">
      <x v="1"/>
      <x/>
    </i>
    <i r="8">
      <x v="5"/>
    </i>
    <i r="7">
      <x v="2"/>
      <x/>
    </i>
    <i r="8">
      <x v="5"/>
    </i>
    <i r="7">
      <x v="3"/>
      <x/>
    </i>
    <i r="8">
      <x v="5"/>
    </i>
    <i r="7">
      <x v="4"/>
      <x/>
    </i>
    <i r="8">
      <x v="5"/>
    </i>
    <i>
      <x v="67"/>
      <x v="35"/>
      <x v="17"/>
      <x v="17"/>
      <x/>
      <x v="64"/>
      <x v="2"/>
      <x/>
      <x/>
    </i>
    <i r="7">
      <x v="1"/>
      <x/>
    </i>
    <i r="7">
      <x v="2"/>
      <x/>
    </i>
    <i r="7">
      <x v="3"/>
      <x/>
    </i>
    <i r="7">
      <x v="4"/>
      <x/>
    </i>
    <i>
      <x v="68"/>
      <x v="10"/>
      <x/>
      <x/>
      <x/>
      <x v="20"/>
      <x/>
      <x/>
      <x/>
    </i>
    <i>
      <x v="69"/>
      <x v="68"/>
      <x v="7"/>
      <x v="7"/>
      <x/>
      <x v="22"/>
      <x/>
      <x/>
      <x/>
    </i>
    <i r="8">
      <x v="5"/>
    </i>
    <i r="7">
      <x v="1"/>
      <x/>
    </i>
    <i r="8">
      <x v="5"/>
    </i>
    <i r="7">
      <x v="2"/>
      <x/>
    </i>
    <i r="8">
      <x v="1"/>
    </i>
    <i r="8">
      <x v="5"/>
    </i>
    <i r="7">
      <x v="3"/>
      <x/>
    </i>
    <i r="8">
      <x v="5"/>
    </i>
    <i r="7">
      <x v="4"/>
      <x/>
    </i>
    <i r="8">
      <x v="5"/>
    </i>
    <i>
      <x v="70"/>
      <x v="47"/>
      <x/>
      <x/>
      <x/>
      <x v="19"/>
      <x/>
      <x/>
      <x/>
    </i>
    <i r="8">
      <x v="5"/>
    </i>
    <i r="7">
      <x v="1"/>
      <x/>
    </i>
    <i r="8">
      <x v="5"/>
    </i>
    <i r="7">
      <x v="2"/>
      <x/>
    </i>
    <i r="8">
      <x v="5"/>
    </i>
    <i r="7">
      <x v="3"/>
      <x/>
    </i>
    <i r="8">
      <x v="5"/>
    </i>
    <i>
      <x v="71"/>
      <x v="98"/>
      <x/>
      <x/>
      <x/>
      <x v="18"/>
      <x/>
      <x/>
      <x/>
    </i>
    <i r="7">
      <x v="2"/>
      <x/>
    </i>
    <i r="7">
      <x v="3"/>
      <x/>
    </i>
    <i r="7">
      <x v="4"/>
      <x/>
    </i>
    <i>
      <x v="72"/>
      <x v="11"/>
      <x v="7"/>
      <x v="7"/>
      <x/>
      <x v="19"/>
      <x/>
      <x v="1"/>
      <x/>
    </i>
    <i r="7">
      <x v="2"/>
      <x/>
    </i>
    <i r="7">
      <x v="3"/>
      <x/>
    </i>
    <i r="7">
      <x v="4"/>
      <x/>
    </i>
    <i>
      <x v="73"/>
      <x v="30"/>
      <x/>
      <x/>
      <x/>
      <x v="17"/>
      <x/>
      <x/>
      <x/>
    </i>
    <i r="7">
      <x v="1"/>
      <x/>
    </i>
    <i r="7">
      <x v="2"/>
      <x/>
    </i>
    <i r="8">
      <x v="1"/>
    </i>
    <i r="7">
      <x v="3"/>
      <x/>
    </i>
    <i r="7">
      <x v="4"/>
      <x/>
    </i>
    <i>
      <x v="74"/>
      <x v="24"/>
      <x/>
      <x/>
      <x/>
      <x v="18"/>
      <x/>
      <x/>
      <x/>
    </i>
    <i r="7">
      <x v="1"/>
      <x/>
    </i>
    <i r="7">
      <x v="2"/>
      <x/>
    </i>
    <i r="8">
      <x v="1"/>
    </i>
    <i r="7">
      <x v="3"/>
      <x/>
    </i>
    <i r="7">
      <x v="4"/>
      <x/>
    </i>
    <i>
      <x v="75"/>
      <x v="107"/>
      <x v="7"/>
      <x v="7"/>
      <x/>
      <x v="17"/>
      <x/>
      <x/>
      <x/>
    </i>
    <i r="7">
      <x v="1"/>
      <x/>
    </i>
    <i r="7">
      <x v="2"/>
      <x/>
    </i>
    <i r="7">
      <x v="3"/>
      <x/>
    </i>
    <i>
      <x v="76"/>
      <x v="81"/>
      <x/>
      <x/>
      <x/>
      <x v="18"/>
      <x/>
      <x/>
      <x/>
    </i>
    <i r="8">
      <x v="4"/>
    </i>
    <i r="7">
      <x v="1"/>
      <x/>
    </i>
    <i r="7">
      <x v="2"/>
      <x/>
    </i>
    <i r="8">
      <x v="1"/>
    </i>
    <i r="7">
      <x v="3"/>
      <x/>
    </i>
    <i r="7">
      <x v="4"/>
      <x/>
    </i>
    <i>
      <x v="77"/>
      <x v="83"/>
      <x/>
      <x/>
      <x/>
      <x v="16"/>
      <x/>
      <x/>
      <x/>
    </i>
    <i r="8">
      <x v="4"/>
    </i>
    <i r="7">
      <x v="1"/>
      <x/>
    </i>
    <i r="8">
      <x v="4"/>
    </i>
    <i r="7">
      <x v="3"/>
      <x/>
    </i>
    <i r="8">
      <x v="4"/>
    </i>
    <i r="7">
      <x v="4"/>
      <x/>
    </i>
    <i r="8">
      <x v="4"/>
    </i>
    <i>
      <x v="78"/>
      <x v="106"/>
      <x/>
      <x/>
      <x/>
      <x v="16"/>
      <x/>
      <x/>
      <x/>
    </i>
    <i r="8">
      <x v="4"/>
    </i>
    <i r="7">
      <x v="1"/>
      <x/>
    </i>
    <i r="8">
      <x v="4"/>
    </i>
    <i r="7">
      <x v="2"/>
      <x/>
    </i>
    <i r="8">
      <x v="4"/>
    </i>
    <i r="7">
      <x v="3"/>
      <x/>
    </i>
    <i r="8">
      <x v="4"/>
    </i>
    <i r="7">
      <x v="4"/>
      <x/>
    </i>
    <i r="8">
      <x v="4"/>
    </i>
    <i>
      <x v="79"/>
      <x v="105"/>
      <x v="1"/>
      <x v="1"/>
      <x/>
      <x v="50"/>
      <x v="1"/>
      <x/>
      <x/>
    </i>
    <i r="8">
      <x v="4"/>
    </i>
    <i r="7">
      <x v="1"/>
      <x/>
    </i>
    <i r="8">
      <x v="4"/>
    </i>
    <i r="7">
      <x v="2"/>
      <x/>
    </i>
    <i r="8">
      <x v="4"/>
    </i>
    <i r="7">
      <x v="3"/>
      <x/>
    </i>
    <i r="8">
      <x v="4"/>
    </i>
    <i r="7">
      <x v="4"/>
      <x/>
    </i>
    <i r="8">
      <x v="4"/>
    </i>
    <i>
      <x v="80"/>
      <x v="49"/>
      <x v="7"/>
      <x v="7"/>
      <x/>
      <x v="14"/>
      <x/>
      <x/>
      <x/>
    </i>
    <i r="7">
      <x v="1"/>
      <x/>
    </i>
    <i r="7">
      <x v="2"/>
      <x/>
    </i>
    <i>
      <x v="81"/>
      <x v="108"/>
      <x/>
      <x/>
      <x/>
      <x v="14"/>
      <x/>
      <x/>
      <x/>
    </i>
    <i r="7">
      <x v="1"/>
      <x/>
    </i>
    <i r="7">
      <x v="2"/>
      <x/>
    </i>
    <i>
      <x v="82"/>
      <x v="51"/>
      <x/>
      <x/>
      <x/>
      <x v="13"/>
      <x/>
      <x/>
      <x/>
    </i>
    <i r="7">
      <x v="1"/>
      <x/>
    </i>
    <i r="7">
      <x v="2"/>
      <x/>
    </i>
    <i r="7">
      <x v="3"/>
      <x/>
    </i>
    <i r="7">
      <x v="4"/>
      <x/>
    </i>
    <i>
      <x v="83"/>
      <x v="43"/>
      <x/>
      <x/>
      <x/>
      <x v="13"/>
      <x/>
      <x/>
      <x/>
    </i>
    <i r="7">
      <x v="1"/>
      <x/>
    </i>
    <i r="8">
      <x v="1"/>
    </i>
    <i r="7">
      <x v="2"/>
      <x/>
    </i>
    <i r="7">
      <x v="3"/>
      <x/>
    </i>
    <i r="7">
      <x v="4"/>
      <x/>
    </i>
    <i>
      <x v="84"/>
      <x v="41"/>
      <x/>
      <x/>
      <x/>
      <x v="13"/>
      <x/>
      <x/>
      <x/>
    </i>
    <i r="7">
      <x v="1"/>
      <x/>
    </i>
    <i r="7">
      <x v="2"/>
      <x/>
    </i>
    <i r="8">
      <x v="1"/>
    </i>
    <i r="7">
      <x v="3"/>
      <x/>
    </i>
    <i r="7">
      <x v="4"/>
      <x/>
    </i>
    <i>
      <x v="85"/>
      <x v="86"/>
      <x v="7"/>
      <x v="7"/>
      <x/>
      <x v="12"/>
      <x/>
      <x/>
      <x/>
    </i>
    <i r="7">
      <x v="1"/>
      <x/>
    </i>
    <i r="7">
      <x v="2"/>
      <x/>
    </i>
    <i r="7">
      <x v="3"/>
      <x/>
    </i>
    <i r="7">
      <x v="4"/>
      <x/>
    </i>
    <i>
      <x v="86"/>
      <x v="9"/>
      <x/>
      <x/>
      <x/>
      <x v="12"/>
      <x/>
      <x/>
      <x/>
    </i>
    <i r="7">
      <x v="1"/>
      <x/>
    </i>
    <i r="7">
      <x v="2"/>
      <x/>
    </i>
    <i r="7">
      <x v="3"/>
      <x/>
    </i>
    <i r="7">
      <x v="4"/>
      <x/>
    </i>
    <i>
      <x v="87"/>
      <x v="39"/>
      <x v="7"/>
      <x v="7"/>
      <x/>
      <x v="10"/>
      <x/>
      <x/>
      <x/>
    </i>
    <i r="7">
      <x v="1"/>
      <x/>
    </i>
    <i r="7">
      <x v="2"/>
      <x/>
    </i>
    <i r="7">
      <x v="3"/>
      <x/>
    </i>
    <i r="7">
      <x v="4"/>
      <x/>
    </i>
    <i>
      <x v="88"/>
      <x v="87"/>
      <x/>
      <x/>
      <x/>
      <x v="10"/>
      <x/>
      <x/>
      <x/>
    </i>
    <i r="7">
      <x v="1"/>
      <x/>
    </i>
    <i r="7">
      <x v="2"/>
      <x/>
    </i>
    <i r="7">
      <x v="3"/>
      <x/>
    </i>
    <i r="7">
      <x v="4"/>
      <x/>
    </i>
    <i>
      <x v="89"/>
      <x v="80"/>
      <x/>
      <x/>
      <x/>
      <x v="9"/>
      <x/>
      <x/>
      <x/>
    </i>
    <i r="7">
      <x v="1"/>
      <x/>
    </i>
    <i r="8">
      <x v="1"/>
    </i>
    <i r="7">
      <x v="2"/>
      <x/>
    </i>
    <i r="7">
      <x v="3"/>
      <x/>
    </i>
    <i r="7">
      <x v="4"/>
      <x/>
    </i>
    <i>
      <x v="90"/>
      <x v="76"/>
      <x/>
      <x/>
      <x/>
      <x v="8"/>
      <x/>
      <x/>
      <x/>
    </i>
    <i r="8">
      <x v="4"/>
    </i>
    <i r="8">
      <x v="5"/>
    </i>
    <i r="7">
      <x v="1"/>
      <x/>
    </i>
    <i r="8">
      <x v="4"/>
    </i>
    <i r="8">
      <x v="5"/>
    </i>
    <i r="7">
      <x v="2"/>
      <x/>
    </i>
    <i r="8">
      <x v="4"/>
    </i>
    <i r="8">
      <x v="5"/>
    </i>
    <i r="7">
      <x v="3"/>
      <x/>
    </i>
    <i r="8">
      <x v="4"/>
    </i>
    <i r="8">
      <x v="5"/>
    </i>
    <i r="7">
      <x v="4"/>
      <x/>
    </i>
    <i r="8">
      <x v="4"/>
    </i>
    <i r="8">
      <x v="5"/>
    </i>
    <i>
      <x v="91"/>
      <x v="70"/>
      <x/>
      <x/>
      <x/>
      <x v="7"/>
      <x/>
      <x/>
      <x/>
    </i>
    <i r="7">
      <x v="1"/>
      <x/>
    </i>
    <i r="8">
      <x v="1"/>
    </i>
    <i r="7">
      <x v="2"/>
      <x/>
    </i>
    <i r="7">
      <x v="3"/>
      <x/>
    </i>
    <i r="7">
      <x v="4"/>
      <x/>
    </i>
    <i>
      <x v="92"/>
      <x v="34"/>
      <x v="7"/>
      <x v="7"/>
      <x/>
      <x v="7"/>
      <x/>
      <x/>
      <x/>
    </i>
    <i r="8">
      <x v="4"/>
    </i>
    <i r="7">
      <x v="1"/>
      <x/>
    </i>
    <i r="8">
      <x v="4"/>
    </i>
    <i r="7">
      <x v="2"/>
      <x/>
    </i>
    <i r="8">
      <x v="1"/>
    </i>
    <i r="8">
      <x v="4"/>
    </i>
    <i r="7">
      <x v="3"/>
      <x/>
    </i>
    <i r="8">
      <x v="4"/>
    </i>
    <i r="7">
      <x v="4"/>
      <x/>
    </i>
    <i r="8">
      <x v="4"/>
    </i>
    <i>
      <x v="93"/>
      <x v="15"/>
      <x/>
      <x/>
      <x/>
      <x v="1"/>
      <x/>
      <x/>
      <x/>
    </i>
    <i r="7">
      <x v="1"/>
      <x/>
    </i>
    <i r="7">
      <x v="2"/>
      <x/>
    </i>
    <i r="7">
      <x v="3"/>
      <x/>
    </i>
    <i r="7">
      <x v="4"/>
      <x/>
    </i>
    <i>
      <x v="94"/>
      <x v="64"/>
      <x/>
      <x/>
      <x/>
      <x v="1"/>
      <x/>
      <x/>
      <x/>
    </i>
    <i r="7">
      <x v="1"/>
      <x/>
    </i>
    <i r="7">
      <x v="2"/>
      <x/>
    </i>
    <i r="7">
      <x v="3"/>
      <x/>
    </i>
    <i r="7">
      <x v="4"/>
      <x/>
    </i>
    <i>
      <x v="95"/>
      <x v="4"/>
      <x/>
      <x/>
      <x/>
      <x v="5"/>
      <x/>
      <x/>
      <x/>
    </i>
    <i r="8">
      <x v="4"/>
    </i>
    <i r="7">
      <x v="1"/>
      <x/>
    </i>
    <i r="8">
      <x v="4"/>
    </i>
    <i r="8">
      <x v="5"/>
    </i>
    <i r="7">
      <x v="2"/>
      <x/>
    </i>
    <i r="8">
      <x v="1"/>
    </i>
    <i r="8">
      <x v="4"/>
    </i>
    <i r="8">
      <x v="5"/>
    </i>
    <i r="7">
      <x v="3"/>
      <x/>
    </i>
    <i r="8">
      <x v="4"/>
    </i>
    <i r="8">
      <x v="5"/>
    </i>
    <i r="7">
      <x v="4"/>
      <x/>
    </i>
    <i r="8">
      <x v="4"/>
    </i>
    <i>
      <x v="96"/>
      <x v="69"/>
      <x/>
      <x/>
      <x/>
      <x v="5"/>
      <x/>
      <x/>
      <x/>
    </i>
    <i r="8">
      <x v="4"/>
    </i>
    <i r="7">
      <x v="1"/>
      <x/>
    </i>
    <i r="8">
      <x v="4"/>
    </i>
    <i r="8">
      <x v="5"/>
    </i>
    <i r="7">
      <x v="2"/>
      <x/>
    </i>
    <i r="8">
      <x v="1"/>
    </i>
    <i r="8">
      <x v="4"/>
    </i>
    <i r="8">
      <x v="5"/>
    </i>
    <i r="7">
      <x v="3"/>
      <x/>
    </i>
    <i r="8">
      <x v="4"/>
    </i>
    <i r="8">
      <x v="5"/>
    </i>
    <i r="7">
      <x v="4"/>
      <x/>
    </i>
    <i r="8">
      <x v="4"/>
    </i>
    <i>
      <x v="97"/>
      <x v="67"/>
      <x/>
      <x/>
      <x/>
      <x v="5"/>
      <x/>
      <x/>
      <x/>
    </i>
    <i r="8">
      <x v="4"/>
    </i>
    <i r="7">
      <x v="1"/>
      <x/>
    </i>
    <i r="8">
      <x v="4"/>
    </i>
    <i r="7">
      <x v="2"/>
      <x/>
    </i>
    <i r="8">
      <x v="4"/>
    </i>
    <i r="7">
      <x v="3"/>
      <x/>
    </i>
    <i r="8">
      <x v="4"/>
    </i>
    <i r="7">
      <x v="4"/>
      <x/>
    </i>
    <i r="8">
      <x v="4"/>
    </i>
    <i>
      <x v="98"/>
      <x v="53"/>
      <x/>
      <x/>
      <x/>
      <x v="1"/>
      <x/>
      <x/>
      <x/>
    </i>
    <i r="7">
      <x v="1"/>
      <x/>
    </i>
    <i r="8">
      <x v="1"/>
    </i>
    <i r="8">
      <x v="4"/>
    </i>
    <i r="7">
      <x v="2"/>
      <x/>
    </i>
    <i r="7">
      <x v="3"/>
      <x/>
    </i>
    <i r="7">
      <x v="4"/>
      <x/>
    </i>
    <i>
      <x v="99"/>
      <x v="97"/>
      <x/>
      <x/>
      <x/>
      <x v="4"/>
      <x/>
      <x/>
      <x/>
    </i>
    <i r="7">
      <x v="1"/>
      <x/>
    </i>
    <i r="8">
      <x v="1"/>
    </i>
    <i r="7">
      <x v="2"/>
      <x/>
    </i>
    <i r="7">
      <x v="3"/>
      <x/>
    </i>
    <i r="7">
      <x v="4"/>
      <x/>
    </i>
    <i>
      <x v="100"/>
      <x v="1"/>
      <x/>
      <x/>
      <x/>
      <x v="4"/>
      <x/>
      <x/>
      <x/>
    </i>
    <i r="7">
      <x v="1"/>
      <x/>
    </i>
    <i r="7">
      <x v="2"/>
      <x/>
    </i>
    <i r="7">
      <x v="3"/>
      <x/>
    </i>
    <i r="7">
      <x v="4"/>
      <x/>
    </i>
    <i>
      <x v="101"/>
      <x v="46"/>
      <x/>
      <x/>
      <x/>
      <x/>
      <x/>
      <x v="3"/>
      <x/>
    </i>
    <i r="7">
      <x v="4"/>
      <x/>
    </i>
    <i>
      <x v="102"/>
      <x v="60"/>
      <x/>
      <x/>
      <x/>
      <x v="3"/>
      <x/>
      <x/>
      <x/>
    </i>
    <i r="8">
      <x v="4"/>
    </i>
    <i r="8">
      <x v="5"/>
    </i>
    <i r="7">
      <x v="1"/>
      <x/>
    </i>
    <i r="8">
      <x v="4"/>
    </i>
    <i r="8">
      <x v="5"/>
    </i>
    <i r="7">
      <x v="2"/>
      <x v="1"/>
    </i>
    <i r="8">
      <x v="4"/>
    </i>
    <i r="8">
      <x v="5"/>
    </i>
    <i r="7">
      <x v="3"/>
      <x/>
    </i>
    <i r="8">
      <x v="4"/>
    </i>
    <i r="8">
      <x v="5"/>
    </i>
    <i r="7">
      <x v="4"/>
      <x/>
    </i>
    <i r="8">
      <x v="4"/>
    </i>
    <i r="8">
      <x v="5"/>
    </i>
    <i>
      <x v="103"/>
      <x v="27"/>
      <x/>
      <x/>
      <x/>
      <x v="3"/>
      <x/>
      <x/>
      <x/>
    </i>
    <i r="7">
      <x v="1"/>
      <x/>
    </i>
    <i r="8">
      <x v="1"/>
    </i>
    <i r="7">
      <x v="2"/>
      <x/>
    </i>
    <i r="7">
      <x v="3"/>
      <x/>
    </i>
    <i r="8">
      <x v="4"/>
    </i>
    <i r="7">
      <x v="4"/>
      <x/>
    </i>
    <i>
      <x v="104"/>
      <x v="50"/>
      <x/>
      <x/>
      <x/>
      <x v="2"/>
      <x/>
      <x/>
      <x/>
    </i>
    <i r="7">
      <x v="1"/>
      <x/>
    </i>
    <i r="7">
      <x v="2"/>
      <x/>
    </i>
    <i r="7">
      <x v="3"/>
      <x/>
    </i>
    <i r="7">
      <x v="4"/>
      <x/>
    </i>
    <i>
      <x v="105"/>
      <x v="103"/>
      <x/>
      <x/>
      <x/>
      <x v="1"/>
      <x/>
      <x/>
      <x/>
    </i>
    <i r="7">
      <x v="1"/>
      <x/>
    </i>
    <i r="7">
      <x v="2"/>
      <x/>
    </i>
    <i r="8">
      <x v="1"/>
    </i>
    <i r="7">
      <x v="3"/>
      <x/>
    </i>
    <i r="7">
      <x v="4"/>
      <x/>
    </i>
    <i>
      <x v="106"/>
      <x v="25"/>
      <x/>
      <x/>
      <x/>
      <x v="1"/>
      <x/>
      <x/>
      <x/>
    </i>
    <i r="7">
      <x v="1"/>
      <x/>
    </i>
    <i r="7">
      <x v="2"/>
      <x/>
    </i>
    <i r="8">
      <x v="1"/>
    </i>
    <i r="7">
      <x v="3"/>
      <x/>
    </i>
    <i r="7">
      <x v="4"/>
      <x/>
    </i>
    <i>
      <x v="107"/>
      <x v="32"/>
      <x/>
      <x/>
      <x/>
      <x v="1"/>
      <x/>
      <x/>
      <x/>
    </i>
    <i r="7">
      <x v="1"/>
      <x/>
    </i>
    <i r="7">
      <x v="2"/>
      <x/>
    </i>
    <i r="7">
      <x v="3"/>
      <x/>
    </i>
    <i r="7">
      <x v="4"/>
      <x/>
    </i>
    <i>
      <x v="108"/>
      <x v="42"/>
      <x/>
      <x/>
      <x/>
      <x v="1"/>
      <x/>
      <x/>
      <x/>
    </i>
    <i r="7">
      <x v="1"/>
      <x/>
    </i>
    <i r="7">
      <x v="2"/>
      <x/>
    </i>
    <i r="7">
      <x v="3"/>
      <x/>
    </i>
    <i r="7">
      <x v="4"/>
      <x/>
    </i>
    <i>
      <x v="109"/>
      <x v="61"/>
      <x/>
      <x/>
      <x/>
      <x/>
      <x/>
      <x/>
      <x/>
    </i>
    <i r="8">
      <x v="4"/>
    </i>
    <i r="7">
      <x v="1"/>
      <x/>
    </i>
    <i r="8">
      <x v="4"/>
    </i>
    <i r="7">
      <x v="2"/>
      <x/>
    </i>
    <i r="8">
      <x v="4"/>
    </i>
    <i r="7">
      <x v="3"/>
      <x/>
    </i>
    <i r="8">
      <x v="4"/>
    </i>
    <i r="7">
      <x v="4"/>
      <x/>
    </i>
    <i r="8"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om van Totaal uren" fld="9" baseField="0" baseItem="0"/>
    <dataField name="Som van Subtotaal" fld="10" baseField="0" baseItem="0" numFmtId="44"/>
  </dataFields>
  <formats count="1"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C3CC23-F538-429F-9BF8-2FB404136A01}">
  <dimension ref="A1:K911"/>
  <sheetViews>
    <sheetView workbookViewId="0">
      <selection activeCell="J1" sqref="J1:J1048576"/>
    </sheetView>
  </sheetViews>
  <sheetFormatPr defaultRowHeight="15" x14ac:dyDescent="0.25"/>
  <cols>
    <col min="1" max="1" width="7" bestFit="1" customWidth="1"/>
    <col min="2" max="2" width="23" bestFit="1" customWidth="1"/>
    <col min="3" max="3" width="8.28515625" bestFit="1" customWidth="1"/>
    <col min="4" max="4" width="19.140625" bestFit="1" customWidth="1"/>
    <col min="5" max="5" width="14.5703125" bestFit="1" customWidth="1"/>
    <col min="6" max="6" width="13.28515625" bestFit="1" customWidth="1"/>
    <col min="7" max="7" width="10.28515625" bestFit="1" customWidth="1"/>
    <col min="8" max="8" width="10.42578125" bestFit="1" customWidth="1"/>
    <col min="9" max="9" width="14.42578125" bestFit="1" customWidth="1"/>
    <col min="10" max="10" width="11" bestFit="1" customWidth="1"/>
    <col min="11" max="11" width="10.8554687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</row>
    <row r="2" spans="1:11" x14ac:dyDescent="0.25">
      <c r="A2">
        <v>374801</v>
      </c>
      <c r="B2" t="s">
        <v>11</v>
      </c>
      <c r="C2" s="3">
        <v>17.63</v>
      </c>
      <c r="D2" s="3">
        <v>16.61</v>
      </c>
      <c r="E2" s="3">
        <v>0</v>
      </c>
      <c r="F2">
        <v>229</v>
      </c>
      <c r="G2" t="s">
        <v>12</v>
      </c>
      <c r="H2" s="4">
        <v>46006</v>
      </c>
      <c r="I2" t="s">
        <v>13</v>
      </c>
      <c r="J2">
        <v>7.75</v>
      </c>
      <c r="K2" s="3">
        <v>248.54</v>
      </c>
    </row>
    <row r="3" spans="1:11" x14ac:dyDescent="0.25">
      <c r="A3">
        <v>374801</v>
      </c>
      <c r="B3" t="s">
        <v>11</v>
      </c>
      <c r="C3" s="3">
        <v>17.63</v>
      </c>
      <c r="D3" s="3">
        <v>16.61</v>
      </c>
      <c r="E3" s="3">
        <v>0</v>
      </c>
      <c r="F3">
        <v>229</v>
      </c>
      <c r="G3" t="s">
        <v>12</v>
      </c>
      <c r="H3" s="4">
        <v>46007</v>
      </c>
      <c r="I3" t="s">
        <v>13</v>
      </c>
      <c r="J3">
        <v>7.75</v>
      </c>
      <c r="K3" s="3">
        <v>248.54</v>
      </c>
    </row>
    <row r="4" spans="1:11" x14ac:dyDescent="0.25">
      <c r="A4">
        <v>374801</v>
      </c>
      <c r="B4" t="s">
        <v>11</v>
      </c>
      <c r="C4" s="3">
        <v>17.63</v>
      </c>
      <c r="D4" s="3">
        <v>16.61</v>
      </c>
      <c r="E4" s="3">
        <v>0</v>
      </c>
      <c r="F4">
        <v>229</v>
      </c>
      <c r="G4" t="s">
        <v>12</v>
      </c>
      <c r="H4" s="4">
        <v>46008</v>
      </c>
      <c r="I4" t="s">
        <v>13</v>
      </c>
      <c r="J4">
        <v>7.75</v>
      </c>
      <c r="K4" s="3">
        <v>248.54</v>
      </c>
    </row>
    <row r="5" spans="1:11" x14ac:dyDescent="0.25">
      <c r="A5">
        <v>374801</v>
      </c>
      <c r="B5" t="s">
        <v>11</v>
      </c>
      <c r="C5" s="3">
        <v>17.63</v>
      </c>
      <c r="D5" s="3">
        <v>16.61</v>
      </c>
      <c r="E5" s="3">
        <v>0</v>
      </c>
      <c r="F5">
        <v>229</v>
      </c>
      <c r="G5" t="s">
        <v>12</v>
      </c>
      <c r="H5" s="4">
        <v>46009</v>
      </c>
      <c r="I5" t="s">
        <v>13</v>
      </c>
      <c r="J5">
        <v>7.75</v>
      </c>
      <c r="K5" s="3">
        <v>248.54</v>
      </c>
    </row>
    <row r="6" spans="1:11" x14ac:dyDescent="0.25">
      <c r="A6">
        <v>374801</v>
      </c>
      <c r="B6" t="s">
        <v>11</v>
      </c>
      <c r="C6" s="3">
        <v>17.63</v>
      </c>
      <c r="D6" s="3">
        <v>16.61</v>
      </c>
      <c r="E6" s="3">
        <v>0</v>
      </c>
      <c r="F6">
        <v>229</v>
      </c>
      <c r="G6" t="s">
        <v>12</v>
      </c>
      <c r="H6" s="4">
        <v>46010</v>
      </c>
      <c r="I6" t="s">
        <v>13</v>
      </c>
      <c r="J6">
        <v>4.75</v>
      </c>
      <c r="K6" s="3">
        <v>152.33000000000001</v>
      </c>
    </row>
    <row r="7" spans="1:11" x14ac:dyDescent="0.25">
      <c r="A7">
        <v>305518</v>
      </c>
      <c r="B7" t="s">
        <v>14</v>
      </c>
      <c r="C7" s="3">
        <v>15.89</v>
      </c>
      <c r="D7" s="3">
        <v>14.98</v>
      </c>
      <c r="E7" s="3">
        <v>0</v>
      </c>
      <c r="F7">
        <v>9</v>
      </c>
      <c r="G7" t="s">
        <v>15</v>
      </c>
      <c r="H7" s="4">
        <v>46006</v>
      </c>
      <c r="I7" t="s">
        <v>13</v>
      </c>
      <c r="J7">
        <v>1.5</v>
      </c>
      <c r="K7" s="3">
        <v>45.06</v>
      </c>
    </row>
    <row r="8" spans="1:11" x14ac:dyDescent="0.25">
      <c r="A8">
        <v>341230</v>
      </c>
      <c r="B8" t="s">
        <v>16</v>
      </c>
      <c r="C8" s="3">
        <v>15.89</v>
      </c>
      <c r="D8" s="3">
        <v>14.98</v>
      </c>
      <c r="E8" s="3">
        <v>0</v>
      </c>
      <c r="F8">
        <v>1</v>
      </c>
      <c r="G8" t="s">
        <v>15</v>
      </c>
      <c r="H8" s="4">
        <v>46006</v>
      </c>
      <c r="I8" t="s">
        <v>13</v>
      </c>
      <c r="J8">
        <v>6.5</v>
      </c>
      <c r="K8" s="3">
        <v>195.26</v>
      </c>
    </row>
    <row r="9" spans="1:11" x14ac:dyDescent="0.25">
      <c r="A9">
        <v>341230</v>
      </c>
      <c r="B9" t="s">
        <v>16</v>
      </c>
      <c r="C9" s="3">
        <v>15.89</v>
      </c>
      <c r="D9" s="3">
        <v>14.98</v>
      </c>
      <c r="E9" s="3">
        <v>0</v>
      </c>
      <c r="F9">
        <v>1</v>
      </c>
      <c r="G9" t="s">
        <v>15</v>
      </c>
      <c r="H9" s="4">
        <v>46007</v>
      </c>
      <c r="I9" t="s">
        <v>13</v>
      </c>
      <c r="J9">
        <v>8</v>
      </c>
      <c r="K9" s="3">
        <v>240.32</v>
      </c>
    </row>
    <row r="10" spans="1:11" x14ac:dyDescent="0.25">
      <c r="A10">
        <v>341230</v>
      </c>
      <c r="B10" t="s">
        <v>16</v>
      </c>
      <c r="C10" s="3">
        <v>15.89</v>
      </c>
      <c r="D10" s="3">
        <v>14.98</v>
      </c>
      <c r="E10" s="3">
        <v>0</v>
      </c>
      <c r="F10">
        <v>1</v>
      </c>
      <c r="G10" t="s">
        <v>15</v>
      </c>
      <c r="H10" s="4">
        <v>46008</v>
      </c>
      <c r="I10" t="s">
        <v>13</v>
      </c>
      <c r="J10">
        <v>8</v>
      </c>
      <c r="K10" s="3">
        <v>240.32</v>
      </c>
    </row>
    <row r="11" spans="1:11" x14ac:dyDescent="0.25">
      <c r="A11">
        <v>341230</v>
      </c>
      <c r="B11" t="s">
        <v>16</v>
      </c>
      <c r="C11" s="3">
        <v>15.89</v>
      </c>
      <c r="D11" s="3">
        <v>14.98</v>
      </c>
      <c r="E11" s="3">
        <v>0</v>
      </c>
      <c r="F11">
        <v>1</v>
      </c>
      <c r="G11" t="s">
        <v>15</v>
      </c>
      <c r="H11" s="4">
        <v>46009</v>
      </c>
      <c r="I11" t="s">
        <v>13</v>
      </c>
      <c r="J11">
        <v>8</v>
      </c>
      <c r="K11" s="3">
        <v>240.32</v>
      </c>
    </row>
    <row r="12" spans="1:11" x14ac:dyDescent="0.25">
      <c r="A12">
        <v>341230</v>
      </c>
      <c r="B12" t="s">
        <v>16</v>
      </c>
      <c r="C12" s="3">
        <v>15.89</v>
      </c>
      <c r="D12" s="3">
        <v>14.98</v>
      </c>
      <c r="E12" s="3">
        <v>0</v>
      </c>
      <c r="F12">
        <v>1</v>
      </c>
      <c r="G12" t="s">
        <v>15</v>
      </c>
      <c r="H12" s="4">
        <v>46010</v>
      </c>
      <c r="I12" t="s">
        <v>13</v>
      </c>
      <c r="J12">
        <v>8</v>
      </c>
      <c r="K12" s="3">
        <v>240.32</v>
      </c>
    </row>
    <row r="13" spans="1:11" x14ac:dyDescent="0.25">
      <c r="A13">
        <v>366142</v>
      </c>
      <c r="B13" t="s">
        <v>17</v>
      </c>
      <c r="C13" s="3">
        <v>15.89</v>
      </c>
      <c r="D13" s="3">
        <v>14.98</v>
      </c>
      <c r="E13" s="3">
        <v>0</v>
      </c>
      <c r="F13">
        <v>1</v>
      </c>
      <c r="G13" t="s">
        <v>15</v>
      </c>
      <c r="H13" s="4">
        <v>46006</v>
      </c>
      <c r="I13" t="s">
        <v>13</v>
      </c>
      <c r="J13">
        <v>6.25</v>
      </c>
      <c r="K13" s="3">
        <v>187.75</v>
      </c>
    </row>
    <row r="14" spans="1:11" x14ac:dyDescent="0.25">
      <c r="A14">
        <v>366142</v>
      </c>
      <c r="B14" t="s">
        <v>17</v>
      </c>
      <c r="C14" s="3">
        <v>15.89</v>
      </c>
      <c r="D14" s="3">
        <v>14.98</v>
      </c>
      <c r="E14" s="3">
        <v>0</v>
      </c>
      <c r="F14">
        <v>1</v>
      </c>
      <c r="G14" t="s">
        <v>15</v>
      </c>
      <c r="H14" s="4">
        <v>46007</v>
      </c>
      <c r="I14" t="s">
        <v>13</v>
      </c>
      <c r="J14">
        <v>8</v>
      </c>
      <c r="K14" s="3">
        <v>240.32</v>
      </c>
    </row>
    <row r="15" spans="1:11" x14ac:dyDescent="0.25">
      <c r="A15">
        <v>366142</v>
      </c>
      <c r="B15" t="s">
        <v>17</v>
      </c>
      <c r="C15" s="3">
        <v>15.89</v>
      </c>
      <c r="D15" s="3">
        <v>14.98</v>
      </c>
      <c r="E15" s="3">
        <v>0</v>
      </c>
      <c r="F15">
        <v>1</v>
      </c>
      <c r="G15" t="s">
        <v>15</v>
      </c>
      <c r="H15" s="4">
        <v>46008</v>
      </c>
      <c r="I15" t="s">
        <v>13</v>
      </c>
      <c r="J15">
        <v>8</v>
      </c>
      <c r="K15" s="3">
        <v>240.32</v>
      </c>
    </row>
    <row r="16" spans="1:11" x14ac:dyDescent="0.25">
      <c r="A16">
        <v>366142</v>
      </c>
      <c r="B16" t="s">
        <v>17</v>
      </c>
      <c r="C16" s="3">
        <v>15.89</v>
      </c>
      <c r="D16" s="3">
        <v>14.98</v>
      </c>
      <c r="E16" s="3">
        <v>0</v>
      </c>
      <c r="F16">
        <v>1</v>
      </c>
      <c r="G16" t="s">
        <v>15</v>
      </c>
      <c r="H16" s="4">
        <v>46009</v>
      </c>
      <c r="I16" t="s">
        <v>13</v>
      </c>
      <c r="J16">
        <v>8</v>
      </c>
      <c r="K16" s="3">
        <v>240.32</v>
      </c>
    </row>
    <row r="17" spans="1:11" x14ac:dyDescent="0.25">
      <c r="A17">
        <v>366142</v>
      </c>
      <c r="B17" t="s">
        <v>17</v>
      </c>
      <c r="C17" s="3">
        <v>15.89</v>
      </c>
      <c r="D17" s="3">
        <v>14.98</v>
      </c>
      <c r="E17" s="3">
        <v>0</v>
      </c>
      <c r="F17">
        <v>1</v>
      </c>
      <c r="G17" t="s">
        <v>15</v>
      </c>
      <c r="H17" s="4">
        <v>46010</v>
      </c>
      <c r="I17" t="s">
        <v>13</v>
      </c>
      <c r="J17">
        <v>7.5</v>
      </c>
      <c r="K17" s="3">
        <v>225.3</v>
      </c>
    </row>
    <row r="18" spans="1:11" x14ac:dyDescent="0.25">
      <c r="A18">
        <v>371131</v>
      </c>
      <c r="B18" t="s">
        <v>18</v>
      </c>
      <c r="C18" s="3">
        <v>17.39</v>
      </c>
      <c r="D18" s="3">
        <v>16.39</v>
      </c>
      <c r="E18" s="3">
        <v>0</v>
      </c>
      <c r="F18">
        <v>141</v>
      </c>
      <c r="G18" t="s">
        <v>19</v>
      </c>
      <c r="H18" s="4">
        <v>46006</v>
      </c>
      <c r="I18" t="s">
        <v>13</v>
      </c>
      <c r="J18">
        <v>8</v>
      </c>
      <c r="K18" s="3">
        <v>261.36</v>
      </c>
    </row>
    <row r="19" spans="1:11" x14ac:dyDescent="0.25">
      <c r="A19">
        <v>371131</v>
      </c>
      <c r="B19" t="s">
        <v>18</v>
      </c>
      <c r="C19" s="3">
        <v>17.39</v>
      </c>
      <c r="D19" s="3">
        <v>16.39</v>
      </c>
      <c r="E19" s="3">
        <v>0</v>
      </c>
      <c r="F19">
        <v>141</v>
      </c>
      <c r="G19" t="s">
        <v>19</v>
      </c>
      <c r="H19" s="4">
        <v>46007</v>
      </c>
      <c r="I19" t="s">
        <v>13</v>
      </c>
      <c r="J19">
        <v>8</v>
      </c>
      <c r="K19" s="3">
        <v>261.36</v>
      </c>
    </row>
    <row r="20" spans="1:11" x14ac:dyDescent="0.25">
      <c r="A20">
        <v>371131</v>
      </c>
      <c r="B20" t="s">
        <v>18</v>
      </c>
      <c r="C20" s="3">
        <v>17.39</v>
      </c>
      <c r="D20" s="3">
        <v>16.39</v>
      </c>
      <c r="E20" s="3">
        <v>0</v>
      </c>
      <c r="F20">
        <v>141</v>
      </c>
      <c r="G20" t="s">
        <v>19</v>
      </c>
      <c r="H20" s="4">
        <v>46008</v>
      </c>
      <c r="I20" t="s">
        <v>13</v>
      </c>
      <c r="J20">
        <v>8</v>
      </c>
      <c r="K20" s="3">
        <v>261.36</v>
      </c>
    </row>
    <row r="21" spans="1:11" x14ac:dyDescent="0.25">
      <c r="A21">
        <v>371131</v>
      </c>
      <c r="B21" t="s">
        <v>18</v>
      </c>
      <c r="C21" s="3">
        <v>17.39</v>
      </c>
      <c r="D21" s="3">
        <v>16.39</v>
      </c>
      <c r="E21" s="3">
        <v>0</v>
      </c>
      <c r="F21">
        <v>141</v>
      </c>
      <c r="G21" t="s">
        <v>19</v>
      </c>
      <c r="H21" s="4">
        <v>46009</v>
      </c>
      <c r="I21" t="s">
        <v>13</v>
      </c>
      <c r="J21">
        <v>8</v>
      </c>
      <c r="K21" s="3">
        <v>261.36</v>
      </c>
    </row>
    <row r="22" spans="1:11" x14ac:dyDescent="0.25">
      <c r="A22">
        <v>371131</v>
      </c>
      <c r="B22" t="s">
        <v>18</v>
      </c>
      <c r="C22" s="3">
        <v>17.39</v>
      </c>
      <c r="D22" s="3">
        <v>16.39</v>
      </c>
      <c r="E22" s="3">
        <v>0</v>
      </c>
      <c r="F22">
        <v>141</v>
      </c>
      <c r="G22" t="s">
        <v>19</v>
      </c>
      <c r="H22" s="4">
        <v>46010</v>
      </c>
      <c r="I22" t="s">
        <v>13</v>
      </c>
      <c r="J22">
        <v>8</v>
      </c>
      <c r="K22" s="3">
        <v>261.36</v>
      </c>
    </row>
    <row r="23" spans="1:11" x14ac:dyDescent="0.25">
      <c r="A23">
        <v>374420</v>
      </c>
      <c r="B23" t="s">
        <v>20</v>
      </c>
      <c r="C23" s="3">
        <v>16.7</v>
      </c>
      <c r="D23" s="3">
        <v>15.74</v>
      </c>
      <c r="E23" s="3">
        <v>0</v>
      </c>
      <c r="F23">
        <v>265</v>
      </c>
      <c r="G23" t="s">
        <v>12</v>
      </c>
      <c r="H23" s="4">
        <v>46006</v>
      </c>
      <c r="I23" t="s">
        <v>13</v>
      </c>
      <c r="J23">
        <v>2.75</v>
      </c>
      <c r="K23" s="3">
        <v>83.99</v>
      </c>
    </row>
    <row r="24" spans="1:11" x14ac:dyDescent="0.25">
      <c r="A24">
        <v>374420</v>
      </c>
      <c r="B24" t="s">
        <v>20</v>
      </c>
      <c r="C24" s="3">
        <v>16.7</v>
      </c>
      <c r="D24" s="3">
        <v>15.74</v>
      </c>
      <c r="E24" s="3">
        <v>0</v>
      </c>
      <c r="F24">
        <v>265</v>
      </c>
      <c r="G24" t="s">
        <v>12</v>
      </c>
      <c r="H24" s="4">
        <v>46006</v>
      </c>
      <c r="I24" t="s">
        <v>21</v>
      </c>
      <c r="J24">
        <v>5.25</v>
      </c>
      <c r="K24" s="3">
        <v>203.81</v>
      </c>
    </row>
    <row r="25" spans="1:11" x14ac:dyDescent="0.25">
      <c r="A25">
        <v>374420</v>
      </c>
      <c r="B25" t="s">
        <v>20</v>
      </c>
      <c r="C25" s="3">
        <v>16.7</v>
      </c>
      <c r="D25" s="3">
        <v>15.74</v>
      </c>
      <c r="E25" s="3">
        <v>0</v>
      </c>
      <c r="F25">
        <v>265</v>
      </c>
      <c r="G25" t="s">
        <v>12</v>
      </c>
      <c r="H25" s="4">
        <v>46006</v>
      </c>
      <c r="I25" t="s">
        <v>22</v>
      </c>
      <c r="J25">
        <v>0.25</v>
      </c>
      <c r="K25" s="3">
        <v>9.83</v>
      </c>
    </row>
    <row r="26" spans="1:11" x14ac:dyDescent="0.25">
      <c r="A26">
        <v>374420</v>
      </c>
      <c r="B26" t="s">
        <v>20</v>
      </c>
      <c r="C26" s="3">
        <v>16.7</v>
      </c>
      <c r="D26" s="3">
        <v>15.74</v>
      </c>
      <c r="E26" s="3">
        <v>0</v>
      </c>
      <c r="F26">
        <v>265</v>
      </c>
      <c r="G26" t="s">
        <v>12</v>
      </c>
      <c r="H26" s="4">
        <v>46007</v>
      </c>
      <c r="I26" t="s">
        <v>13</v>
      </c>
      <c r="J26">
        <v>2.75</v>
      </c>
      <c r="K26" s="3">
        <v>83.99</v>
      </c>
    </row>
    <row r="27" spans="1:11" x14ac:dyDescent="0.25">
      <c r="A27">
        <v>374420</v>
      </c>
      <c r="B27" t="s">
        <v>20</v>
      </c>
      <c r="C27" s="3">
        <v>16.7</v>
      </c>
      <c r="D27" s="3">
        <v>15.74</v>
      </c>
      <c r="E27" s="3">
        <v>0</v>
      </c>
      <c r="F27">
        <v>265</v>
      </c>
      <c r="G27" t="s">
        <v>12</v>
      </c>
      <c r="H27" s="4">
        <v>46007</v>
      </c>
      <c r="I27" t="s">
        <v>21</v>
      </c>
      <c r="J27">
        <v>5.25</v>
      </c>
      <c r="K27" s="3">
        <v>203.81</v>
      </c>
    </row>
    <row r="28" spans="1:11" x14ac:dyDescent="0.25">
      <c r="A28">
        <v>374420</v>
      </c>
      <c r="B28" t="s">
        <v>20</v>
      </c>
      <c r="C28" s="3">
        <v>16.7</v>
      </c>
      <c r="D28" s="3">
        <v>15.74</v>
      </c>
      <c r="E28" s="3">
        <v>0</v>
      </c>
      <c r="F28">
        <v>265</v>
      </c>
      <c r="G28" t="s">
        <v>12</v>
      </c>
      <c r="H28" s="4">
        <v>46007</v>
      </c>
      <c r="I28" t="s">
        <v>22</v>
      </c>
      <c r="J28">
        <v>0.25</v>
      </c>
      <c r="K28" s="3">
        <v>9.83</v>
      </c>
    </row>
    <row r="29" spans="1:11" x14ac:dyDescent="0.25">
      <c r="A29">
        <v>374420</v>
      </c>
      <c r="B29" t="s">
        <v>20</v>
      </c>
      <c r="C29" s="3">
        <v>16.7</v>
      </c>
      <c r="D29" s="3">
        <v>15.74</v>
      </c>
      <c r="E29" s="3">
        <v>0</v>
      </c>
      <c r="F29">
        <v>265</v>
      </c>
      <c r="G29" t="s">
        <v>12</v>
      </c>
      <c r="H29" s="4">
        <v>46008</v>
      </c>
      <c r="I29" t="s">
        <v>13</v>
      </c>
      <c r="J29">
        <v>2.75</v>
      </c>
      <c r="K29" s="3">
        <v>83.99</v>
      </c>
    </row>
    <row r="30" spans="1:11" x14ac:dyDescent="0.25">
      <c r="A30">
        <v>374420</v>
      </c>
      <c r="B30" t="s">
        <v>20</v>
      </c>
      <c r="C30" s="3">
        <v>16.7</v>
      </c>
      <c r="D30" s="3">
        <v>15.74</v>
      </c>
      <c r="E30" s="3">
        <v>0</v>
      </c>
      <c r="F30">
        <v>265</v>
      </c>
      <c r="G30" t="s">
        <v>12</v>
      </c>
      <c r="H30" s="4">
        <v>46008</v>
      </c>
      <c r="I30" t="s">
        <v>21</v>
      </c>
      <c r="J30">
        <v>5.25</v>
      </c>
      <c r="K30" s="3">
        <v>203.81</v>
      </c>
    </row>
    <row r="31" spans="1:11" x14ac:dyDescent="0.25">
      <c r="A31">
        <v>374420</v>
      </c>
      <c r="B31" t="s">
        <v>20</v>
      </c>
      <c r="C31" s="3">
        <v>16.7</v>
      </c>
      <c r="D31" s="3">
        <v>15.74</v>
      </c>
      <c r="E31" s="3">
        <v>0</v>
      </c>
      <c r="F31">
        <v>265</v>
      </c>
      <c r="G31" t="s">
        <v>12</v>
      </c>
      <c r="H31" s="4">
        <v>46008</v>
      </c>
      <c r="I31" t="s">
        <v>22</v>
      </c>
      <c r="J31">
        <v>0.5</v>
      </c>
      <c r="K31" s="3">
        <v>19.66</v>
      </c>
    </row>
    <row r="32" spans="1:11" x14ac:dyDescent="0.25">
      <c r="A32">
        <v>374420</v>
      </c>
      <c r="B32" t="s">
        <v>20</v>
      </c>
      <c r="C32" s="3">
        <v>16.7</v>
      </c>
      <c r="D32" s="3">
        <v>15.74</v>
      </c>
      <c r="E32" s="3">
        <v>0</v>
      </c>
      <c r="F32">
        <v>265</v>
      </c>
      <c r="G32" t="s">
        <v>12</v>
      </c>
      <c r="H32" s="4">
        <v>46009</v>
      </c>
      <c r="I32" t="s">
        <v>13</v>
      </c>
      <c r="J32">
        <v>2</v>
      </c>
      <c r="K32" s="3">
        <v>61.08</v>
      </c>
    </row>
    <row r="33" spans="1:11" x14ac:dyDescent="0.25">
      <c r="A33">
        <v>374420</v>
      </c>
      <c r="B33" t="s">
        <v>20</v>
      </c>
      <c r="C33" s="3">
        <v>16.7</v>
      </c>
      <c r="D33" s="3">
        <v>15.74</v>
      </c>
      <c r="E33" s="3">
        <v>0</v>
      </c>
      <c r="F33">
        <v>265</v>
      </c>
      <c r="G33" t="s">
        <v>12</v>
      </c>
      <c r="H33" s="4">
        <v>46009</v>
      </c>
      <c r="I33" t="s">
        <v>21</v>
      </c>
      <c r="J33">
        <v>5.25</v>
      </c>
      <c r="K33" s="3">
        <v>203.81</v>
      </c>
    </row>
    <row r="34" spans="1:11" x14ac:dyDescent="0.25">
      <c r="A34">
        <v>374420</v>
      </c>
      <c r="B34" t="s">
        <v>20</v>
      </c>
      <c r="C34" s="3">
        <v>16.7</v>
      </c>
      <c r="D34" s="3">
        <v>15.74</v>
      </c>
      <c r="E34" s="3">
        <v>0</v>
      </c>
      <c r="F34">
        <v>265</v>
      </c>
      <c r="G34" t="s">
        <v>12</v>
      </c>
      <c r="H34" s="4">
        <v>46009</v>
      </c>
      <c r="I34" t="s">
        <v>23</v>
      </c>
      <c r="J34">
        <v>0.75</v>
      </c>
      <c r="K34" s="3">
        <v>21.32</v>
      </c>
    </row>
    <row r="35" spans="1:11" x14ac:dyDescent="0.25">
      <c r="A35">
        <v>374420</v>
      </c>
      <c r="B35" t="s">
        <v>20</v>
      </c>
      <c r="C35" s="3">
        <v>16.7</v>
      </c>
      <c r="D35" s="3">
        <v>15.74</v>
      </c>
      <c r="E35" s="3">
        <v>0</v>
      </c>
      <c r="F35">
        <v>265</v>
      </c>
      <c r="G35" t="s">
        <v>12</v>
      </c>
      <c r="H35" s="4">
        <v>46010</v>
      </c>
      <c r="I35" t="s">
        <v>13</v>
      </c>
      <c r="J35">
        <v>2.75</v>
      </c>
      <c r="K35" s="3">
        <v>83.99</v>
      </c>
    </row>
    <row r="36" spans="1:11" x14ac:dyDescent="0.25">
      <c r="A36">
        <v>374420</v>
      </c>
      <c r="B36" t="s">
        <v>20</v>
      </c>
      <c r="C36" s="3">
        <v>16.7</v>
      </c>
      <c r="D36" s="3">
        <v>15.74</v>
      </c>
      <c r="E36" s="3">
        <v>0</v>
      </c>
      <c r="F36">
        <v>265</v>
      </c>
      <c r="G36" t="s">
        <v>12</v>
      </c>
      <c r="H36" s="4">
        <v>46010</v>
      </c>
      <c r="I36" t="s">
        <v>21</v>
      </c>
      <c r="J36">
        <v>5</v>
      </c>
      <c r="K36" s="3">
        <v>194.1</v>
      </c>
    </row>
    <row r="37" spans="1:11" x14ac:dyDescent="0.25">
      <c r="A37">
        <v>374420</v>
      </c>
      <c r="B37" t="s">
        <v>20</v>
      </c>
      <c r="C37" s="3">
        <v>16.7</v>
      </c>
      <c r="D37" s="3">
        <v>15.74</v>
      </c>
      <c r="E37" s="3">
        <v>0</v>
      </c>
      <c r="F37">
        <v>265</v>
      </c>
      <c r="G37" t="s">
        <v>12</v>
      </c>
      <c r="H37" s="4">
        <v>46011</v>
      </c>
      <c r="I37" t="s">
        <v>24</v>
      </c>
      <c r="J37">
        <v>3</v>
      </c>
      <c r="K37" s="3">
        <v>109.62</v>
      </c>
    </row>
    <row r="38" spans="1:11" x14ac:dyDescent="0.25">
      <c r="A38">
        <v>374420</v>
      </c>
      <c r="B38" t="s">
        <v>20</v>
      </c>
      <c r="C38" s="3">
        <v>16.7</v>
      </c>
      <c r="D38" s="3">
        <v>15.74</v>
      </c>
      <c r="E38" s="3">
        <v>0</v>
      </c>
      <c r="F38">
        <v>265</v>
      </c>
      <c r="G38" t="s">
        <v>12</v>
      </c>
      <c r="H38" s="4">
        <v>46011</v>
      </c>
      <c r="I38" t="s">
        <v>25</v>
      </c>
      <c r="J38">
        <v>1</v>
      </c>
      <c r="K38" s="3">
        <v>40.6</v>
      </c>
    </row>
    <row r="39" spans="1:11" x14ac:dyDescent="0.25">
      <c r="A39">
        <v>374526</v>
      </c>
      <c r="B39" t="s">
        <v>26</v>
      </c>
      <c r="C39" s="3">
        <v>17.21</v>
      </c>
      <c r="D39" s="3">
        <v>16.22</v>
      </c>
      <c r="E39" s="3">
        <v>0</v>
      </c>
      <c r="F39">
        <v>261</v>
      </c>
      <c r="G39" t="s">
        <v>12</v>
      </c>
      <c r="H39" s="4">
        <v>46006</v>
      </c>
      <c r="I39" t="s">
        <v>13</v>
      </c>
      <c r="J39">
        <v>2.5</v>
      </c>
      <c r="K39" s="3">
        <v>78.45</v>
      </c>
    </row>
    <row r="40" spans="1:11" x14ac:dyDescent="0.25">
      <c r="A40">
        <v>374526</v>
      </c>
      <c r="B40" t="s">
        <v>26</v>
      </c>
      <c r="C40" s="3">
        <v>17.21</v>
      </c>
      <c r="D40" s="3">
        <v>16.22</v>
      </c>
      <c r="E40" s="3">
        <v>0</v>
      </c>
      <c r="F40">
        <v>261</v>
      </c>
      <c r="G40" t="s">
        <v>12</v>
      </c>
      <c r="H40" s="4">
        <v>46006</v>
      </c>
      <c r="I40" t="s">
        <v>21</v>
      </c>
      <c r="J40">
        <v>5</v>
      </c>
      <c r="K40" s="3">
        <v>199.55</v>
      </c>
    </row>
    <row r="41" spans="1:11" x14ac:dyDescent="0.25">
      <c r="A41">
        <v>374526</v>
      </c>
      <c r="B41" t="s">
        <v>26</v>
      </c>
      <c r="C41" s="3">
        <v>17.21</v>
      </c>
      <c r="D41" s="3">
        <v>16.22</v>
      </c>
      <c r="E41" s="3">
        <v>0</v>
      </c>
      <c r="F41">
        <v>261</v>
      </c>
      <c r="G41" t="s">
        <v>12</v>
      </c>
      <c r="H41" s="4">
        <v>46006</v>
      </c>
      <c r="I41" t="s">
        <v>22</v>
      </c>
      <c r="J41">
        <v>0.75</v>
      </c>
      <c r="K41" s="3">
        <v>30.32</v>
      </c>
    </row>
    <row r="42" spans="1:11" x14ac:dyDescent="0.25">
      <c r="A42">
        <v>374526</v>
      </c>
      <c r="B42" t="s">
        <v>26</v>
      </c>
      <c r="C42" s="3">
        <v>17.21</v>
      </c>
      <c r="D42" s="3">
        <v>16.22</v>
      </c>
      <c r="E42" s="3">
        <v>0</v>
      </c>
      <c r="F42">
        <v>261</v>
      </c>
      <c r="G42" t="s">
        <v>12</v>
      </c>
      <c r="H42" s="4">
        <v>46007</v>
      </c>
      <c r="I42" t="s">
        <v>13</v>
      </c>
      <c r="J42">
        <v>2.25</v>
      </c>
      <c r="K42" s="3">
        <v>70.61</v>
      </c>
    </row>
    <row r="43" spans="1:11" x14ac:dyDescent="0.25">
      <c r="A43">
        <v>374526</v>
      </c>
      <c r="B43" t="s">
        <v>26</v>
      </c>
      <c r="C43" s="3">
        <v>17.21</v>
      </c>
      <c r="D43" s="3">
        <v>16.22</v>
      </c>
      <c r="E43" s="3">
        <v>0</v>
      </c>
      <c r="F43">
        <v>261</v>
      </c>
      <c r="G43" t="s">
        <v>12</v>
      </c>
      <c r="H43" s="4">
        <v>46007</v>
      </c>
      <c r="I43" t="s">
        <v>21</v>
      </c>
      <c r="J43">
        <v>5.25</v>
      </c>
      <c r="K43" s="3">
        <v>209.53</v>
      </c>
    </row>
    <row r="44" spans="1:11" x14ac:dyDescent="0.25">
      <c r="A44">
        <v>374526</v>
      </c>
      <c r="B44" t="s">
        <v>26</v>
      </c>
      <c r="C44" s="3">
        <v>17.21</v>
      </c>
      <c r="D44" s="3">
        <v>16.22</v>
      </c>
      <c r="E44" s="3">
        <v>0</v>
      </c>
      <c r="F44">
        <v>261</v>
      </c>
      <c r="G44" t="s">
        <v>12</v>
      </c>
      <c r="H44" s="4">
        <v>46007</v>
      </c>
      <c r="I44" t="s">
        <v>22</v>
      </c>
      <c r="J44">
        <v>0.5</v>
      </c>
      <c r="K44" s="3">
        <v>20.22</v>
      </c>
    </row>
    <row r="45" spans="1:11" x14ac:dyDescent="0.25">
      <c r="A45">
        <v>374526</v>
      </c>
      <c r="B45" t="s">
        <v>26</v>
      </c>
      <c r="C45" s="3">
        <v>17.21</v>
      </c>
      <c r="D45" s="3">
        <v>16.22</v>
      </c>
      <c r="E45" s="3">
        <v>0</v>
      </c>
      <c r="F45">
        <v>261</v>
      </c>
      <c r="G45" t="s">
        <v>12</v>
      </c>
      <c r="H45" s="4">
        <v>46008</v>
      </c>
      <c r="I45" t="s">
        <v>13</v>
      </c>
      <c r="J45">
        <v>2.25</v>
      </c>
      <c r="K45" s="3">
        <v>70.61</v>
      </c>
    </row>
    <row r="46" spans="1:11" x14ac:dyDescent="0.25">
      <c r="A46">
        <v>374526</v>
      </c>
      <c r="B46" t="s">
        <v>26</v>
      </c>
      <c r="C46" s="3">
        <v>17.21</v>
      </c>
      <c r="D46" s="3">
        <v>16.22</v>
      </c>
      <c r="E46" s="3">
        <v>0</v>
      </c>
      <c r="F46">
        <v>261</v>
      </c>
      <c r="G46" t="s">
        <v>12</v>
      </c>
      <c r="H46" s="4">
        <v>46008</v>
      </c>
      <c r="I46" t="s">
        <v>21</v>
      </c>
      <c r="J46">
        <v>5.25</v>
      </c>
      <c r="K46" s="3">
        <v>209.53</v>
      </c>
    </row>
    <row r="47" spans="1:11" x14ac:dyDescent="0.25">
      <c r="A47">
        <v>374526</v>
      </c>
      <c r="B47" t="s">
        <v>26</v>
      </c>
      <c r="C47" s="3">
        <v>17.21</v>
      </c>
      <c r="D47" s="3">
        <v>16.22</v>
      </c>
      <c r="E47" s="3">
        <v>0</v>
      </c>
      <c r="F47">
        <v>261</v>
      </c>
      <c r="G47" t="s">
        <v>12</v>
      </c>
      <c r="H47" s="4">
        <v>46008</v>
      </c>
      <c r="I47" t="s">
        <v>22</v>
      </c>
      <c r="J47">
        <v>0.5</v>
      </c>
      <c r="K47" s="3">
        <v>20.22</v>
      </c>
    </row>
    <row r="48" spans="1:11" x14ac:dyDescent="0.25">
      <c r="A48">
        <v>374526</v>
      </c>
      <c r="B48" t="s">
        <v>26</v>
      </c>
      <c r="C48" s="3">
        <v>17.21</v>
      </c>
      <c r="D48" s="3">
        <v>16.22</v>
      </c>
      <c r="E48" s="3">
        <v>0</v>
      </c>
      <c r="F48">
        <v>261</v>
      </c>
      <c r="G48" t="s">
        <v>12</v>
      </c>
      <c r="H48" s="4">
        <v>46009</v>
      </c>
      <c r="I48" t="s">
        <v>13</v>
      </c>
      <c r="J48">
        <v>2.25</v>
      </c>
      <c r="K48" s="3">
        <v>70.61</v>
      </c>
    </row>
    <row r="49" spans="1:11" x14ac:dyDescent="0.25">
      <c r="A49">
        <v>374526</v>
      </c>
      <c r="B49" t="s">
        <v>26</v>
      </c>
      <c r="C49" s="3">
        <v>17.21</v>
      </c>
      <c r="D49" s="3">
        <v>16.22</v>
      </c>
      <c r="E49" s="3">
        <v>0</v>
      </c>
      <c r="F49">
        <v>261</v>
      </c>
      <c r="G49" t="s">
        <v>12</v>
      </c>
      <c r="H49" s="4">
        <v>46009</v>
      </c>
      <c r="I49" t="s">
        <v>21</v>
      </c>
      <c r="J49">
        <v>5</v>
      </c>
      <c r="K49" s="3">
        <v>199.55</v>
      </c>
    </row>
    <row r="50" spans="1:11" x14ac:dyDescent="0.25">
      <c r="A50">
        <v>374526</v>
      </c>
      <c r="B50" t="s">
        <v>26</v>
      </c>
      <c r="C50" s="3">
        <v>17.21</v>
      </c>
      <c r="D50" s="3">
        <v>16.22</v>
      </c>
      <c r="E50" s="3">
        <v>0</v>
      </c>
      <c r="F50">
        <v>261</v>
      </c>
      <c r="G50" t="s">
        <v>12</v>
      </c>
      <c r="H50" s="4">
        <v>46009</v>
      </c>
      <c r="I50" t="s">
        <v>22</v>
      </c>
      <c r="J50">
        <v>0.75</v>
      </c>
      <c r="K50" s="3">
        <v>30.32</v>
      </c>
    </row>
    <row r="51" spans="1:11" x14ac:dyDescent="0.25">
      <c r="A51">
        <v>374526</v>
      </c>
      <c r="B51" t="s">
        <v>26</v>
      </c>
      <c r="C51" s="3">
        <v>17.21</v>
      </c>
      <c r="D51" s="3">
        <v>16.22</v>
      </c>
      <c r="E51" s="3">
        <v>0</v>
      </c>
      <c r="F51">
        <v>261</v>
      </c>
      <c r="G51" t="s">
        <v>12</v>
      </c>
      <c r="H51" s="4">
        <v>46010</v>
      </c>
      <c r="I51" t="s">
        <v>13</v>
      </c>
      <c r="J51">
        <v>2.25</v>
      </c>
      <c r="K51" s="3">
        <v>70.61</v>
      </c>
    </row>
    <row r="52" spans="1:11" x14ac:dyDescent="0.25">
      <c r="A52">
        <v>374526</v>
      </c>
      <c r="B52" t="s">
        <v>26</v>
      </c>
      <c r="C52" s="3">
        <v>17.21</v>
      </c>
      <c r="D52" s="3">
        <v>16.22</v>
      </c>
      <c r="E52" s="3">
        <v>0</v>
      </c>
      <c r="F52">
        <v>261</v>
      </c>
      <c r="G52" t="s">
        <v>12</v>
      </c>
      <c r="H52" s="4">
        <v>46010</v>
      </c>
      <c r="I52" t="s">
        <v>21</v>
      </c>
      <c r="J52">
        <v>4.5</v>
      </c>
      <c r="K52" s="3">
        <v>179.6</v>
      </c>
    </row>
    <row r="53" spans="1:11" x14ac:dyDescent="0.25">
      <c r="A53">
        <v>374549</v>
      </c>
      <c r="B53" t="s">
        <v>27</v>
      </c>
      <c r="C53" s="3">
        <v>16.510000000000002</v>
      </c>
      <c r="D53" s="3">
        <v>15.56</v>
      </c>
      <c r="E53" s="3">
        <v>0</v>
      </c>
      <c r="F53">
        <v>201</v>
      </c>
      <c r="G53" t="s">
        <v>19</v>
      </c>
      <c r="H53" s="4">
        <v>46006</v>
      </c>
      <c r="I53" t="s">
        <v>13</v>
      </c>
      <c r="J53">
        <v>2.25</v>
      </c>
      <c r="K53" s="3">
        <v>70.13</v>
      </c>
    </row>
    <row r="54" spans="1:11" x14ac:dyDescent="0.25">
      <c r="A54">
        <v>374549</v>
      </c>
      <c r="B54" t="s">
        <v>27</v>
      </c>
      <c r="C54" s="3">
        <v>16.510000000000002</v>
      </c>
      <c r="D54" s="3">
        <v>15.56</v>
      </c>
      <c r="E54" s="3">
        <v>0</v>
      </c>
      <c r="F54">
        <v>201</v>
      </c>
      <c r="G54" t="s">
        <v>19</v>
      </c>
      <c r="H54" s="4">
        <v>46006</v>
      </c>
      <c r="I54" t="s">
        <v>21</v>
      </c>
      <c r="J54">
        <v>4.5</v>
      </c>
      <c r="K54" s="3">
        <v>178.34</v>
      </c>
    </row>
    <row r="55" spans="1:11" x14ac:dyDescent="0.25">
      <c r="A55">
        <v>374549</v>
      </c>
      <c r="B55" t="s">
        <v>27</v>
      </c>
      <c r="C55" s="3">
        <v>16.510000000000002</v>
      </c>
      <c r="D55" s="3">
        <v>15.56</v>
      </c>
      <c r="E55" s="3">
        <v>0</v>
      </c>
      <c r="F55">
        <v>201</v>
      </c>
      <c r="G55" t="s">
        <v>19</v>
      </c>
      <c r="H55" s="4">
        <v>46007</v>
      </c>
      <c r="I55" t="s">
        <v>13</v>
      </c>
      <c r="J55">
        <v>2.25</v>
      </c>
      <c r="K55" s="3">
        <v>70.13</v>
      </c>
    </row>
    <row r="56" spans="1:11" x14ac:dyDescent="0.25">
      <c r="A56">
        <v>374549</v>
      </c>
      <c r="B56" t="s">
        <v>27</v>
      </c>
      <c r="C56" s="3">
        <v>16.510000000000002</v>
      </c>
      <c r="D56" s="3">
        <v>15.56</v>
      </c>
      <c r="E56" s="3">
        <v>0</v>
      </c>
      <c r="F56">
        <v>201</v>
      </c>
      <c r="G56" t="s">
        <v>19</v>
      </c>
      <c r="H56" s="4">
        <v>46007</v>
      </c>
      <c r="I56" t="s">
        <v>21</v>
      </c>
      <c r="J56">
        <v>5</v>
      </c>
      <c r="K56" s="3">
        <v>198.15</v>
      </c>
    </row>
    <row r="57" spans="1:11" x14ac:dyDescent="0.25">
      <c r="A57">
        <v>374549</v>
      </c>
      <c r="B57" t="s">
        <v>27</v>
      </c>
      <c r="C57" s="3">
        <v>16.510000000000002</v>
      </c>
      <c r="D57" s="3">
        <v>15.56</v>
      </c>
      <c r="E57" s="3">
        <v>0</v>
      </c>
      <c r="F57">
        <v>201</v>
      </c>
      <c r="G57" t="s">
        <v>19</v>
      </c>
      <c r="H57" s="4">
        <v>46009</v>
      </c>
      <c r="I57" t="s">
        <v>13</v>
      </c>
      <c r="J57">
        <v>2</v>
      </c>
      <c r="K57" s="3">
        <v>62.34</v>
      </c>
    </row>
    <row r="58" spans="1:11" x14ac:dyDescent="0.25">
      <c r="A58">
        <v>374549</v>
      </c>
      <c r="B58" t="s">
        <v>27</v>
      </c>
      <c r="C58" s="3">
        <v>16.510000000000002</v>
      </c>
      <c r="D58" s="3">
        <v>15.56</v>
      </c>
      <c r="E58" s="3">
        <v>0</v>
      </c>
      <c r="F58">
        <v>201</v>
      </c>
      <c r="G58" t="s">
        <v>19</v>
      </c>
      <c r="H58" s="4">
        <v>46009</v>
      </c>
      <c r="I58" t="s">
        <v>21</v>
      </c>
      <c r="J58">
        <v>5.25</v>
      </c>
      <c r="K58" s="3">
        <v>208.06</v>
      </c>
    </row>
    <row r="59" spans="1:11" x14ac:dyDescent="0.25">
      <c r="A59">
        <v>374549</v>
      </c>
      <c r="B59" t="s">
        <v>27</v>
      </c>
      <c r="C59" s="3">
        <v>16.510000000000002</v>
      </c>
      <c r="D59" s="3">
        <v>15.56</v>
      </c>
      <c r="E59" s="3">
        <v>0</v>
      </c>
      <c r="F59">
        <v>201</v>
      </c>
      <c r="G59" t="s">
        <v>19</v>
      </c>
      <c r="H59" s="4">
        <v>46010</v>
      </c>
      <c r="I59" t="s">
        <v>13</v>
      </c>
      <c r="J59">
        <v>2.25</v>
      </c>
      <c r="K59" s="3">
        <v>70.13</v>
      </c>
    </row>
    <row r="60" spans="1:11" x14ac:dyDescent="0.25">
      <c r="A60">
        <v>374549</v>
      </c>
      <c r="B60" t="s">
        <v>27</v>
      </c>
      <c r="C60" s="3">
        <v>16.510000000000002</v>
      </c>
      <c r="D60" s="3">
        <v>15.56</v>
      </c>
      <c r="E60" s="3">
        <v>0</v>
      </c>
      <c r="F60">
        <v>201</v>
      </c>
      <c r="G60" t="s">
        <v>19</v>
      </c>
      <c r="H60" s="4">
        <v>46010</v>
      </c>
      <c r="I60" t="s">
        <v>21</v>
      </c>
      <c r="J60">
        <v>3.75</v>
      </c>
      <c r="K60" s="3">
        <v>148.61000000000001</v>
      </c>
    </row>
    <row r="61" spans="1:11" x14ac:dyDescent="0.25">
      <c r="A61">
        <v>374549</v>
      </c>
      <c r="B61" t="s">
        <v>27</v>
      </c>
      <c r="C61" s="3">
        <v>16.510000000000002</v>
      </c>
      <c r="D61" s="3">
        <v>15.56</v>
      </c>
      <c r="E61" s="3">
        <v>0</v>
      </c>
      <c r="F61">
        <v>201</v>
      </c>
      <c r="G61" t="s">
        <v>19</v>
      </c>
      <c r="H61" s="4">
        <v>46011</v>
      </c>
      <c r="I61" t="s">
        <v>22</v>
      </c>
      <c r="J61">
        <v>4.75</v>
      </c>
      <c r="K61" s="3">
        <v>190.67</v>
      </c>
    </row>
    <row r="62" spans="1:11" x14ac:dyDescent="0.25">
      <c r="A62">
        <v>374717</v>
      </c>
      <c r="B62" t="s">
        <v>28</v>
      </c>
      <c r="C62" s="3">
        <v>16.510000000000002</v>
      </c>
      <c r="D62" s="3">
        <v>15.56</v>
      </c>
      <c r="E62" s="3">
        <v>0</v>
      </c>
      <c r="F62">
        <v>207</v>
      </c>
      <c r="G62" t="s">
        <v>19</v>
      </c>
      <c r="H62" s="4">
        <v>46006</v>
      </c>
      <c r="I62" t="s">
        <v>13</v>
      </c>
      <c r="J62">
        <v>8</v>
      </c>
      <c r="K62" s="3">
        <v>249.36</v>
      </c>
    </row>
    <row r="63" spans="1:11" x14ac:dyDescent="0.25">
      <c r="A63">
        <v>374717</v>
      </c>
      <c r="B63" t="s">
        <v>28</v>
      </c>
      <c r="C63" s="3">
        <v>16.510000000000002</v>
      </c>
      <c r="D63" s="3">
        <v>15.56</v>
      </c>
      <c r="E63" s="3">
        <v>0</v>
      </c>
      <c r="F63">
        <v>207</v>
      </c>
      <c r="G63" t="s">
        <v>19</v>
      </c>
      <c r="H63" s="4">
        <v>46007</v>
      </c>
      <c r="I63" t="s">
        <v>13</v>
      </c>
      <c r="J63">
        <v>8</v>
      </c>
      <c r="K63" s="3">
        <v>249.36</v>
      </c>
    </row>
    <row r="64" spans="1:11" x14ac:dyDescent="0.25">
      <c r="A64">
        <v>374717</v>
      </c>
      <c r="B64" t="s">
        <v>28</v>
      </c>
      <c r="C64" s="3">
        <v>16.510000000000002</v>
      </c>
      <c r="D64" s="3">
        <v>15.56</v>
      </c>
      <c r="E64" s="3">
        <v>0</v>
      </c>
      <c r="F64">
        <v>207</v>
      </c>
      <c r="G64" t="s">
        <v>19</v>
      </c>
      <c r="H64" s="4">
        <v>46008</v>
      </c>
      <c r="I64" t="s">
        <v>13</v>
      </c>
      <c r="J64">
        <v>8</v>
      </c>
      <c r="K64" s="3">
        <v>249.36</v>
      </c>
    </row>
    <row r="65" spans="1:11" x14ac:dyDescent="0.25">
      <c r="A65">
        <v>374717</v>
      </c>
      <c r="B65" t="s">
        <v>28</v>
      </c>
      <c r="C65" s="3">
        <v>16.510000000000002</v>
      </c>
      <c r="D65" s="3">
        <v>15.56</v>
      </c>
      <c r="E65" s="3">
        <v>0</v>
      </c>
      <c r="F65">
        <v>207</v>
      </c>
      <c r="G65" t="s">
        <v>19</v>
      </c>
      <c r="H65" s="4">
        <v>46009</v>
      </c>
      <c r="I65" t="s">
        <v>13</v>
      </c>
      <c r="J65">
        <v>3.25</v>
      </c>
      <c r="K65" s="3">
        <v>101.3</v>
      </c>
    </row>
    <row r="66" spans="1:11" x14ac:dyDescent="0.25">
      <c r="A66">
        <v>374816</v>
      </c>
      <c r="B66" t="s">
        <v>29</v>
      </c>
      <c r="C66" s="3">
        <v>16.510000000000002</v>
      </c>
      <c r="D66" s="3">
        <v>15.56</v>
      </c>
      <c r="E66" s="3">
        <v>0</v>
      </c>
      <c r="F66">
        <v>184</v>
      </c>
      <c r="G66" t="s">
        <v>19</v>
      </c>
      <c r="H66" s="4">
        <v>46006</v>
      </c>
      <c r="I66" t="s">
        <v>13</v>
      </c>
      <c r="J66">
        <v>2.25</v>
      </c>
      <c r="K66" s="3">
        <v>70.13</v>
      </c>
    </row>
    <row r="67" spans="1:11" x14ac:dyDescent="0.25">
      <c r="A67">
        <v>374816</v>
      </c>
      <c r="B67" t="s">
        <v>29</v>
      </c>
      <c r="C67" s="3">
        <v>16.510000000000002</v>
      </c>
      <c r="D67" s="3">
        <v>15.56</v>
      </c>
      <c r="E67" s="3">
        <v>0</v>
      </c>
      <c r="F67">
        <v>184</v>
      </c>
      <c r="G67" t="s">
        <v>19</v>
      </c>
      <c r="H67" s="4">
        <v>46006</v>
      </c>
      <c r="I67" t="s">
        <v>21</v>
      </c>
      <c r="J67">
        <v>5</v>
      </c>
      <c r="K67" s="3">
        <v>198.15</v>
      </c>
    </row>
    <row r="68" spans="1:11" x14ac:dyDescent="0.25">
      <c r="A68">
        <v>374816</v>
      </c>
      <c r="B68" t="s">
        <v>29</v>
      </c>
      <c r="C68" s="3">
        <v>16.510000000000002</v>
      </c>
      <c r="D68" s="3">
        <v>15.56</v>
      </c>
      <c r="E68" s="3">
        <v>0</v>
      </c>
      <c r="F68">
        <v>184</v>
      </c>
      <c r="G68" t="s">
        <v>19</v>
      </c>
      <c r="H68" s="4">
        <v>46007</v>
      </c>
      <c r="I68" t="s">
        <v>13</v>
      </c>
      <c r="J68">
        <v>2.25</v>
      </c>
      <c r="K68" s="3">
        <v>70.13</v>
      </c>
    </row>
    <row r="69" spans="1:11" x14ac:dyDescent="0.25">
      <c r="A69">
        <v>374816</v>
      </c>
      <c r="B69" t="s">
        <v>29</v>
      </c>
      <c r="C69" s="3">
        <v>16.510000000000002</v>
      </c>
      <c r="D69" s="3">
        <v>15.56</v>
      </c>
      <c r="E69" s="3">
        <v>0</v>
      </c>
      <c r="F69">
        <v>184</v>
      </c>
      <c r="G69" t="s">
        <v>19</v>
      </c>
      <c r="H69" s="4">
        <v>46007</v>
      </c>
      <c r="I69" t="s">
        <v>21</v>
      </c>
      <c r="J69">
        <v>4.25</v>
      </c>
      <c r="K69" s="3">
        <v>168.43</v>
      </c>
    </row>
    <row r="70" spans="1:11" x14ac:dyDescent="0.25">
      <c r="A70">
        <v>374816</v>
      </c>
      <c r="B70" t="s">
        <v>29</v>
      </c>
      <c r="C70" s="3">
        <v>16.510000000000002</v>
      </c>
      <c r="D70" s="3">
        <v>15.56</v>
      </c>
      <c r="E70" s="3">
        <v>0</v>
      </c>
      <c r="F70">
        <v>184</v>
      </c>
      <c r="G70" t="s">
        <v>19</v>
      </c>
      <c r="H70" s="4">
        <v>46008</v>
      </c>
      <c r="I70" t="s">
        <v>13</v>
      </c>
      <c r="J70">
        <v>2.25</v>
      </c>
      <c r="K70" s="3">
        <v>70.13</v>
      </c>
    </row>
    <row r="71" spans="1:11" x14ac:dyDescent="0.25">
      <c r="A71">
        <v>374816</v>
      </c>
      <c r="B71" t="s">
        <v>29</v>
      </c>
      <c r="C71" s="3">
        <v>16.510000000000002</v>
      </c>
      <c r="D71" s="3">
        <v>15.56</v>
      </c>
      <c r="E71" s="3">
        <v>0</v>
      </c>
      <c r="F71">
        <v>184</v>
      </c>
      <c r="G71" t="s">
        <v>19</v>
      </c>
      <c r="H71" s="4">
        <v>46008</v>
      </c>
      <c r="I71" t="s">
        <v>21</v>
      </c>
      <c r="J71">
        <v>4.75</v>
      </c>
      <c r="K71" s="3">
        <v>188.24</v>
      </c>
    </row>
    <row r="72" spans="1:11" x14ac:dyDescent="0.25">
      <c r="A72">
        <v>374816</v>
      </c>
      <c r="B72" t="s">
        <v>29</v>
      </c>
      <c r="C72" s="3">
        <v>16.510000000000002</v>
      </c>
      <c r="D72" s="3">
        <v>15.56</v>
      </c>
      <c r="E72" s="3">
        <v>0</v>
      </c>
      <c r="F72">
        <v>184</v>
      </c>
      <c r="G72" t="s">
        <v>19</v>
      </c>
      <c r="H72" s="4">
        <v>46009</v>
      </c>
      <c r="I72" t="s">
        <v>13</v>
      </c>
      <c r="J72">
        <v>2.25</v>
      </c>
      <c r="K72" s="3">
        <v>70.13</v>
      </c>
    </row>
    <row r="73" spans="1:11" x14ac:dyDescent="0.25">
      <c r="A73">
        <v>374816</v>
      </c>
      <c r="B73" t="s">
        <v>29</v>
      </c>
      <c r="C73" s="3">
        <v>16.510000000000002</v>
      </c>
      <c r="D73" s="3">
        <v>15.56</v>
      </c>
      <c r="E73" s="3">
        <v>0</v>
      </c>
      <c r="F73">
        <v>184</v>
      </c>
      <c r="G73" t="s">
        <v>19</v>
      </c>
      <c r="H73" s="4">
        <v>46009</v>
      </c>
      <c r="I73" t="s">
        <v>21</v>
      </c>
      <c r="J73">
        <v>4.5</v>
      </c>
      <c r="K73" s="3">
        <v>178.34</v>
      </c>
    </row>
    <row r="74" spans="1:11" x14ac:dyDescent="0.25">
      <c r="A74">
        <v>374816</v>
      </c>
      <c r="B74" t="s">
        <v>29</v>
      </c>
      <c r="C74" s="3">
        <v>16.510000000000002</v>
      </c>
      <c r="D74" s="3">
        <v>15.56</v>
      </c>
      <c r="E74" s="3">
        <v>0</v>
      </c>
      <c r="F74">
        <v>184</v>
      </c>
      <c r="G74" t="s">
        <v>19</v>
      </c>
      <c r="H74" s="4">
        <v>46010</v>
      </c>
      <c r="I74" t="s">
        <v>13</v>
      </c>
      <c r="J74">
        <v>2.25</v>
      </c>
      <c r="K74" s="3">
        <v>70.13</v>
      </c>
    </row>
    <row r="75" spans="1:11" x14ac:dyDescent="0.25">
      <c r="A75">
        <v>374816</v>
      </c>
      <c r="B75" t="s">
        <v>29</v>
      </c>
      <c r="C75" s="3">
        <v>16.510000000000002</v>
      </c>
      <c r="D75" s="3">
        <v>15.56</v>
      </c>
      <c r="E75" s="3">
        <v>0</v>
      </c>
      <c r="F75">
        <v>184</v>
      </c>
      <c r="G75" t="s">
        <v>19</v>
      </c>
      <c r="H75" s="4">
        <v>46010</v>
      </c>
      <c r="I75" t="s">
        <v>21</v>
      </c>
      <c r="J75">
        <v>3.75</v>
      </c>
      <c r="K75" s="3">
        <v>148.61000000000001</v>
      </c>
    </row>
    <row r="76" spans="1:11" x14ac:dyDescent="0.25">
      <c r="A76">
        <v>374877</v>
      </c>
      <c r="B76" t="s">
        <v>30</v>
      </c>
      <c r="C76" s="3">
        <v>16.510000000000002</v>
      </c>
      <c r="D76" s="3">
        <v>15.56</v>
      </c>
      <c r="E76" s="3">
        <v>0</v>
      </c>
      <c r="F76">
        <v>198</v>
      </c>
      <c r="G76" t="s">
        <v>19</v>
      </c>
      <c r="H76" s="4">
        <v>46006</v>
      </c>
      <c r="I76" t="s">
        <v>13</v>
      </c>
      <c r="J76">
        <v>6</v>
      </c>
      <c r="K76" s="3">
        <v>187.02</v>
      </c>
    </row>
    <row r="77" spans="1:11" x14ac:dyDescent="0.25">
      <c r="A77">
        <v>374877</v>
      </c>
      <c r="B77" t="s">
        <v>30</v>
      </c>
      <c r="C77" s="3">
        <v>16.510000000000002</v>
      </c>
      <c r="D77" s="3">
        <v>15.56</v>
      </c>
      <c r="E77" s="3">
        <v>0</v>
      </c>
      <c r="F77">
        <v>198</v>
      </c>
      <c r="G77" t="s">
        <v>19</v>
      </c>
      <c r="H77" s="4">
        <v>46007</v>
      </c>
      <c r="I77" t="s">
        <v>13</v>
      </c>
      <c r="J77">
        <v>6</v>
      </c>
      <c r="K77" s="3">
        <v>187.02</v>
      </c>
    </row>
    <row r="78" spans="1:11" x14ac:dyDescent="0.25">
      <c r="A78">
        <v>374877</v>
      </c>
      <c r="B78" t="s">
        <v>30</v>
      </c>
      <c r="C78" s="3">
        <v>16.510000000000002</v>
      </c>
      <c r="D78" s="3">
        <v>15.56</v>
      </c>
      <c r="E78" s="3">
        <v>0</v>
      </c>
      <c r="F78">
        <v>198</v>
      </c>
      <c r="G78" t="s">
        <v>19</v>
      </c>
      <c r="H78" s="4">
        <v>46008</v>
      </c>
      <c r="I78" t="s">
        <v>13</v>
      </c>
      <c r="J78">
        <v>6</v>
      </c>
      <c r="K78" s="3">
        <v>187.02</v>
      </c>
    </row>
    <row r="79" spans="1:11" x14ac:dyDescent="0.25">
      <c r="A79">
        <v>374877</v>
      </c>
      <c r="B79" t="s">
        <v>30</v>
      </c>
      <c r="C79" s="3">
        <v>16.510000000000002</v>
      </c>
      <c r="D79" s="3">
        <v>15.56</v>
      </c>
      <c r="E79" s="3">
        <v>0</v>
      </c>
      <c r="F79">
        <v>198</v>
      </c>
      <c r="G79" t="s">
        <v>19</v>
      </c>
      <c r="H79" s="4">
        <v>46009</v>
      </c>
      <c r="I79" t="s">
        <v>13</v>
      </c>
      <c r="J79">
        <v>4.5</v>
      </c>
      <c r="K79" s="3">
        <v>140.27000000000001</v>
      </c>
    </row>
    <row r="80" spans="1:11" x14ac:dyDescent="0.25">
      <c r="A80">
        <v>374877</v>
      </c>
      <c r="B80" t="s">
        <v>30</v>
      </c>
      <c r="C80" s="3">
        <v>16.510000000000002</v>
      </c>
      <c r="D80" s="3">
        <v>15.56</v>
      </c>
      <c r="E80" s="3">
        <v>0</v>
      </c>
      <c r="F80">
        <v>198</v>
      </c>
      <c r="G80" t="s">
        <v>19</v>
      </c>
      <c r="H80" s="4">
        <v>46010</v>
      </c>
      <c r="I80" t="s">
        <v>13</v>
      </c>
      <c r="J80">
        <v>6</v>
      </c>
      <c r="K80" s="3">
        <v>187.02</v>
      </c>
    </row>
    <row r="81" spans="1:11" x14ac:dyDescent="0.25">
      <c r="A81">
        <v>374877</v>
      </c>
      <c r="B81" t="s">
        <v>30</v>
      </c>
      <c r="C81" s="3">
        <v>16.510000000000002</v>
      </c>
      <c r="D81" s="3">
        <v>15.56</v>
      </c>
      <c r="E81" s="3">
        <v>0</v>
      </c>
      <c r="F81">
        <v>198</v>
      </c>
      <c r="G81" t="s">
        <v>19</v>
      </c>
      <c r="H81" s="4">
        <v>46011</v>
      </c>
      <c r="I81" t="s">
        <v>22</v>
      </c>
      <c r="J81">
        <v>5</v>
      </c>
      <c r="K81" s="3">
        <v>200.7</v>
      </c>
    </row>
    <row r="82" spans="1:11" x14ac:dyDescent="0.25">
      <c r="A82">
        <v>374953</v>
      </c>
      <c r="B82" t="s">
        <v>31</v>
      </c>
      <c r="C82" s="3">
        <v>17.21</v>
      </c>
      <c r="D82" s="3">
        <v>16.22</v>
      </c>
      <c r="E82" s="3">
        <v>0</v>
      </c>
      <c r="F82">
        <v>355</v>
      </c>
      <c r="G82" t="s">
        <v>12</v>
      </c>
      <c r="H82" s="4">
        <v>46006</v>
      </c>
      <c r="I82" t="s">
        <v>13</v>
      </c>
      <c r="J82">
        <v>8.25</v>
      </c>
      <c r="K82" s="3">
        <v>258.89</v>
      </c>
    </row>
    <row r="83" spans="1:11" x14ac:dyDescent="0.25">
      <c r="A83">
        <v>374953</v>
      </c>
      <c r="B83" t="s">
        <v>31</v>
      </c>
      <c r="C83" s="3">
        <v>17.21</v>
      </c>
      <c r="D83" s="3">
        <v>16.22</v>
      </c>
      <c r="E83" s="3">
        <v>0</v>
      </c>
      <c r="F83">
        <v>355</v>
      </c>
      <c r="G83" t="s">
        <v>12</v>
      </c>
      <c r="H83" s="4">
        <v>46007</v>
      </c>
      <c r="I83" t="s">
        <v>13</v>
      </c>
      <c r="J83">
        <v>7.5</v>
      </c>
      <c r="K83" s="3">
        <v>235.35</v>
      </c>
    </row>
    <row r="84" spans="1:11" x14ac:dyDescent="0.25">
      <c r="A84">
        <v>374953</v>
      </c>
      <c r="B84" t="s">
        <v>31</v>
      </c>
      <c r="C84" s="3">
        <v>17.21</v>
      </c>
      <c r="D84" s="3">
        <v>16.22</v>
      </c>
      <c r="E84" s="3">
        <v>0</v>
      </c>
      <c r="F84">
        <v>355</v>
      </c>
      <c r="G84" t="s">
        <v>12</v>
      </c>
      <c r="H84" s="4">
        <v>46007</v>
      </c>
      <c r="I84" t="s">
        <v>23</v>
      </c>
      <c r="J84">
        <v>0.75</v>
      </c>
      <c r="K84" s="3">
        <v>21.97</v>
      </c>
    </row>
    <row r="85" spans="1:11" x14ac:dyDescent="0.25">
      <c r="A85">
        <v>374953</v>
      </c>
      <c r="B85" t="s">
        <v>31</v>
      </c>
      <c r="C85" s="3">
        <v>17.21</v>
      </c>
      <c r="D85" s="3">
        <v>16.22</v>
      </c>
      <c r="E85" s="3">
        <v>0</v>
      </c>
      <c r="F85">
        <v>355</v>
      </c>
      <c r="G85" t="s">
        <v>12</v>
      </c>
      <c r="H85" s="4">
        <v>46008</v>
      </c>
      <c r="I85" t="s">
        <v>13</v>
      </c>
      <c r="J85">
        <v>8.5</v>
      </c>
      <c r="K85" s="3">
        <v>266.73</v>
      </c>
    </row>
    <row r="86" spans="1:11" x14ac:dyDescent="0.25">
      <c r="A86">
        <v>374953</v>
      </c>
      <c r="B86" t="s">
        <v>31</v>
      </c>
      <c r="C86" s="3">
        <v>17.21</v>
      </c>
      <c r="D86" s="3">
        <v>16.22</v>
      </c>
      <c r="E86" s="3">
        <v>0</v>
      </c>
      <c r="F86">
        <v>355</v>
      </c>
      <c r="G86" t="s">
        <v>12</v>
      </c>
      <c r="H86" s="4">
        <v>46009</v>
      </c>
      <c r="I86" t="s">
        <v>13</v>
      </c>
      <c r="J86">
        <v>8</v>
      </c>
      <c r="K86" s="3">
        <v>251.04</v>
      </c>
    </row>
    <row r="87" spans="1:11" x14ac:dyDescent="0.25">
      <c r="A87">
        <v>374953</v>
      </c>
      <c r="B87" t="s">
        <v>31</v>
      </c>
      <c r="C87" s="3">
        <v>17.21</v>
      </c>
      <c r="D87" s="3">
        <v>16.22</v>
      </c>
      <c r="E87" s="3">
        <v>0</v>
      </c>
      <c r="F87">
        <v>355</v>
      </c>
      <c r="G87" t="s">
        <v>12</v>
      </c>
      <c r="H87" s="4">
        <v>46010</v>
      </c>
      <c r="I87" t="s">
        <v>13</v>
      </c>
      <c r="J87">
        <v>7.75</v>
      </c>
      <c r="K87" s="3">
        <v>243.2</v>
      </c>
    </row>
    <row r="88" spans="1:11" x14ac:dyDescent="0.25">
      <c r="A88">
        <v>375350</v>
      </c>
      <c r="B88" t="s">
        <v>32</v>
      </c>
      <c r="C88" s="3">
        <v>17.87</v>
      </c>
      <c r="D88" s="3">
        <v>16.84</v>
      </c>
      <c r="E88" s="3">
        <v>0</v>
      </c>
      <c r="F88">
        <v>56</v>
      </c>
      <c r="G88" t="s">
        <v>19</v>
      </c>
      <c r="H88" s="4">
        <v>46006</v>
      </c>
      <c r="I88" t="s">
        <v>13</v>
      </c>
      <c r="J88">
        <v>7</v>
      </c>
      <c r="K88" s="3">
        <v>234.43</v>
      </c>
    </row>
    <row r="89" spans="1:11" x14ac:dyDescent="0.25">
      <c r="A89">
        <v>375350</v>
      </c>
      <c r="B89" t="s">
        <v>32</v>
      </c>
      <c r="C89" s="3">
        <v>17.87</v>
      </c>
      <c r="D89" s="3">
        <v>16.84</v>
      </c>
      <c r="E89" s="3">
        <v>0</v>
      </c>
      <c r="F89">
        <v>56</v>
      </c>
      <c r="G89" t="s">
        <v>19</v>
      </c>
      <c r="H89" s="4">
        <v>46006</v>
      </c>
      <c r="I89" t="s">
        <v>22</v>
      </c>
      <c r="J89">
        <v>1</v>
      </c>
      <c r="K89" s="3">
        <v>43.2</v>
      </c>
    </row>
    <row r="90" spans="1:11" x14ac:dyDescent="0.25">
      <c r="A90">
        <v>375350</v>
      </c>
      <c r="B90" t="s">
        <v>32</v>
      </c>
      <c r="C90" s="3">
        <v>17.87</v>
      </c>
      <c r="D90" s="3">
        <v>16.84</v>
      </c>
      <c r="E90" s="3">
        <v>0</v>
      </c>
      <c r="F90">
        <v>56</v>
      </c>
      <c r="G90" t="s">
        <v>19</v>
      </c>
      <c r="H90" s="4">
        <v>46007</v>
      </c>
      <c r="I90" t="s">
        <v>13</v>
      </c>
      <c r="J90">
        <v>7</v>
      </c>
      <c r="K90" s="3">
        <v>234.43</v>
      </c>
    </row>
    <row r="91" spans="1:11" x14ac:dyDescent="0.25">
      <c r="A91">
        <v>375350</v>
      </c>
      <c r="B91" t="s">
        <v>32</v>
      </c>
      <c r="C91" s="3">
        <v>17.87</v>
      </c>
      <c r="D91" s="3">
        <v>16.84</v>
      </c>
      <c r="E91" s="3">
        <v>0</v>
      </c>
      <c r="F91">
        <v>56</v>
      </c>
      <c r="G91" t="s">
        <v>19</v>
      </c>
      <c r="H91" s="4">
        <v>46007</v>
      </c>
      <c r="I91" t="s">
        <v>22</v>
      </c>
      <c r="J91">
        <v>1</v>
      </c>
      <c r="K91" s="3">
        <v>43.2</v>
      </c>
    </row>
    <row r="92" spans="1:11" x14ac:dyDescent="0.25">
      <c r="A92">
        <v>375350</v>
      </c>
      <c r="B92" t="s">
        <v>32</v>
      </c>
      <c r="C92" s="3">
        <v>17.87</v>
      </c>
      <c r="D92" s="3">
        <v>16.84</v>
      </c>
      <c r="E92" s="3">
        <v>0</v>
      </c>
      <c r="F92">
        <v>56</v>
      </c>
      <c r="G92" t="s">
        <v>19</v>
      </c>
      <c r="H92" s="4">
        <v>46008</v>
      </c>
      <c r="I92" t="s">
        <v>13</v>
      </c>
      <c r="J92">
        <v>5.25</v>
      </c>
      <c r="K92" s="3">
        <v>175.82</v>
      </c>
    </row>
    <row r="93" spans="1:11" x14ac:dyDescent="0.25">
      <c r="A93">
        <v>375350</v>
      </c>
      <c r="B93" t="s">
        <v>32</v>
      </c>
      <c r="C93" s="3">
        <v>17.87</v>
      </c>
      <c r="D93" s="3">
        <v>16.84</v>
      </c>
      <c r="E93" s="3">
        <v>0</v>
      </c>
      <c r="F93">
        <v>56</v>
      </c>
      <c r="G93" t="s">
        <v>19</v>
      </c>
      <c r="H93" s="4">
        <v>46008</v>
      </c>
      <c r="I93" t="s">
        <v>22</v>
      </c>
      <c r="J93">
        <v>1</v>
      </c>
      <c r="K93" s="3">
        <v>43.2</v>
      </c>
    </row>
    <row r="94" spans="1:11" x14ac:dyDescent="0.25">
      <c r="A94">
        <v>375350</v>
      </c>
      <c r="B94" t="s">
        <v>32</v>
      </c>
      <c r="C94" s="3">
        <v>17.87</v>
      </c>
      <c r="D94" s="3">
        <v>16.84</v>
      </c>
      <c r="E94" s="3">
        <v>0</v>
      </c>
      <c r="F94">
        <v>56</v>
      </c>
      <c r="G94" t="s">
        <v>19</v>
      </c>
      <c r="H94" s="4">
        <v>46009</v>
      </c>
      <c r="I94" t="s">
        <v>13</v>
      </c>
      <c r="J94">
        <v>7</v>
      </c>
      <c r="K94" s="3">
        <v>234.43</v>
      </c>
    </row>
    <row r="95" spans="1:11" x14ac:dyDescent="0.25">
      <c r="A95">
        <v>375350</v>
      </c>
      <c r="B95" t="s">
        <v>32</v>
      </c>
      <c r="C95" s="3">
        <v>17.87</v>
      </c>
      <c r="D95" s="3">
        <v>16.84</v>
      </c>
      <c r="E95" s="3">
        <v>0</v>
      </c>
      <c r="F95">
        <v>56</v>
      </c>
      <c r="G95" t="s">
        <v>19</v>
      </c>
      <c r="H95" s="4">
        <v>46009</v>
      </c>
      <c r="I95" t="s">
        <v>22</v>
      </c>
      <c r="J95">
        <v>1</v>
      </c>
      <c r="K95" s="3">
        <v>43.2</v>
      </c>
    </row>
    <row r="96" spans="1:11" x14ac:dyDescent="0.25">
      <c r="A96">
        <v>375350</v>
      </c>
      <c r="B96" t="s">
        <v>32</v>
      </c>
      <c r="C96" s="3">
        <v>17.87</v>
      </c>
      <c r="D96" s="3">
        <v>16.84</v>
      </c>
      <c r="E96" s="3">
        <v>0</v>
      </c>
      <c r="F96">
        <v>56</v>
      </c>
      <c r="G96" t="s">
        <v>19</v>
      </c>
      <c r="H96" s="4">
        <v>46010</v>
      </c>
      <c r="I96" t="s">
        <v>13</v>
      </c>
      <c r="J96">
        <v>5.25</v>
      </c>
      <c r="K96" s="3">
        <v>175.82</v>
      </c>
    </row>
    <row r="97" spans="1:11" x14ac:dyDescent="0.25">
      <c r="A97">
        <v>375350</v>
      </c>
      <c r="B97" t="s">
        <v>32</v>
      </c>
      <c r="C97" s="3">
        <v>17.87</v>
      </c>
      <c r="D97" s="3">
        <v>16.84</v>
      </c>
      <c r="E97" s="3">
        <v>0</v>
      </c>
      <c r="F97">
        <v>56</v>
      </c>
      <c r="G97" t="s">
        <v>19</v>
      </c>
      <c r="H97" s="4">
        <v>46010</v>
      </c>
      <c r="I97" t="s">
        <v>22</v>
      </c>
      <c r="J97">
        <v>1</v>
      </c>
      <c r="K97" s="3">
        <v>43.2</v>
      </c>
    </row>
    <row r="98" spans="1:11" x14ac:dyDescent="0.25">
      <c r="A98">
        <v>375880</v>
      </c>
      <c r="B98" t="s">
        <v>33</v>
      </c>
      <c r="C98" s="3">
        <v>15.89</v>
      </c>
      <c r="D98" s="3">
        <v>14.98</v>
      </c>
      <c r="E98" s="3">
        <v>0</v>
      </c>
      <c r="F98">
        <v>2</v>
      </c>
      <c r="G98" t="s">
        <v>15</v>
      </c>
      <c r="H98" s="4">
        <v>46006</v>
      </c>
      <c r="I98" t="s">
        <v>13</v>
      </c>
      <c r="J98">
        <v>8</v>
      </c>
      <c r="K98" s="3">
        <v>240.32</v>
      </c>
    </row>
    <row r="99" spans="1:11" x14ac:dyDescent="0.25">
      <c r="A99">
        <v>375880</v>
      </c>
      <c r="B99" t="s">
        <v>33</v>
      </c>
      <c r="C99" s="3">
        <v>15.89</v>
      </c>
      <c r="D99" s="3">
        <v>14.98</v>
      </c>
      <c r="E99" s="3">
        <v>0</v>
      </c>
      <c r="F99">
        <v>2</v>
      </c>
      <c r="G99" t="s">
        <v>15</v>
      </c>
      <c r="H99" s="4">
        <v>46007</v>
      </c>
      <c r="I99" t="s">
        <v>13</v>
      </c>
      <c r="J99">
        <v>8</v>
      </c>
      <c r="K99" s="3">
        <v>240.32</v>
      </c>
    </row>
    <row r="100" spans="1:11" x14ac:dyDescent="0.25">
      <c r="A100">
        <v>375880</v>
      </c>
      <c r="B100" t="s">
        <v>33</v>
      </c>
      <c r="C100" s="3">
        <v>15.89</v>
      </c>
      <c r="D100" s="3">
        <v>14.98</v>
      </c>
      <c r="E100" s="3">
        <v>0</v>
      </c>
      <c r="F100">
        <v>2</v>
      </c>
      <c r="G100" t="s">
        <v>15</v>
      </c>
      <c r="H100" s="4">
        <v>46008</v>
      </c>
      <c r="I100" t="s">
        <v>13</v>
      </c>
      <c r="J100">
        <v>8</v>
      </c>
      <c r="K100" s="3">
        <v>240.32</v>
      </c>
    </row>
    <row r="101" spans="1:11" x14ac:dyDescent="0.25">
      <c r="A101">
        <v>375880</v>
      </c>
      <c r="B101" t="s">
        <v>33</v>
      </c>
      <c r="C101" s="3">
        <v>15.89</v>
      </c>
      <c r="D101" s="3">
        <v>14.98</v>
      </c>
      <c r="E101" s="3">
        <v>0</v>
      </c>
      <c r="F101">
        <v>2</v>
      </c>
      <c r="G101" t="s">
        <v>15</v>
      </c>
      <c r="H101" s="4">
        <v>46009</v>
      </c>
      <c r="I101" t="s">
        <v>13</v>
      </c>
      <c r="J101">
        <v>8</v>
      </c>
      <c r="K101" s="3">
        <v>240.32</v>
      </c>
    </row>
    <row r="102" spans="1:11" x14ac:dyDescent="0.25">
      <c r="A102">
        <v>375880</v>
      </c>
      <c r="B102" t="s">
        <v>33</v>
      </c>
      <c r="C102" s="3">
        <v>15.89</v>
      </c>
      <c r="D102" s="3">
        <v>14.98</v>
      </c>
      <c r="E102" s="3">
        <v>0</v>
      </c>
      <c r="F102">
        <v>2</v>
      </c>
      <c r="G102" t="s">
        <v>15</v>
      </c>
      <c r="H102" s="4">
        <v>46010</v>
      </c>
      <c r="I102" t="s">
        <v>13</v>
      </c>
      <c r="J102">
        <v>8</v>
      </c>
      <c r="K102" s="3">
        <v>240.32</v>
      </c>
    </row>
    <row r="103" spans="1:11" x14ac:dyDescent="0.25">
      <c r="A103">
        <v>375880</v>
      </c>
      <c r="B103" t="s">
        <v>33</v>
      </c>
      <c r="C103" s="3">
        <v>15.89</v>
      </c>
      <c r="D103" s="3">
        <v>14.98</v>
      </c>
      <c r="E103" s="3">
        <v>0</v>
      </c>
      <c r="F103">
        <v>2</v>
      </c>
      <c r="G103" t="s">
        <v>15</v>
      </c>
      <c r="H103" s="4">
        <v>46011</v>
      </c>
      <c r="I103" t="s">
        <v>24</v>
      </c>
      <c r="J103">
        <v>5</v>
      </c>
      <c r="K103" s="3">
        <v>182.7</v>
      </c>
    </row>
    <row r="104" spans="1:11" x14ac:dyDescent="0.25">
      <c r="A104">
        <v>380662</v>
      </c>
      <c r="B104" t="s">
        <v>34</v>
      </c>
      <c r="C104" s="3">
        <v>16.3</v>
      </c>
      <c r="D104" s="3">
        <v>15.36</v>
      </c>
      <c r="E104" s="3">
        <v>0</v>
      </c>
      <c r="F104">
        <v>130</v>
      </c>
      <c r="G104" t="s">
        <v>19</v>
      </c>
      <c r="H104" s="4">
        <v>46006</v>
      </c>
      <c r="I104" t="s">
        <v>13</v>
      </c>
      <c r="J104">
        <v>2.25</v>
      </c>
      <c r="K104" s="3">
        <v>69.319999999999993</v>
      </c>
    </row>
    <row r="105" spans="1:11" x14ac:dyDescent="0.25">
      <c r="A105">
        <v>380662</v>
      </c>
      <c r="B105" t="s">
        <v>34</v>
      </c>
      <c r="C105" s="3">
        <v>16.3</v>
      </c>
      <c r="D105" s="3">
        <v>15.36</v>
      </c>
      <c r="E105" s="3">
        <v>0</v>
      </c>
      <c r="F105">
        <v>130</v>
      </c>
      <c r="G105" t="s">
        <v>19</v>
      </c>
      <c r="H105" s="4">
        <v>46006</v>
      </c>
      <c r="I105" t="s">
        <v>21</v>
      </c>
      <c r="J105">
        <v>5.25</v>
      </c>
      <c r="K105" s="3">
        <v>205.59</v>
      </c>
    </row>
    <row r="106" spans="1:11" x14ac:dyDescent="0.25">
      <c r="A106">
        <v>380662</v>
      </c>
      <c r="B106" t="s">
        <v>34</v>
      </c>
      <c r="C106" s="3">
        <v>16.3</v>
      </c>
      <c r="D106" s="3">
        <v>15.36</v>
      </c>
      <c r="E106" s="3">
        <v>0</v>
      </c>
      <c r="F106">
        <v>130</v>
      </c>
      <c r="G106" t="s">
        <v>19</v>
      </c>
      <c r="H106" s="4">
        <v>46007</v>
      </c>
      <c r="I106" t="s">
        <v>13</v>
      </c>
      <c r="J106">
        <v>2.25</v>
      </c>
      <c r="K106" s="3">
        <v>69.319999999999993</v>
      </c>
    </row>
    <row r="107" spans="1:11" x14ac:dyDescent="0.25">
      <c r="A107">
        <v>380662</v>
      </c>
      <c r="B107" t="s">
        <v>34</v>
      </c>
      <c r="C107" s="3">
        <v>16.3</v>
      </c>
      <c r="D107" s="3">
        <v>15.36</v>
      </c>
      <c r="E107" s="3">
        <v>0</v>
      </c>
      <c r="F107">
        <v>130</v>
      </c>
      <c r="G107" t="s">
        <v>19</v>
      </c>
      <c r="H107" s="4">
        <v>46007</v>
      </c>
      <c r="I107" t="s">
        <v>21</v>
      </c>
      <c r="J107">
        <v>2.75</v>
      </c>
      <c r="K107" s="3">
        <v>107.69</v>
      </c>
    </row>
    <row r="108" spans="1:11" x14ac:dyDescent="0.25">
      <c r="A108">
        <v>380662</v>
      </c>
      <c r="B108" t="s">
        <v>34</v>
      </c>
      <c r="C108" s="3">
        <v>16.3</v>
      </c>
      <c r="D108" s="3">
        <v>15.36</v>
      </c>
      <c r="E108" s="3">
        <v>0</v>
      </c>
      <c r="F108">
        <v>130</v>
      </c>
      <c r="G108" t="s">
        <v>19</v>
      </c>
      <c r="H108" s="4">
        <v>46008</v>
      </c>
      <c r="I108" t="s">
        <v>13</v>
      </c>
      <c r="J108">
        <v>2.25</v>
      </c>
      <c r="K108" s="3">
        <v>69.319999999999993</v>
      </c>
    </row>
    <row r="109" spans="1:11" x14ac:dyDescent="0.25">
      <c r="A109">
        <v>380662</v>
      </c>
      <c r="B109" t="s">
        <v>34</v>
      </c>
      <c r="C109" s="3">
        <v>16.3</v>
      </c>
      <c r="D109" s="3">
        <v>15.36</v>
      </c>
      <c r="E109" s="3">
        <v>0</v>
      </c>
      <c r="F109">
        <v>130</v>
      </c>
      <c r="G109" t="s">
        <v>19</v>
      </c>
      <c r="H109" s="4">
        <v>46008</v>
      </c>
      <c r="I109" t="s">
        <v>21</v>
      </c>
      <c r="J109">
        <v>5</v>
      </c>
      <c r="K109" s="3">
        <v>195.8</v>
      </c>
    </row>
    <row r="110" spans="1:11" x14ac:dyDescent="0.25">
      <c r="A110">
        <v>380662</v>
      </c>
      <c r="B110" t="s">
        <v>34</v>
      </c>
      <c r="C110" s="3">
        <v>16.3</v>
      </c>
      <c r="D110" s="3">
        <v>15.36</v>
      </c>
      <c r="E110" s="3">
        <v>0</v>
      </c>
      <c r="F110">
        <v>130</v>
      </c>
      <c r="G110" t="s">
        <v>19</v>
      </c>
      <c r="H110" s="4">
        <v>46009</v>
      </c>
      <c r="I110" t="s">
        <v>21</v>
      </c>
      <c r="J110">
        <v>4</v>
      </c>
      <c r="K110" s="3">
        <v>156.63999999999999</v>
      </c>
    </row>
    <row r="111" spans="1:11" x14ac:dyDescent="0.25">
      <c r="A111">
        <v>380662</v>
      </c>
      <c r="B111" t="s">
        <v>34</v>
      </c>
      <c r="C111" s="3">
        <v>16.3</v>
      </c>
      <c r="D111" s="3">
        <v>15.36</v>
      </c>
      <c r="E111" s="3">
        <v>0</v>
      </c>
      <c r="F111">
        <v>130</v>
      </c>
      <c r="G111" t="s">
        <v>19</v>
      </c>
      <c r="H111" s="4">
        <v>46010</v>
      </c>
      <c r="I111" t="s">
        <v>13</v>
      </c>
      <c r="J111">
        <v>2.25</v>
      </c>
      <c r="K111" s="3">
        <v>69.319999999999993</v>
      </c>
    </row>
    <row r="112" spans="1:11" x14ac:dyDescent="0.25">
      <c r="A112">
        <v>380662</v>
      </c>
      <c r="B112" t="s">
        <v>34</v>
      </c>
      <c r="C112" s="3">
        <v>16.3</v>
      </c>
      <c r="D112" s="3">
        <v>15.36</v>
      </c>
      <c r="E112" s="3">
        <v>0</v>
      </c>
      <c r="F112">
        <v>130</v>
      </c>
      <c r="G112" t="s">
        <v>19</v>
      </c>
      <c r="H112" s="4">
        <v>46010</v>
      </c>
      <c r="I112" t="s">
        <v>21</v>
      </c>
      <c r="J112">
        <v>3.75</v>
      </c>
      <c r="K112" s="3">
        <v>146.85</v>
      </c>
    </row>
    <row r="113" spans="1:11" x14ac:dyDescent="0.25">
      <c r="A113">
        <v>380663</v>
      </c>
      <c r="B113" t="s">
        <v>35</v>
      </c>
      <c r="C113" s="3">
        <v>16.3</v>
      </c>
      <c r="D113" s="3">
        <v>15.36</v>
      </c>
      <c r="E113" s="3">
        <v>0</v>
      </c>
      <c r="F113">
        <v>133</v>
      </c>
      <c r="G113" t="s">
        <v>19</v>
      </c>
      <c r="H113" s="4">
        <v>46006</v>
      </c>
      <c r="I113" t="s">
        <v>13</v>
      </c>
      <c r="J113">
        <v>3.5</v>
      </c>
      <c r="K113" s="3">
        <v>107.84</v>
      </c>
    </row>
    <row r="114" spans="1:11" x14ac:dyDescent="0.25">
      <c r="A114">
        <v>380663</v>
      </c>
      <c r="B114" t="s">
        <v>35</v>
      </c>
      <c r="C114" s="3">
        <v>16.3</v>
      </c>
      <c r="D114" s="3">
        <v>15.36</v>
      </c>
      <c r="E114" s="3">
        <v>0</v>
      </c>
      <c r="F114">
        <v>133</v>
      </c>
      <c r="G114" t="s">
        <v>19</v>
      </c>
      <c r="H114" s="4">
        <v>46006</v>
      </c>
      <c r="I114" t="s">
        <v>21</v>
      </c>
      <c r="J114">
        <v>4.5</v>
      </c>
      <c r="K114" s="3">
        <v>176.22</v>
      </c>
    </row>
    <row r="115" spans="1:11" x14ac:dyDescent="0.25">
      <c r="A115">
        <v>380663</v>
      </c>
      <c r="B115" t="s">
        <v>35</v>
      </c>
      <c r="C115" s="3">
        <v>16.3</v>
      </c>
      <c r="D115" s="3">
        <v>15.36</v>
      </c>
      <c r="E115" s="3">
        <v>0</v>
      </c>
      <c r="F115">
        <v>133</v>
      </c>
      <c r="G115" t="s">
        <v>19</v>
      </c>
      <c r="H115" s="4">
        <v>46007</v>
      </c>
      <c r="I115" t="s">
        <v>13</v>
      </c>
      <c r="J115">
        <v>3.5</v>
      </c>
      <c r="K115" s="3">
        <v>107.84</v>
      </c>
    </row>
    <row r="116" spans="1:11" x14ac:dyDescent="0.25">
      <c r="A116">
        <v>380663</v>
      </c>
      <c r="B116" t="s">
        <v>35</v>
      </c>
      <c r="C116" s="3">
        <v>16.3</v>
      </c>
      <c r="D116" s="3">
        <v>15.36</v>
      </c>
      <c r="E116" s="3">
        <v>0</v>
      </c>
      <c r="F116">
        <v>133</v>
      </c>
      <c r="G116" t="s">
        <v>19</v>
      </c>
      <c r="H116" s="4">
        <v>46007</v>
      </c>
      <c r="I116" t="s">
        <v>21</v>
      </c>
      <c r="J116">
        <v>4.5</v>
      </c>
      <c r="K116" s="3">
        <v>176.22</v>
      </c>
    </row>
    <row r="117" spans="1:11" x14ac:dyDescent="0.25">
      <c r="A117">
        <v>380663</v>
      </c>
      <c r="B117" t="s">
        <v>35</v>
      </c>
      <c r="C117" s="3">
        <v>16.3</v>
      </c>
      <c r="D117" s="3">
        <v>15.36</v>
      </c>
      <c r="E117" s="3">
        <v>0</v>
      </c>
      <c r="F117">
        <v>133</v>
      </c>
      <c r="G117" t="s">
        <v>19</v>
      </c>
      <c r="H117" s="4">
        <v>46008</v>
      </c>
      <c r="I117" t="s">
        <v>13</v>
      </c>
      <c r="J117">
        <v>3.5</v>
      </c>
      <c r="K117" s="3">
        <v>107.84</v>
      </c>
    </row>
    <row r="118" spans="1:11" x14ac:dyDescent="0.25">
      <c r="A118">
        <v>380663</v>
      </c>
      <c r="B118" t="s">
        <v>35</v>
      </c>
      <c r="C118" s="3">
        <v>16.3</v>
      </c>
      <c r="D118" s="3">
        <v>15.36</v>
      </c>
      <c r="E118" s="3">
        <v>0</v>
      </c>
      <c r="F118">
        <v>133</v>
      </c>
      <c r="G118" t="s">
        <v>19</v>
      </c>
      <c r="H118" s="4">
        <v>46008</v>
      </c>
      <c r="I118" t="s">
        <v>21</v>
      </c>
      <c r="J118">
        <v>4.5</v>
      </c>
      <c r="K118" s="3">
        <v>176.22</v>
      </c>
    </row>
    <row r="119" spans="1:11" x14ac:dyDescent="0.25">
      <c r="A119">
        <v>380663</v>
      </c>
      <c r="B119" t="s">
        <v>35</v>
      </c>
      <c r="C119" s="3">
        <v>16.3</v>
      </c>
      <c r="D119" s="3">
        <v>15.36</v>
      </c>
      <c r="E119" s="3">
        <v>0</v>
      </c>
      <c r="F119">
        <v>133</v>
      </c>
      <c r="G119" t="s">
        <v>19</v>
      </c>
      <c r="H119" s="4">
        <v>46009</v>
      </c>
      <c r="I119" t="s">
        <v>13</v>
      </c>
      <c r="J119">
        <v>3.5</v>
      </c>
      <c r="K119" s="3">
        <v>107.84</v>
      </c>
    </row>
    <row r="120" spans="1:11" x14ac:dyDescent="0.25">
      <c r="A120">
        <v>380663</v>
      </c>
      <c r="B120" t="s">
        <v>35</v>
      </c>
      <c r="C120" s="3">
        <v>16.3</v>
      </c>
      <c r="D120" s="3">
        <v>15.36</v>
      </c>
      <c r="E120" s="3">
        <v>0</v>
      </c>
      <c r="F120">
        <v>133</v>
      </c>
      <c r="G120" t="s">
        <v>19</v>
      </c>
      <c r="H120" s="4">
        <v>46009</v>
      </c>
      <c r="I120" t="s">
        <v>21</v>
      </c>
      <c r="J120">
        <v>4.5</v>
      </c>
      <c r="K120" s="3">
        <v>176.22</v>
      </c>
    </row>
    <row r="121" spans="1:11" x14ac:dyDescent="0.25">
      <c r="A121">
        <v>380663</v>
      </c>
      <c r="B121" t="s">
        <v>35</v>
      </c>
      <c r="C121" s="3">
        <v>16.3</v>
      </c>
      <c r="D121" s="3">
        <v>15.36</v>
      </c>
      <c r="E121" s="3">
        <v>0</v>
      </c>
      <c r="F121">
        <v>133</v>
      </c>
      <c r="G121" t="s">
        <v>19</v>
      </c>
      <c r="H121" s="4">
        <v>46010</v>
      </c>
      <c r="I121" t="s">
        <v>13</v>
      </c>
      <c r="J121">
        <v>3.5</v>
      </c>
      <c r="K121" s="3">
        <v>107.84</v>
      </c>
    </row>
    <row r="122" spans="1:11" x14ac:dyDescent="0.25">
      <c r="A122">
        <v>380663</v>
      </c>
      <c r="B122" t="s">
        <v>35</v>
      </c>
      <c r="C122" s="3">
        <v>16.3</v>
      </c>
      <c r="D122" s="3">
        <v>15.36</v>
      </c>
      <c r="E122" s="3">
        <v>0</v>
      </c>
      <c r="F122">
        <v>133</v>
      </c>
      <c r="G122" t="s">
        <v>19</v>
      </c>
      <c r="H122" s="4">
        <v>46010</v>
      </c>
      <c r="I122" t="s">
        <v>21</v>
      </c>
      <c r="J122">
        <v>4.25</v>
      </c>
      <c r="K122" s="3">
        <v>166.43</v>
      </c>
    </row>
    <row r="123" spans="1:11" x14ac:dyDescent="0.25">
      <c r="A123">
        <v>382788</v>
      </c>
      <c r="B123" t="s">
        <v>36</v>
      </c>
      <c r="C123" s="3">
        <v>15.89</v>
      </c>
      <c r="D123" s="3">
        <v>14.98</v>
      </c>
      <c r="E123" s="3">
        <v>0</v>
      </c>
      <c r="F123">
        <v>28</v>
      </c>
      <c r="G123" t="s">
        <v>15</v>
      </c>
      <c r="H123" s="4">
        <v>46006</v>
      </c>
      <c r="I123" t="s">
        <v>13</v>
      </c>
      <c r="J123">
        <v>4.25</v>
      </c>
      <c r="K123" s="3">
        <v>127.67</v>
      </c>
    </row>
    <row r="124" spans="1:11" x14ac:dyDescent="0.25">
      <c r="A124">
        <v>382788</v>
      </c>
      <c r="B124" t="s">
        <v>36</v>
      </c>
      <c r="C124" s="3">
        <v>15.89</v>
      </c>
      <c r="D124" s="3">
        <v>14.98</v>
      </c>
      <c r="E124" s="3">
        <v>0</v>
      </c>
      <c r="F124">
        <v>28</v>
      </c>
      <c r="G124" t="s">
        <v>15</v>
      </c>
      <c r="H124" s="4">
        <v>46006</v>
      </c>
      <c r="I124" t="s">
        <v>21</v>
      </c>
      <c r="J124">
        <v>3.75</v>
      </c>
      <c r="K124" s="3">
        <v>143.4</v>
      </c>
    </row>
    <row r="125" spans="1:11" x14ac:dyDescent="0.25">
      <c r="A125">
        <v>382788</v>
      </c>
      <c r="B125" t="s">
        <v>36</v>
      </c>
      <c r="C125" s="3">
        <v>15.89</v>
      </c>
      <c r="D125" s="3">
        <v>14.98</v>
      </c>
      <c r="E125" s="3">
        <v>0</v>
      </c>
      <c r="F125">
        <v>28</v>
      </c>
      <c r="G125" t="s">
        <v>15</v>
      </c>
      <c r="H125" s="4">
        <v>46007</v>
      </c>
      <c r="I125" t="s">
        <v>13</v>
      </c>
      <c r="J125">
        <v>4.25</v>
      </c>
      <c r="K125" s="3">
        <v>127.67</v>
      </c>
    </row>
    <row r="126" spans="1:11" x14ac:dyDescent="0.25">
      <c r="A126">
        <v>382788</v>
      </c>
      <c r="B126" t="s">
        <v>36</v>
      </c>
      <c r="C126" s="3">
        <v>15.89</v>
      </c>
      <c r="D126" s="3">
        <v>14.98</v>
      </c>
      <c r="E126" s="3">
        <v>0</v>
      </c>
      <c r="F126">
        <v>28</v>
      </c>
      <c r="G126" t="s">
        <v>15</v>
      </c>
      <c r="H126" s="4">
        <v>46007</v>
      </c>
      <c r="I126" t="s">
        <v>21</v>
      </c>
      <c r="J126">
        <v>3.5</v>
      </c>
      <c r="K126" s="3">
        <v>133.84</v>
      </c>
    </row>
    <row r="127" spans="1:11" x14ac:dyDescent="0.25">
      <c r="A127">
        <v>382788</v>
      </c>
      <c r="B127" t="s">
        <v>36</v>
      </c>
      <c r="C127" s="3">
        <v>15.89</v>
      </c>
      <c r="D127" s="3">
        <v>14.98</v>
      </c>
      <c r="E127" s="3">
        <v>0</v>
      </c>
      <c r="F127">
        <v>28</v>
      </c>
      <c r="G127" t="s">
        <v>15</v>
      </c>
      <c r="H127" s="4">
        <v>46008</v>
      </c>
      <c r="I127" t="s">
        <v>13</v>
      </c>
      <c r="J127">
        <v>4.25</v>
      </c>
      <c r="K127" s="3">
        <v>127.67</v>
      </c>
    </row>
    <row r="128" spans="1:11" x14ac:dyDescent="0.25">
      <c r="A128">
        <v>382788</v>
      </c>
      <c r="B128" t="s">
        <v>36</v>
      </c>
      <c r="C128" s="3">
        <v>15.89</v>
      </c>
      <c r="D128" s="3">
        <v>14.98</v>
      </c>
      <c r="E128" s="3">
        <v>0</v>
      </c>
      <c r="F128">
        <v>28</v>
      </c>
      <c r="G128" t="s">
        <v>15</v>
      </c>
      <c r="H128" s="4">
        <v>46008</v>
      </c>
      <c r="I128" t="s">
        <v>21</v>
      </c>
      <c r="J128">
        <v>3.75</v>
      </c>
      <c r="K128" s="3">
        <v>143.4</v>
      </c>
    </row>
    <row r="129" spans="1:11" x14ac:dyDescent="0.25">
      <c r="A129">
        <v>382788</v>
      </c>
      <c r="B129" t="s">
        <v>36</v>
      </c>
      <c r="C129" s="3">
        <v>15.89</v>
      </c>
      <c r="D129" s="3">
        <v>14.98</v>
      </c>
      <c r="E129" s="3">
        <v>0</v>
      </c>
      <c r="F129">
        <v>28</v>
      </c>
      <c r="G129" t="s">
        <v>15</v>
      </c>
      <c r="H129" s="4">
        <v>46009</v>
      </c>
      <c r="I129" t="s">
        <v>13</v>
      </c>
      <c r="J129">
        <v>4.25</v>
      </c>
      <c r="K129" s="3">
        <v>127.67</v>
      </c>
    </row>
    <row r="130" spans="1:11" x14ac:dyDescent="0.25">
      <c r="A130">
        <v>382788</v>
      </c>
      <c r="B130" t="s">
        <v>36</v>
      </c>
      <c r="C130" s="3">
        <v>15.89</v>
      </c>
      <c r="D130" s="3">
        <v>14.98</v>
      </c>
      <c r="E130" s="3">
        <v>0</v>
      </c>
      <c r="F130">
        <v>28</v>
      </c>
      <c r="G130" t="s">
        <v>15</v>
      </c>
      <c r="H130" s="4">
        <v>46009</v>
      </c>
      <c r="I130" t="s">
        <v>21</v>
      </c>
      <c r="J130">
        <v>3.5</v>
      </c>
      <c r="K130" s="3">
        <v>133.84</v>
      </c>
    </row>
    <row r="131" spans="1:11" x14ac:dyDescent="0.25">
      <c r="A131">
        <v>382788</v>
      </c>
      <c r="B131" t="s">
        <v>36</v>
      </c>
      <c r="C131" s="3">
        <v>15.89</v>
      </c>
      <c r="D131" s="3">
        <v>14.98</v>
      </c>
      <c r="E131" s="3">
        <v>0</v>
      </c>
      <c r="F131">
        <v>28</v>
      </c>
      <c r="G131" t="s">
        <v>15</v>
      </c>
      <c r="H131" s="4">
        <v>46010</v>
      </c>
      <c r="I131" t="s">
        <v>13</v>
      </c>
      <c r="J131">
        <v>2.25</v>
      </c>
      <c r="K131" s="3">
        <v>67.59</v>
      </c>
    </row>
    <row r="132" spans="1:11" x14ac:dyDescent="0.25">
      <c r="A132">
        <v>385157</v>
      </c>
      <c r="B132" t="s">
        <v>37</v>
      </c>
      <c r="C132" s="3">
        <v>17.16</v>
      </c>
      <c r="D132" s="3">
        <v>16.170000000000002</v>
      </c>
      <c r="E132" s="3">
        <v>0</v>
      </c>
      <c r="F132">
        <v>108</v>
      </c>
      <c r="G132" t="s">
        <v>19</v>
      </c>
      <c r="H132" s="4">
        <v>46007</v>
      </c>
      <c r="I132" t="s">
        <v>13</v>
      </c>
      <c r="J132">
        <v>8</v>
      </c>
      <c r="K132" s="3">
        <v>258.24</v>
      </c>
    </row>
    <row r="133" spans="1:11" x14ac:dyDescent="0.25">
      <c r="A133">
        <v>385157</v>
      </c>
      <c r="B133" t="s">
        <v>37</v>
      </c>
      <c r="C133" s="3">
        <v>17.16</v>
      </c>
      <c r="D133" s="3">
        <v>16.170000000000002</v>
      </c>
      <c r="E133" s="3">
        <v>0</v>
      </c>
      <c r="F133">
        <v>108</v>
      </c>
      <c r="G133" t="s">
        <v>19</v>
      </c>
      <c r="H133" s="4">
        <v>46008</v>
      </c>
      <c r="I133" t="s">
        <v>13</v>
      </c>
      <c r="J133">
        <v>8</v>
      </c>
      <c r="K133" s="3">
        <v>258.24</v>
      </c>
    </row>
    <row r="134" spans="1:11" x14ac:dyDescent="0.25">
      <c r="A134">
        <v>385157</v>
      </c>
      <c r="B134" t="s">
        <v>37</v>
      </c>
      <c r="C134" s="3">
        <v>17.16</v>
      </c>
      <c r="D134" s="3">
        <v>16.170000000000002</v>
      </c>
      <c r="E134" s="3">
        <v>0</v>
      </c>
      <c r="F134">
        <v>108</v>
      </c>
      <c r="G134" t="s">
        <v>19</v>
      </c>
      <c r="H134" s="4">
        <v>46009</v>
      </c>
      <c r="I134" t="s">
        <v>13</v>
      </c>
      <c r="J134">
        <v>7.75</v>
      </c>
      <c r="K134" s="3">
        <v>250.17</v>
      </c>
    </row>
    <row r="135" spans="1:11" x14ac:dyDescent="0.25">
      <c r="A135">
        <v>385157</v>
      </c>
      <c r="B135" t="s">
        <v>37</v>
      </c>
      <c r="C135" s="3">
        <v>17.16</v>
      </c>
      <c r="D135" s="3">
        <v>16.170000000000002</v>
      </c>
      <c r="E135" s="3">
        <v>0</v>
      </c>
      <c r="F135">
        <v>108</v>
      </c>
      <c r="G135" t="s">
        <v>19</v>
      </c>
      <c r="H135" s="4">
        <v>46010</v>
      </c>
      <c r="I135" t="s">
        <v>13</v>
      </c>
      <c r="J135">
        <v>5.5</v>
      </c>
      <c r="K135" s="3">
        <v>177.54</v>
      </c>
    </row>
    <row r="136" spans="1:11" x14ac:dyDescent="0.25">
      <c r="A136">
        <v>385246</v>
      </c>
      <c r="B136" t="s">
        <v>38</v>
      </c>
      <c r="C136" s="3">
        <v>15.89</v>
      </c>
      <c r="D136" s="3">
        <v>14.98</v>
      </c>
      <c r="E136" s="3">
        <v>0</v>
      </c>
      <c r="F136">
        <v>68</v>
      </c>
      <c r="G136" t="s">
        <v>19</v>
      </c>
      <c r="H136" s="4">
        <v>46006</v>
      </c>
      <c r="I136" t="s">
        <v>13</v>
      </c>
      <c r="J136">
        <v>8.5</v>
      </c>
      <c r="K136" s="3">
        <v>255.94</v>
      </c>
    </row>
    <row r="137" spans="1:11" x14ac:dyDescent="0.25">
      <c r="A137">
        <v>385246</v>
      </c>
      <c r="B137" t="s">
        <v>38</v>
      </c>
      <c r="C137" s="3">
        <v>15.89</v>
      </c>
      <c r="D137" s="3">
        <v>14.98</v>
      </c>
      <c r="E137" s="3">
        <v>0</v>
      </c>
      <c r="F137">
        <v>68</v>
      </c>
      <c r="G137" t="s">
        <v>19</v>
      </c>
      <c r="H137" s="4">
        <v>46007</v>
      </c>
      <c r="I137" t="s">
        <v>13</v>
      </c>
      <c r="J137">
        <v>7.5</v>
      </c>
      <c r="K137" s="3">
        <v>225.83</v>
      </c>
    </row>
    <row r="138" spans="1:11" x14ac:dyDescent="0.25">
      <c r="A138">
        <v>385246</v>
      </c>
      <c r="B138" t="s">
        <v>38</v>
      </c>
      <c r="C138" s="3">
        <v>15.89</v>
      </c>
      <c r="D138" s="3">
        <v>14.98</v>
      </c>
      <c r="E138" s="3">
        <v>0</v>
      </c>
      <c r="F138">
        <v>68</v>
      </c>
      <c r="G138" t="s">
        <v>19</v>
      </c>
      <c r="H138" s="4">
        <v>46008</v>
      </c>
      <c r="I138" t="s">
        <v>13</v>
      </c>
      <c r="J138">
        <v>8</v>
      </c>
      <c r="K138" s="3">
        <v>240.88</v>
      </c>
    </row>
    <row r="139" spans="1:11" x14ac:dyDescent="0.25">
      <c r="A139">
        <v>385246</v>
      </c>
      <c r="B139" t="s">
        <v>38</v>
      </c>
      <c r="C139" s="3">
        <v>15.89</v>
      </c>
      <c r="D139" s="3">
        <v>14.98</v>
      </c>
      <c r="E139" s="3">
        <v>0</v>
      </c>
      <c r="F139">
        <v>68</v>
      </c>
      <c r="G139" t="s">
        <v>19</v>
      </c>
      <c r="H139" s="4">
        <v>46009</v>
      </c>
      <c r="I139" t="s">
        <v>13</v>
      </c>
      <c r="J139">
        <v>8</v>
      </c>
      <c r="K139" s="3">
        <v>240.88</v>
      </c>
    </row>
    <row r="140" spans="1:11" x14ac:dyDescent="0.25">
      <c r="A140">
        <v>385246</v>
      </c>
      <c r="B140" t="s">
        <v>38</v>
      </c>
      <c r="C140" s="3">
        <v>15.89</v>
      </c>
      <c r="D140" s="3">
        <v>14.98</v>
      </c>
      <c r="E140" s="3">
        <v>0</v>
      </c>
      <c r="F140">
        <v>68</v>
      </c>
      <c r="G140" t="s">
        <v>19</v>
      </c>
      <c r="H140" s="4">
        <v>46010</v>
      </c>
      <c r="I140" t="s">
        <v>13</v>
      </c>
      <c r="J140">
        <v>8</v>
      </c>
      <c r="K140" s="3">
        <v>240.88</v>
      </c>
    </row>
    <row r="141" spans="1:11" x14ac:dyDescent="0.25">
      <c r="A141">
        <v>385246</v>
      </c>
      <c r="B141" t="s">
        <v>38</v>
      </c>
      <c r="C141" s="3">
        <v>15.89</v>
      </c>
      <c r="D141" s="3">
        <v>14.98</v>
      </c>
      <c r="E141" s="3">
        <v>0</v>
      </c>
      <c r="F141">
        <v>68</v>
      </c>
      <c r="G141" t="s">
        <v>19</v>
      </c>
      <c r="H141" s="4">
        <v>46011</v>
      </c>
      <c r="I141" t="s">
        <v>24</v>
      </c>
      <c r="J141">
        <v>5</v>
      </c>
      <c r="K141" s="3">
        <v>180.55</v>
      </c>
    </row>
    <row r="142" spans="1:11" x14ac:dyDescent="0.25">
      <c r="A142">
        <v>385663</v>
      </c>
      <c r="B142" t="s">
        <v>39</v>
      </c>
      <c r="C142" s="3">
        <v>17.39</v>
      </c>
      <c r="D142" s="3">
        <v>16.39</v>
      </c>
      <c r="E142" s="3">
        <v>0</v>
      </c>
      <c r="F142">
        <v>127</v>
      </c>
      <c r="G142" t="s">
        <v>19</v>
      </c>
      <c r="H142" s="4">
        <v>46006</v>
      </c>
      <c r="I142" t="s">
        <v>13</v>
      </c>
      <c r="J142">
        <v>8</v>
      </c>
      <c r="K142" s="3">
        <v>261.36</v>
      </c>
    </row>
    <row r="143" spans="1:11" x14ac:dyDescent="0.25">
      <c r="A143">
        <v>385663</v>
      </c>
      <c r="B143" t="s">
        <v>39</v>
      </c>
      <c r="C143" s="3">
        <v>17.39</v>
      </c>
      <c r="D143" s="3">
        <v>16.39</v>
      </c>
      <c r="E143" s="3">
        <v>0</v>
      </c>
      <c r="F143">
        <v>127</v>
      </c>
      <c r="G143" t="s">
        <v>19</v>
      </c>
      <c r="H143" s="4">
        <v>46007</v>
      </c>
      <c r="I143" t="s">
        <v>13</v>
      </c>
      <c r="J143">
        <v>8</v>
      </c>
      <c r="K143" s="3">
        <v>261.36</v>
      </c>
    </row>
    <row r="144" spans="1:11" x14ac:dyDescent="0.25">
      <c r="A144">
        <v>385663</v>
      </c>
      <c r="B144" t="s">
        <v>39</v>
      </c>
      <c r="C144" s="3">
        <v>17.39</v>
      </c>
      <c r="D144" s="3">
        <v>16.39</v>
      </c>
      <c r="E144" s="3">
        <v>0</v>
      </c>
      <c r="F144">
        <v>127</v>
      </c>
      <c r="G144" t="s">
        <v>19</v>
      </c>
      <c r="H144" s="4">
        <v>46008</v>
      </c>
      <c r="I144" t="s">
        <v>13</v>
      </c>
      <c r="J144">
        <v>8</v>
      </c>
      <c r="K144" s="3">
        <v>261.36</v>
      </c>
    </row>
    <row r="145" spans="1:11" x14ac:dyDescent="0.25">
      <c r="A145">
        <v>385663</v>
      </c>
      <c r="B145" t="s">
        <v>39</v>
      </c>
      <c r="C145" s="3">
        <v>17.39</v>
      </c>
      <c r="D145" s="3">
        <v>16.39</v>
      </c>
      <c r="E145" s="3">
        <v>0</v>
      </c>
      <c r="F145">
        <v>127</v>
      </c>
      <c r="G145" t="s">
        <v>19</v>
      </c>
      <c r="H145" s="4">
        <v>46009</v>
      </c>
      <c r="I145" t="s">
        <v>13</v>
      </c>
      <c r="J145">
        <v>8</v>
      </c>
      <c r="K145" s="3">
        <v>261.36</v>
      </c>
    </row>
    <row r="146" spans="1:11" x14ac:dyDescent="0.25">
      <c r="A146">
        <v>385663</v>
      </c>
      <c r="B146" t="s">
        <v>39</v>
      </c>
      <c r="C146" s="3">
        <v>17.39</v>
      </c>
      <c r="D146" s="3">
        <v>16.39</v>
      </c>
      <c r="E146" s="3">
        <v>0</v>
      </c>
      <c r="F146">
        <v>127</v>
      </c>
      <c r="G146" t="s">
        <v>19</v>
      </c>
      <c r="H146" s="4">
        <v>46010</v>
      </c>
      <c r="I146" t="s">
        <v>13</v>
      </c>
      <c r="J146">
        <v>8</v>
      </c>
      <c r="K146" s="3">
        <v>261.36</v>
      </c>
    </row>
    <row r="147" spans="1:11" x14ac:dyDescent="0.25">
      <c r="A147">
        <v>385663</v>
      </c>
      <c r="B147" t="s">
        <v>39</v>
      </c>
      <c r="C147" s="3">
        <v>17.39</v>
      </c>
      <c r="D147" s="3">
        <v>16.39</v>
      </c>
      <c r="E147" s="3">
        <v>0</v>
      </c>
      <c r="F147">
        <v>127</v>
      </c>
      <c r="G147" t="s">
        <v>19</v>
      </c>
      <c r="H147" s="4">
        <v>46011</v>
      </c>
      <c r="I147" t="s">
        <v>24</v>
      </c>
      <c r="J147">
        <v>4.75</v>
      </c>
      <c r="K147" s="3">
        <v>187.67</v>
      </c>
    </row>
    <row r="148" spans="1:11" x14ac:dyDescent="0.25">
      <c r="A148">
        <v>399663</v>
      </c>
      <c r="B148" t="s">
        <v>40</v>
      </c>
      <c r="C148" s="3">
        <v>15.89</v>
      </c>
      <c r="D148" s="3">
        <v>14.98</v>
      </c>
      <c r="E148" s="3">
        <v>0</v>
      </c>
      <c r="F148">
        <v>41</v>
      </c>
      <c r="G148" t="s">
        <v>15</v>
      </c>
      <c r="H148" s="4">
        <v>46006</v>
      </c>
      <c r="I148" t="s">
        <v>13</v>
      </c>
      <c r="J148">
        <v>3.75</v>
      </c>
      <c r="K148" s="3">
        <v>112.65</v>
      </c>
    </row>
    <row r="149" spans="1:11" x14ac:dyDescent="0.25">
      <c r="A149">
        <v>399663</v>
      </c>
      <c r="B149" t="s">
        <v>40</v>
      </c>
      <c r="C149" s="3">
        <v>15.89</v>
      </c>
      <c r="D149" s="3">
        <v>14.98</v>
      </c>
      <c r="E149" s="3">
        <v>0</v>
      </c>
      <c r="F149">
        <v>41</v>
      </c>
      <c r="G149" t="s">
        <v>15</v>
      </c>
      <c r="H149" s="4">
        <v>46006</v>
      </c>
      <c r="I149" t="s">
        <v>21</v>
      </c>
      <c r="J149">
        <v>4.25</v>
      </c>
      <c r="K149" s="3">
        <v>162.52000000000001</v>
      </c>
    </row>
    <row r="150" spans="1:11" x14ac:dyDescent="0.25">
      <c r="A150">
        <v>399663</v>
      </c>
      <c r="B150" t="s">
        <v>40</v>
      </c>
      <c r="C150" s="3">
        <v>15.89</v>
      </c>
      <c r="D150" s="3">
        <v>14.98</v>
      </c>
      <c r="E150" s="3">
        <v>0</v>
      </c>
      <c r="F150">
        <v>41</v>
      </c>
      <c r="G150" t="s">
        <v>15</v>
      </c>
      <c r="H150" s="4">
        <v>46007</v>
      </c>
      <c r="I150" t="s">
        <v>13</v>
      </c>
      <c r="J150">
        <v>3.5</v>
      </c>
      <c r="K150" s="3">
        <v>105.14</v>
      </c>
    </row>
    <row r="151" spans="1:11" x14ac:dyDescent="0.25">
      <c r="A151">
        <v>399663</v>
      </c>
      <c r="B151" t="s">
        <v>40</v>
      </c>
      <c r="C151" s="3">
        <v>15.89</v>
      </c>
      <c r="D151" s="3">
        <v>14.98</v>
      </c>
      <c r="E151" s="3">
        <v>0</v>
      </c>
      <c r="F151">
        <v>41</v>
      </c>
      <c r="G151" t="s">
        <v>15</v>
      </c>
      <c r="H151" s="4">
        <v>46007</v>
      </c>
      <c r="I151" t="s">
        <v>21</v>
      </c>
      <c r="J151">
        <v>3.75</v>
      </c>
      <c r="K151" s="3">
        <v>143.4</v>
      </c>
    </row>
    <row r="152" spans="1:11" x14ac:dyDescent="0.25">
      <c r="A152">
        <v>399663</v>
      </c>
      <c r="B152" t="s">
        <v>40</v>
      </c>
      <c r="C152" s="3">
        <v>15.89</v>
      </c>
      <c r="D152" s="3">
        <v>14.98</v>
      </c>
      <c r="E152" s="3">
        <v>0</v>
      </c>
      <c r="F152">
        <v>41</v>
      </c>
      <c r="G152" t="s">
        <v>15</v>
      </c>
      <c r="H152" s="4">
        <v>46008</v>
      </c>
      <c r="I152" t="s">
        <v>13</v>
      </c>
      <c r="J152">
        <v>3.75</v>
      </c>
      <c r="K152" s="3">
        <v>112.65</v>
      </c>
    </row>
    <row r="153" spans="1:11" x14ac:dyDescent="0.25">
      <c r="A153">
        <v>399663</v>
      </c>
      <c r="B153" t="s">
        <v>40</v>
      </c>
      <c r="C153" s="3">
        <v>15.89</v>
      </c>
      <c r="D153" s="3">
        <v>14.98</v>
      </c>
      <c r="E153" s="3">
        <v>0</v>
      </c>
      <c r="F153">
        <v>41</v>
      </c>
      <c r="G153" t="s">
        <v>15</v>
      </c>
      <c r="H153" s="4">
        <v>46008</v>
      </c>
      <c r="I153" t="s">
        <v>21</v>
      </c>
      <c r="J153">
        <v>4.25</v>
      </c>
      <c r="K153" s="3">
        <v>162.52000000000001</v>
      </c>
    </row>
    <row r="154" spans="1:11" x14ac:dyDescent="0.25">
      <c r="A154">
        <v>399663</v>
      </c>
      <c r="B154" t="s">
        <v>40</v>
      </c>
      <c r="C154" s="3">
        <v>15.89</v>
      </c>
      <c r="D154" s="3">
        <v>14.98</v>
      </c>
      <c r="E154" s="3">
        <v>0</v>
      </c>
      <c r="F154">
        <v>41</v>
      </c>
      <c r="G154" t="s">
        <v>15</v>
      </c>
      <c r="H154" s="4">
        <v>46009</v>
      </c>
      <c r="I154" t="s">
        <v>13</v>
      </c>
      <c r="J154">
        <v>3.5</v>
      </c>
      <c r="K154" s="3">
        <v>105.14</v>
      </c>
    </row>
    <row r="155" spans="1:11" x14ac:dyDescent="0.25">
      <c r="A155">
        <v>399663</v>
      </c>
      <c r="B155" t="s">
        <v>40</v>
      </c>
      <c r="C155" s="3">
        <v>15.89</v>
      </c>
      <c r="D155" s="3">
        <v>14.98</v>
      </c>
      <c r="E155" s="3">
        <v>0</v>
      </c>
      <c r="F155">
        <v>41</v>
      </c>
      <c r="G155" t="s">
        <v>15</v>
      </c>
      <c r="H155" s="4">
        <v>46009</v>
      </c>
      <c r="I155" t="s">
        <v>21</v>
      </c>
      <c r="J155">
        <v>3.75</v>
      </c>
      <c r="K155" s="3">
        <v>143.4</v>
      </c>
    </row>
    <row r="156" spans="1:11" x14ac:dyDescent="0.25">
      <c r="A156">
        <v>399663</v>
      </c>
      <c r="B156" t="s">
        <v>40</v>
      </c>
      <c r="C156" s="3">
        <v>15.89</v>
      </c>
      <c r="D156" s="3">
        <v>14.98</v>
      </c>
      <c r="E156" s="3">
        <v>0</v>
      </c>
      <c r="F156">
        <v>41</v>
      </c>
      <c r="G156" t="s">
        <v>15</v>
      </c>
      <c r="H156" s="4">
        <v>46010</v>
      </c>
      <c r="I156" t="s">
        <v>13</v>
      </c>
      <c r="J156">
        <v>3.75</v>
      </c>
      <c r="K156" s="3">
        <v>112.65</v>
      </c>
    </row>
    <row r="157" spans="1:11" x14ac:dyDescent="0.25">
      <c r="A157">
        <v>399663</v>
      </c>
      <c r="B157" t="s">
        <v>40</v>
      </c>
      <c r="C157" s="3">
        <v>15.89</v>
      </c>
      <c r="D157" s="3">
        <v>14.98</v>
      </c>
      <c r="E157" s="3">
        <v>0</v>
      </c>
      <c r="F157">
        <v>41</v>
      </c>
      <c r="G157" t="s">
        <v>15</v>
      </c>
      <c r="H157" s="4">
        <v>46010</v>
      </c>
      <c r="I157" t="s">
        <v>21</v>
      </c>
      <c r="J157">
        <v>3.5</v>
      </c>
      <c r="K157" s="3">
        <v>133.84</v>
      </c>
    </row>
    <row r="158" spans="1:11" x14ac:dyDescent="0.25">
      <c r="A158">
        <v>399664</v>
      </c>
      <c r="B158" t="s">
        <v>41</v>
      </c>
      <c r="C158" s="3">
        <v>15.89</v>
      </c>
      <c r="D158" s="3">
        <v>14.98</v>
      </c>
      <c r="E158" s="3">
        <v>0</v>
      </c>
      <c r="F158">
        <v>41</v>
      </c>
      <c r="G158" t="s">
        <v>15</v>
      </c>
      <c r="H158" s="4">
        <v>46007</v>
      </c>
      <c r="I158" t="s">
        <v>13</v>
      </c>
      <c r="J158">
        <v>8</v>
      </c>
      <c r="K158" s="3">
        <v>240.32</v>
      </c>
    </row>
    <row r="159" spans="1:11" x14ac:dyDescent="0.25">
      <c r="A159">
        <v>399664</v>
      </c>
      <c r="B159" t="s">
        <v>41</v>
      </c>
      <c r="C159" s="3">
        <v>15.89</v>
      </c>
      <c r="D159" s="3">
        <v>14.98</v>
      </c>
      <c r="E159" s="3">
        <v>0</v>
      </c>
      <c r="F159">
        <v>41</v>
      </c>
      <c r="G159" t="s">
        <v>15</v>
      </c>
      <c r="H159" s="4">
        <v>46008</v>
      </c>
      <c r="I159" t="s">
        <v>13</v>
      </c>
      <c r="J159">
        <v>8</v>
      </c>
      <c r="K159" s="3">
        <v>240.32</v>
      </c>
    </row>
    <row r="160" spans="1:11" x14ac:dyDescent="0.25">
      <c r="A160">
        <v>399664</v>
      </c>
      <c r="B160" t="s">
        <v>41</v>
      </c>
      <c r="C160" s="3">
        <v>15.89</v>
      </c>
      <c r="D160" s="3">
        <v>14.98</v>
      </c>
      <c r="E160" s="3">
        <v>0</v>
      </c>
      <c r="F160">
        <v>41</v>
      </c>
      <c r="G160" t="s">
        <v>15</v>
      </c>
      <c r="H160" s="4">
        <v>46009</v>
      </c>
      <c r="I160" t="s">
        <v>13</v>
      </c>
      <c r="J160">
        <v>8</v>
      </c>
      <c r="K160" s="3">
        <v>240.32</v>
      </c>
    </row>
    <row r="161" spans="1:11" x14ac:dyDescent="0.25">
      <c r="A161">
        <v>399664</v>
      </c>
      <c r="B161" t="s">
        <v>41</v>
      </c>
      <c r="C161" s="3">
        <v>15.89</v>
      </c>
      <c r="D161" s="3">
        <v>14.98</v>
      </c>
      <c r="E161" s="3">
        <v>0</v>
      </c>
      <c r="F161">
        <v>41</v>
      </c>
      <c r="G161" t="s">
        <v>15</v>
      </c>
      <c r="H161" s="4">
        <v>46010</v>
      </c>
      <c r="I161" t="s">
        <v>13</v>
      </c>
      <c r="J161">
        <v>8</v>
      </c>
      <c r="K161" s="3">
        <v>240.32</v>
      </c>
    </row>
    <row r="162" spans="1:11" x14ac:dyDescent="0.25">
      <c r="A162">
        <v>400658</v>
      </c>
      <c r="B162" t="s">
        <v>42</v>
      </c>
      <c r="C162" s="3">
        <v>16.09</v>
      </c>
      <c r="D162" s="3">
        <v>15.17</v>
      </c>
      <c r="E162" s="3">
        <v>0</v>
      </c>
      <c r="F162">
        <v>97</v>
      </c>
      <c r="G162" t="s">
        <v>19</v>
      </c>
      <c r="H162" s="4">
        <v>46006</v>
      </c>
      <c r="I162" t="s">
        <v>13</v>
      </c>
      <c r="J162">
        <v>8</v>
      </c>
      <c r="K162" s="3">
        <v>243.6</v>
      </c>
    </row>
    <row r="163" spans="1:11" x14ac:dyDescent="0.25">
      <c r="A163">
        <v>400658</v>
      </c>
      <c r="B163" t="s">
        <v>42</v>
      </c>
      <c r="C163" s="3">
        <v>16.09</v>
      </c>
      <c r="D163" s="3">
        <v>15.17</v>
      </c>
      <c r="E163" s="3">
        <v>0</v>
      </c>
      <c r="F163">
        <v>97</v>
      </c>
      <c r="G163" t="s">
        <v>19</v>
      </c>
      <c r="H163" s="4">
        <v>46007</v>
      </c>
      <c r="I163" t="s">
        <v>13</v>
      </c>
      <c r="J163">
        <v>8</v>
      </c>
      <c r="K163" s="3">
        <v>243.6</v>
      </c>
    </row>
    <row r="164" spans="1:11" x14ac:dyDescent="0.25">
      <c r="A164">
        <v>400658</v>
      </c>
      <c r="B164" t="s">
        <v>42</v>
      </c>
      <c r="C164" s="3">
        <v>16.09</v>
      </c>
      <c r="D164" s="3">
        <v>15.17</v>
      </c>
      <c r="E164" s="3">
        <v>0</v>
      </c>
      <c r="F164">
        <v>97</v>
      </c>
      <c r="G164" t="s">
        <v>19</v>
      </c>
      <c r="H164" s="4">
        <v>46009</v>
      </c>
      <c r="I164" t="s">
        <v>13</v>
      </c>
      <c r="J164">
        <v>7.5</v>
      </c>
      <c r="K164" s="3">
        <v>228.38</v>
      </c>
    </row>
    <row r="165" spans="1:11" x14ac:dyDescent="0.25">
      <c r="A165">
        <v>400658</v>
      </c>
      <c r="B165" t="s">
        <v>42</v>
      </c>
      <c r="C165" s="3">
        <v>16.09</v>
      </c>
      <c r="D165" s="3">
        <v>15.17</v>
      </c>
      <c r="E165" s="3">
        <v>0</v>
      </c>
      <c r="F165">
        <v>97</v>
      </c>
      <c r="G165" t="s">
        <v>19</v>
      </c>
      <c r="H165" s="4">
        <v>46010</v>
      </c>
      <c r="I165" t="s">
        <v>13</v>
      </c>
      <c r="J165">
        <v>7.25</v>
      </c>
      <c r="K165" s="3">
        <v>220.76</v>
      </c>
    </row>
    <row r="166" spans="1:11" x14ac:dyDescent="0.25">
      <c r="A166">
        <v>401907</v>
      </c>
      <c r="B166" t="s">
        <v>43</v>
      </c>
      <c r="C166" s="3">
        <v>16.09</v>
      </c>
      <c r="D166" s="3">
        <v>15.17</v>
      </c>
      <c r="E166" s="3">
        <v>0</v>
      </c>
      <c r="F166">
        <v>99</v>
      </c>
      <c r="G166" t="s">
        <v>19</v>
      </c>
      <c r="H166" s="4">
        <v>46006</v>
      </c>
      <c r="I166" t="s">
        <v>13</v>
      </c>
      <c r="J166">
        <v>2</v>
      </c>
      <c r="K166" s="3">
        <v>60.9</v>
      </c>
    </row>
    <row r="167" spans="1:11" x14ac:dyDescent="0.25">
      <c r="A167">
        <v>401907</v>
      </c>
      <c r="B167" t="s">
        <v>43</v>
      </c>
      <c r="C167" s="3">
        <v>16.09</v>
      </c>
      <c r="D167" s="3">
        <v>15.17</v>
      </c>
      <c r="E167" s="3">
        <v>0</v>
      </c>
      <c r="F167">
        <v>99</v>
      </c>
      <c r="G167" t="s">
        <v>19</v>
      </c>
      <c r="H167" s="4">
        <v>46006</v>
      </c>
      <c r="I167" t="s">
        <v>21</v>
      </c>
      <c r="J167">
        <v>4.5</v>
      </c>
      <c r="K167" s="3">
        <v>174.11</v>
      </c>
    </row>
    <row r="168" spans="1:11" x14ac:dyDescent="0.25">
      <c r="A168">
        <v>401907</v>
      </c>
      <c r="B168" t="s">
        <v>43</v>
      </c>
      <c r="C168" s="3">
        <v>16.09</v>
      </c>
      <c r="D168" s="3">
        <v>15.17</v>
      </c>
      <c r="E168" s="3">
        <v>0</v>
      </c>
      <c r="F168">
        <v>99</v>
      </c>
      <c r="G168" t="s">
        <v>19</v>
      </c>
      <c r="H168" s="4">
        <v>46007</v>
      </c>
      <c r="I168" t="s">
        <v>13</v>
      </c>
      <c r="J168">
        <v>2.25</v>
      </c>
      <c r="K168" s="3">
        <v>68.510000000000005</v>
      </c>
    </row>
    <row r="169" spans="1:11" x14ac:dyDescent="0.25">
      <c r="A169">
        <v>401907</v>
      </c>
      <c r="B169" t="s">
        <v>43</v>
      </c>
      <c r="C169" s="3">
        <v>16.09</v>
      </c>
      <c r="D169" s="3">
        <v>15.17</v>
      </c>
      <c r="E169" s="3">
        <v>0</v>
      </c>
      <c r="F169">
        <v>99</v>
      </c>
      <c r="G169" t="s">
        <v>19</v>
      </c>
      <c r="H169" s="4">
        <v>46007</v>
      </c>
      <c r="I169" t="s">
        <v>21</v>
      </c>
      <c r="J169">
        <v>3.75</v>
      </c>
      <c r="K169" s="3">
        <v>145.09</v>
      </c>
    </row>
    <row r="170" spans="1:11" x14ac:dyDescent="0.25">
      <c r="A170">
        <v>401907</v>
      </c>
      <c r="B170" t="s">
        <v>43</v>
      </c>
      <c r="C170" s="3">
        <v>16.09</v>
      </c>
      <c r="D170" s="3">
        <v>15.17</v>
      </c>
      <c r="E170" s="3">
        <v>0</v>
      </c>
      <c r="F170">
        <v>99</v>
      </c>
      <c r="G170" t="s">
        <v>19</v>
      </c>
      <c r="H170" s="4">
        <v>46008</v>
      </c>
      <c r="I170" t="s">
        <v>13</v>
      </c>
      <c r="J170">
        <v>2</v>
      </c>
      <c r="K170" s="3">
        <v>60.9</v>
      </c>
    </row>
    <row r="171" spans="1:11" x14ac:dyDescent="0.25">
      <c r="A171">
        <v>401907</v>
      </c>
      <c r="B171" t="s">
        <v>43</v>
      </c>
      <c r="C171" s="3">
        <v>16.09</v>
      </c>
      <c r="D171" s="3">
        <v>15.17</v>
      </c>
      <c r="E171" s="3">
        <v>0</v>
      </c>
      <c r="F171">
        <v>99</v>
      </c>
      <c r="G171" t="s">
        <v>19</v>
      </c>
      <c r="H171" s="4">
        <v>46008</v>
      </c>
      <c r="I171" t="s">
        <v>21</v>
      </c>
      <c r="J171">
        <v>5</v>
      </c>
      <c r="K171" s="3">
        <v>193.45</v>
      </c>
    </row>
    <row r="172" spans="1:11" x14ac:dyDescent="0.25">
      <c r="A172">
        <v>401907</v>
      </c>
      <c r="B172" t="s">
        <v>43</v>
      </c>
      <c r="C172" s="3">
        <v>16.09</v>
      </c>
      <c r="D172" s="3">
        <v>15.17</v>
      </c>
      <c r="E172" s="3">
        <v>0</v>
      </c>
      <c r="F172">
        <v>99</v>
      </c>
      <c r="G172" t="s">
        <v>19</v>
      </c>
      <c r="H172" s="4">
        <v>46009</v>
      </c>
      <c r="I172" t="s">
        <v>13</v>
      </c>
      <c r="J172">
        <v>2.25</v>
      </c>
      <c r="K172" s="3">
        <v>68.510000000000005</v>
      </c>
    </row>
    <row r="173" spans="1:11" x14ac:dyDescent="0.25">
      <c r="A173">
        <v>401907</v>
      </c>
      <c r="B173" t="s">
        <v>43</v>
      </c>
      <c r="C173" s="3">
        <v>16.09</v>
      </c>
      <c r="D173" s="3">
        <v>15.17</v>
      </c>
      <c r="E173" s="3">
        <v>0</v>
      </c>
      <c r="F173">
        <v>99</v>
      </c>
      <c r="G173" t="s">
        <v>19</v>
      </c>
      <c r="H173" s="4">
        <v>46009</v>
      </c>
      <c r="I173" t="s">
        <v>21</v>
      </c>
      <c r="J173">
        <v>3.5</v>
      </c>
      <c r="K173" s="3">
        <v>135.41999999999999</v>
      </c>
    </row>
    <row r="174" spans="1:11" x14ac:dyDescent="0.25">
      <c r="A174">
        <v>401907</v>
      </c>
      <c r="B174" t="s">
        <v>43</v>
      </c>
      <c r="C174" s="3">
        <v>16.09</v>
      </c>
      <c r="D174" s="3">
        <v>15.17</v>
      </c>
      <c r="E174" s="3">
        <v>0</v>
      </c>
      <c r="F174">
        <v>99</v>
      </c>
      <c r="G174" t="s">
        <v>19</v>
      </c>
      <c r="H174" s="4">
        <v>46010</v>
      </c>
      <c r="I174" t="s">
        <v>13</v>
      </c>
      <c r="J174">
        <v>2</v>
      </c>
      <c r="K174" s="3">
        <v>60.9</v>
      </c>
    </row>
    <row r="175" spans="1:11" x14ac:dyDescent="0.25">
      <c r="A175">
        <v>401907</v>
      </c>
      <c r="B175" t="s">
        <v>43</v>
      </c>
      <c r="C175" s="3">
        <v>16.09</v>
      </c>
      <c r="D175" s="3">
        <v>15.17</v>
      </c>
      <c r="E175" s="3">
        <v>0</v>
      </c>
      <c r="F175">
        <v>99</v>
      </c>
      <c r="G175" t="s">
        <v>19</v>
      </c>
      <c r="H175" s="4">
        <v>46010</v>
      </c>
      <c r="I175" t="s">
        <v>21</v>
      </c>
      <c r="J175">
        <v>3.75</v>
      </c>
      <c r="K175" s="3">
        <v>145.09</v>
      </c>
    </row>
    <row r="176" spans="1:11" x14ac:dyDescent="0.25">
      <c r="A176">
        <v>406836</v>
      </c>
      <c r="B176" t="s">
        <v>44</v>
      </c>
      <c r="C176" s="3">
        <v>16.77</v>
      </c>
      <c r="D176" s="3">
        <v>15.8</v>
      </c>
      <c r="E176" s="3">
        <v>0</v>
      </c>
      <c r="F176">
        <v>104</v>
      </c>
      <c r="G176" t="s">
        <v>19</v>
      </c>
      <c r="H176" s="4">
        <v>46006</v>
      </c>
      <c r="I176" t="s">
        <v>13</v>
      </c>
      <c r="J176">
        <v>2.25</v>
      </c>
      <c r="K176" s="3">
        <v>71.12</v>
      </c>
    </row>
    <row r="177" spans="1:11" x14ac:dyDescent="0.25">
      <c r="A177">
        <v>406836</v>
      </c>
      <c r="B177" t="s">
        <v>44</v>
      </c>
      <c r="C177" s="3">
        <v>16.77</v>
      </c>
      <c r="D177" s="3">
        <v>15.8</v>
      </c>
      <c r="E177" s="3">
        <v>0</v>
      </c>
      <c r="F177">
        <v>104</v>
      </c>
      <c r="G177" t="s">
        <v>19</v>
      </c>
      <c r="H177" s="4">
        <v>46006</v>
      </c>
      <c r="I177" t="s">
        <v>21</v>
      </c>
      <c r="J177">
        <v>5.25</v>
      </c>
      <c r="K177" s="3">
        <v>211.05</v>
      </c>
    </row>
    <row r="178" spans="1:11" x14ac:dyDescent="0.25">
      <c r="A178">
        <v>406836</v>
      </c>
      <c r="B178" t="s">
        <v>44</v>
      </c>
      <c r="C178" s="3">
        <v>16.77</v>
      </c>
      <c r="D178" s="3">
        <v>15.8</v>
      </c>
      <c r="E178" s="3">
        <v>0</v>
      </c>
      <c r="F178">
        <v>104</v>
      </c>
      <c r="G178" t="s">
        <v>19</v>
      </c>
      <c r="H178" s="4">
        <v>46006</v>
      </c>
      <c r="I178" t="s">
        <v>22</v>
      </c>
      <c r="J178">
        <v>0.25</v>
      </c>
      <c r="K178" s="3">
        <v>10.18</v>
      </c>
    </row>
    <row r="179" spans="1:11" x14ac:dyDescent="0.25">
      <c r="A179">
        <v>406836</v>
      </c>
      <c r="B179" t="s">
        <v>44</v>
      </c>
      <c r="C179" s="3">
        <v>16.77</v>
      </c>
      <c r="D179" s="3">
        <v>15.8</v>
      </c>
      <c r="E179" s="3">
        <v>0</v>
      </c>
      <c r="F179">
        <v>104</v>
      </c>
      <c r="G179" t="s">
        <v>19</v>
      </c>
      <c r="H179" s="4">
        <v>46007</v>
      </c>
      <c r="I179" t="s">
        <v>13</v>
      </c>
      <c r="J179">
        <v>2.25</v>
      </c>
      <c r="K179" s="3">
        <v>71.12</v>
      </c>
    </row>
    <row r="180" spans="1:11" x14ac:dyDescent="0.25">
      <c r="A180">
        <v>406836</v>
      </c>
      <c r="B180" t="s">
        <v>44</v>
      </c>
      <c r="C180" s="3">
        <v>16.77</v>
      </c>
      <c r="D180" s="3">
        <v>15.8</v>
      </c>
      <c r="E180" s="3">
        <v>0</v>
      </c>
      <c r="F180">
        <v>104</v>
      </c>
      <c r="G180" t="s">
        <v>19</v>
      </c>
      <c r="H180" s="4">
        <v>46007</v>
      </c>
      <c r="I180" t="s">
        <v>21</v>
      </c>
      <c r="J180">
        <v>3.75</v>
      </c>
      <c r="K180" s="3">
        <v>150.75</v>
      </c>
    </row>
    <row r="181" spans="1:11" x14ac:dyDescent="0.25">
      <c r="A181">
        <v>406836</v>
      </c>
      <c r="B181" t="s">
        <v>44</v>
      </c>
      <c r="C181" s="3">
        <v>16.77</v>
      </c>
      <c r="D181" s="3">
        <v>15.8</v>
      </c>
      <c r="E181" s="3">
        <v>0</v>
      </c>
      <c r="F181">
        <v>104</v>
      </c>
      <c r="G181" t="s">
        <v>19</v>
      </c>
      <c r="H181" s="4">
        <v>46008</v>
      </c>
      <c r="I181" t="s">
        <v>13</v>
      </c>
      <c r="J181">
        <v>2.25</v>
      </c>
      <c r="K181" s="3">
        <v>71.12</v>
      </c>
    </row>
    <row r="182" spans="1:11" x14ac:dyDescent="0.25">
      <c r="A182">
        <v>406836</v>
      </c>
      <c r="B182" t="s">
        <v>44</v>
      </c>
      <c r="C182" s="3">
        <v>16.77</v>
      </c>
      <c r="D182" s="3">
        <v>15.8</v>
      </c>
      <c r="E182" s="3">
        <v>0</v>
      </c>
      <c r="F182">
        <v>104</v>
      </c>
      <c r="G182" t="s">
        <v>19</v>
      </c>
      <c r="H182" s="4">
        <v>46008</v>
      </c>
      <c r="I182" t="s">
        <v>21</v>
      </c>
      <c r="J182">
        <v>5.25</v>
      </c>
      <c r="K182" s="3">
        <v>211.05</v>
      </c>
    </row>
    <row r="183" spans="1:11" x14ac:dyDescent="0.25">
      <c r="A183">
        <v>406836</v>
      </c>
      <c r="B183" t="s">
        <v>44</v>
      </c>
      <c r="C183" s="3">
        <v>16.77</v>
      </c>
      <c r="D183" s="3">
        <v>15.8</v>
      </c>
      <c r="E183" s="3">
        <v>0</v>
      </c>
      <c r="F183">
        <v>104</v>
      </c>
      <c r="G183" t="s">
        <v>19</v>
      </c>
      <c r="H183" s="4">
        <v>46008</v>
      </c>
      <c r="I183" t="s">
        <v>22</v>
      </c>
      <c r="J183">
        <v>0.5</v>
      </c>
      <c r="K183" s="3">
        <v>20.36</v>
      </c>
    </row>
    <row r="184" spans="1:11" x14ac:dyDescent="0.25">
      <c r="A184">
        <v>406836</v>
      </c>
      <c r="B184" t="s">
        <v>44</v>
      </c>
      <c r="C184" s="3">
        <v>16.77</v>
      </c>
      <c r="D184" s="3">
        <v>15.8</v>
      </c>
      <c r="E184" s="3">
        <v>0</v>
      </c>
      <c r="F184">
        <v>104</v>
      </c>
      <c r="G184" t="s">
        <v>19</v>
      </c>
      <c r="H184" s="4">
        <v>46009</v>
      </c>
      <c r="I184" t="s">
        <v>13</v>
      </c>
      <c r="J184">
        <v>2.25</v>
      </c>
      <c r="K184" s="3">
        <v>71.12</v>
      </c>
    </row>
    <row r="185" spans="1:11" x14ac:dyDescent="0.25">
      <c r="A185">
        <v>406836</v>
      </c>
      <c r="B185" t="s">
        <v>44</v>
      </c>
      <c r="C185" s="3">
        <v>16.77</v>
      </c>
      <c r="D185" s="3">
        <v>15.8</v>
      </c>
      <c r="E185" s="3">
        <v>0</v>
      </c>
      <c r="F185">
        <v>104</v>
      </c>
      <c r="G185" t="s">
        <v>19</v>
      </c>
      <c r="H185" s="4">
        <v>46009</v>
      </c>
      <c r="I185" t="s">
        <v>21</v>
      </c>
      <c r="J185">
        <v>5.25</v>
      </c>
      <c r="K185" s="3">
        <v>211.05</v>
      </c>
    </row>
    <row r="186" spans="1:11" x14ac:dyDescent="0.25">
      <c r="A186">
        <v>406836</v>
      </c>
      <c r="B186" t="s">
        <v>44</v>
      </c>
      <c r="C186" s="3">
        <v>16.77</v>
      </c>
      <c r="D186" s="3">
        <v>15.8</v>
      </c>
      <c r="E186" s="3">
        <v>0</v>
      </c>
      <c r="F186">
        <v>104</v>
      </c>
      <c r="G186" t="s">
        <v>19</v>
      </c>
      <c r="H186" s="4">
        <v>46009</v>
      </c>
      <c r="I186" t="s">
        <v>22</v>
      </c>
      <c r="J186">
        <v>0.5</v>
      </c>
      <c r="K186" s="3">
        <v>20.36</v>
      </c>
    </row>
    <row r="187" spans="1:11" x14ac:dyDescent="0.25">
      <c r="A187">
        <v>406836</v>
      </c>
      <c r="B187" t="s">
        <v>44</v>
      </c>
      <c r="C187" s="3">
        <v>16.77</v>
      </c>
      <c r="D187" s="3">
        <v>15.8</v>
      </c>
      <c r="E187" s="3">
        <v>0</v>
      </c>
      <c r="F187">
        <v>104</v>
      </c>
      <c r="G187" t="s">
        <v>19</v>
      </c>
      <c r="H187" s="4">
        <v>46010</v>
      </c>
      <c r="I187" t="s">
        <v>13</v>
      </c>
      <c r="J187">
        <v>2.25</v>
      </c>
      <c r="K187" s="3">
        <v>71.12</v>
      </c>
    </row>
    <row r="188" spans="1:11" x14ac:dyDescent="0.25">
      <c r="A188">
        <v>406836</v>
      </c>
      <c r="B188" t="s">
        <v>44</v>
      </c>
      <c r="C188" s="3">
        <v>16.77</v>
      </c>
      <c r="D188" s="3">
        <v>15.8</v>
      </c>
      <c r="E188" s="3">
        <v>0</v>
      </c>
      <c r="F188">
        <v>104</v>
      </c>
      <c r="G188" t="s">
        <v>19</v>
      </c>
      <c r="H188" s="4">
        <v>46010</v>
      </c>
      <c r="I188" t="s">
        <v>21</v>
      </c>
      <c r="J188">
        <v>4.75</v>
      </c>
      <c r="K188" s="3">
        <v>190.95</v>
      </c>
    </row>
    <row r="189" spans="1:11" x14ac:dyDescent="0.25">
      <c r="A189">
        <v>408973</v>
      </c>
      <c r="B189" t="s">
        <v>45</v>
      </c>
      <c r="C189" s="3">
        <v>15.89</v>
      </c>
      <c r="D189" s="3">
        <v>14.98</v>
      </c>
      <c r="E189" s="3">
        <v>0</v>
      </c>
      <c r="F189">
        <v>95</v>
      </c>
      <c r="G189" t="s">
        <v>19</v>
      </c>
      <c r="H189" s="4">
        <v>46006</v>
      </c>
      <c r="I189" t="s">
        <v>13</v>
      </c>
      <c r="J189">
        <v>8</v>
      </c>
      <c r="K189" s="3">
        <v>240.88</v>
      </c>
    </row>
    <row r="190" spans="1:11" x14ac:dyDescent="0.25">
      <c r="A190">
        <v>408973</v>
      </c>
      <c r="B190" t="s">
        <v>45</v>
      </c>
      <c r="C190" s="3">
        <v>15.89</v>
      </c>
      <c r="D190" s="3">
        <v>14.98</v>
      </c>
      <c r="E190" s="3">
        <v>0</v>
      </c>
      <c r="F190">
        <v>95</v>
      </c>
      <c r="G190" t="s">
        <v>19</v>
      </c>
      <c r="H190" s="4">
        <v>46007</v>
      </c>
      <c r="I190" t="s">
        <v>13</v>
      </c>
      <c r="J190">
        <v>8</v>
      </c>
      <c r="K190" s="3">
        <v>240.88</v>
      </c>
    </row>
    <row r="191" spans="1:11" x14ac:dyDescent="0.25">
      <c r="A191">
        <v>408973</v>
      </c>
      <c r="B191" t="s">
        <v>45</v>
      </c>
      <c r="C191" s="3">
        <v>15.89</v>
      </c>
      <c r="D191" s="3">
        <v>14.98</v>
      </c>
      <c r="E191" s="3">
        <v>0</v>
      </c>
      <c r="F191">
        <v>95</v>
      </c>
      <c r="G191" t="s">
        <v>19</v>
      </c>
      <c r="H191" s="4">
        <v>46008</v>
      </c>
      <c r="I191" t="s">
        <v>13</v>
      </c>
      <c r="J191">
        <v>7.75</v>
      </c>
      <c r="K191" s="3">
        <v>233.35</v>
      </c>
    </row>
    <row r="192" spans="1:11" x14ac:dyDescent="0.25">
      <c r="A192">
        <v>408973</v>
      </c>
      <c r="B192" t="s">
        <v>45</v>
      </c>
      <c r="C192" s="3">
        <v>15.89</v>
      </c>
      <c r="D192" s="3">
        <v>14.98</v>
      </c>
      <c r="E192" s="3">
        <v>0</v>
      </c>
      <c r="F192">
        <v>95</v>
      </c>
      <c r="G192" t="s">
        <v>19</v>
      </c>
      <c r="H192" s="4">
        <v>46009</v>
      </c>
      <c r="I192" t="s">
        <v>13</v>
      </c>
      <c r="J192">
        <v>8</v>
      </c>
      <c r="K192" s="3">
        <v>240.88</v>
      </c>
    </row>
    <row r="193" spans="1:11" x14ac:dyDescent="0.25">
      <c r="A193">
        <v>408973</v>
      </c>
      <c r="B193" t="s">
        <v>45</v>
      </c>
      <c r="C193" s="3">
        <v>15.89</v>
      </c>
      <c r="D193" s="3">
        <v>14.98</v>
      </c>
      <c r="E193" s="3">
        <v>0</v>
      </c>
      <c r="F193">
        <v>95</v>
      </c>
      <c r="G193" t="s">
        <v>19</v>
      </c>
      <c r="H193" s="4">
        <v>46010</v>
      </c>
      <c r="I193" t="s">
        <v>13</v>
      </c>
      <c r="J193">
        <v>7.75</v>
      </c>
      <c r="K193" s="3">
        <v>233.35</v>
      </c>
    </row>
    <row r="194" spans="1:11" x14ac:dyDescent="0.25">
      <c r="A194">
        <v>408973</v>
      </c>
      <c r="B194" t="s">
        <v>45</v>
      </c>
      <c r="C194" s="3">
        <v>15.89</v>
      </c>
      <c r="D194" s="3">
        <v>14.98</v>
      </c>
      <c r="E194" s="3">
        <v>0</v>
      </c>
      <c r="F194">
        <v>95</v>
      </c>
      <c r="G194" t="s">
        <v>19</v>
      </c>
      <c r="H194" s="4">
        <v>46011</v>
      </c>
      <c r="I194" t="s">
        <v>13</v>
      </c>
      <c r="J194">
        <v>0.5</v>
      </c>
      <c r="K194" s="3">
        <v>15.06</v>
      </c>
    </row>
    <row r="195" spans="1:11" x14ac:dyDescent="0.25">
      <c r="A195">
        <v>408973</v>
      </c>
      <c r="B195" t="s">
        <v>45</v>
      </c>
      <c r="C195" s="3">
        <v>15.89</v>
      </c>
      <c r="D195" s="3">
        <v>14.98</v>
      </c>
      <c r="E195" s="3">
        <v>0</v>
      </c>
      <c r="F195">
        <v>95</v>
      </c>
      <c r="G195" t="s">
        <v>19</v>
      </c>
      <c r="H195" s="4">
        <v>46011</v>
      </c>
      <c r="I195" t="s">
        <v>24</v>
      </c>
      <c r="J195">
        <v>5.5</v>
      </c>
      <c r="K195" s="3">
        <v>198.61</v>
      </c>
    </row>
    <row r="196" spans="1:11" x14ac:dyDescent="0.25">
      <c r="A196">
        <v>410116</v>
      </c>
      <c r="B196" t="s">
        <v>46</v>
      </c>
      <c r="C196" s="3">
        <v>17.64</v>
      </c>
      <c r="D196" s="3">
        <v>16.62</v>
      </c>
      <c r="E196" s="3">
        <v>0</v>
      </c>
      <c r="F196">
        <v>97</v>
      </c>
      <c r="G196" t="s">
        <v>19</v>
      </c>
      <c r="H196" s="4">
        <v>46006</v>
      </c>
      <c r="I196" t="s">
        <v>13</v>
      </c>
      <c r="J196">
        <v>4.75</v>
      </c>
      <c r="K196" s="3">
        <v>157.22999999999999</v>
      </c>
    </row>
    <row r="197" spans="1:11" x14ac:dyDescent="0.25">
      <c r="A197">
        <v>410116</v>
      </c>
      <c r="B197" t="s">
        <v>46</v>
      </c>
      <c r="C197" s="3">
        <v>17.64</v>
      </c>
      <c r="D197" s="3">
        <v>16.62</v>
      </c>
      <c r="E197" s="3">
        <v>0</v>
      </c>
      <c r="F197">
        <v>97</v>
      </c>
      <c r="G197" t="s">
        <v>19</v>
      </c>
      <c r="H197" s="4">
        <v>46007</v>
      </c>
      <c r="I197" t="s">
        <v>13</v>
      </c>
      <c r="J197">
        <v>7.75</v>
      </c>
      <c r="K197" s="3">
        <v>256.52999999999997</v>
      </c>
    </row>
    <row r="198" spans="1:11" x14ac:dyDescent="0.25">
      <c r="A198">
        <v>410116</v>
      </c>
      <c r="B198" t="s">
        <v>46</v>
      </c>
      <c r="C198" s="3">
        <v>17.64</v>
      </c>
      <c r="D198" s="3">
        <v>16.62</v>
      </c>
      <c r="E198" s="3">
        <v>0</v>
      </c>
      <c r="F198">
        <v>97</v>
      </c>
      <c r="G198" t="s">
        <v>19</v>
      </c>
      <c r="H198" s="4">
        <v>46010</v>
      </c>
      <c r="I198" t="s">
        <v>13</v>
      </c>
      <c r="J198">
        <v>8</v>
      </c>
      <c r="K198" s="3">
        <v>264.8</v>
      </c>
    </row>
    <row r="199" spans="1:11" x14ac:dyDescent="0.25">
      <c r="A199">
        <v>411940</v>
      </c>
      <c r="B199" t="s">
        <v>47</v>
      </c>
      <c r="C199" s="3">
        <v>16.77</v>
      </c>
      <c r="D199" s="3">
        <v>15.8</v>
      </c>
      <c r="E199" s="3">
        <v>0</v>
      </c>
      <c r="F199">
        <v>81</v>
      </c>
      <c r="G199" t="s">
        <v>19</v>
      </c>
      <c r="H199" s="4">
        <v>46006</v>
      </c>
      <c r="I199" t="s">
        <v>13</v>
      </c>
      <c r="J199">
        <v>2.5</v>
      </c>
      <c r="K199" s="3">
        <v>79.03</v>
      </c>
    </row>
    <row r="200" spans="1:11" x14ac:dyDescent="0.25">
      <c r="A200">
        <v>411940</v>
      </c>
      <c r="B200" t="s">
        <v>47</v>
      </c>
      <c r="C200" s="3">
        <v>16.77</v>
      </c>
      <c r="D200" s="3">
        <v>15.8</v>
      </c>
      <c r="E200" s="3">
        <v>0</v>
      </c>
      <c r="F200">
        <v>81</v>
      </c>
      <c r="G200" t="s">
        <v>19</v>
      </c>
      <c r="H200" s="4">
        <v>46006</v>
      </c>
      <c r="I200" t="s">
        <v>21</v>
      </c>
      <c r="J200">
        <v>5.25</v>
      </c>
      <c r="K200" s="3">
        <v>211.05</v>
      </c>
    </row>
    <row r="201" spans="1:11" x14ac:dyDescent="0.25">
      <c r="A201">
        <v>411940</v>
      </c>
      <c r="B201" t="s">
        <v>47</v>
      </c>
      <c r="C201" s="3">
        <v>16.77</v>
      </c>
      <c r="D201" s="3">
        <v>15.8</v>
      </c>
      <c r="E201" s="3">
        <v>0</v>
      </c>
      <c r="F201">
        <v>81</v>
      </c>
      <c r="G201" t="s">
        <v>19</v>
      </c>
      <c r="H201" s="4">
        <v>46006</v>
      </c>
      <c r="I201" t="s">
        <v>22</v>
      </c>
      <c r="J201">
        <v>0.5</v>
      </c>
      <c r="K201" s="3">
        <v>20.36</v>
      </c>
    </row>
    <row r="202" spans="1:11" x14ac:dyDescent="0.25">
      <c r="A202">
        <v>411940</v>
      </c>
      <c r="B202" t="s">
        <v>47</v>
      </c>
      <c r="C202" s="3">
        <v>16.77</v>
      </c>
      <c r="D202" s="3">
        <v>15.8</v>
      </c>
      <c r="E202" s="3">
        <v>0</v>
      </c>
      <c r="F202">
        <v>81</v>
      </c>
      <c r="G202" t="s">
        <v>19</v>
      </c>
      <c r="H202" s="4">
        <v>46007</v>
      </c>
      <c r="I202" t="s">
        <v>13</v>
      </c>
      <c r="J202">
        <v>2.75</v>
      </c>
      <c r="K202" s="3">
        <v>86.93</v>
      </c>
    </row>
    <row r="203" spans="1:11" x14ac:dyDescent="0.25">
      <c r="A203">
        <v>411940</v>
      </c>
      <c r="B203" t="s">
        <v>47</v>
      </c>
      <c r="C203" s="3">
        <v>16.77</v>
      </c>
      <c r="D203" s="3">
        <v>15.8</v>
      </c>
      <c r="E203" s="3">
        <v>0</v>
      </c>
      <c r="F203">
        <v>81</v>
      </c>
      <c r="G203" t="s">
        <v>19</v>
      </c>
      <c r="H203" s="4">
        <v>46007</v>
      </c>
      <c r="I203" t="s">
        <v>21</v>
      </c>
      <c r="J203">
        <v>5</v>
      </c>
      <c r="K203" s="3">
        <v>201</v>
      </c>
    </row>
    <row r="204" spans="1:11" x14ac:dyDescent="0.25">
      <c r="A204">
        <v>411940</v>
      </c>
      <c r="B204" t="s">
        <v>47</v>
      </c>
      <c r="C204" s="3">
        <v>16.77</v>
      </c>
      <c r="D204" s="3">
        <v>15.8</v>
      </c>
      <c r="E204" s="3">
        <v>0</v>
      </c>
      <c r="F204">
        <v>81</v>
      </c>
      <c r="G204" t="s">
        <v>19</v>
      </c>
      <c r="H204" s="4">
        <v>46008</v>
      </c>
      <c r="I204" t="s">
        <v>13</v>
      </c>
      <c r="J204">
        <v>2.5</v>
      </c>
      <c r="K204" s="3">
        <v>79.03</v>
      </c>
    </row>
    <row r="205" spans="1:11" x14ac:dyDescent="0.25">
      <c r="A205">
        <v>411940</v>
      </c>
      <c r="B205" t="s">
        <v>47</v>
      </c>
      <c r="C205" s="3">
        <v>16.77</v>
      </c>
      <c r="D205" s="3">
        <v>15.8</v>
      </c>
      <c r="E205" s="3">
        <v>0</v>
      </c>
      <c r="F205">
        <v>81</v>
      </c>
      <c r="G205" t="s">
        <v>19</v>
      </c>
      <c r="H205" s="4">
        <v>46008</v>
      </c>
      <c r="I205" t="s">
        <v>21</v>
      </c>
      <c r="J205">
        <v>5.25</v>
      </c>
      <c r="K205" s="3">
        <v>211.05</v>
      </c>
    </row>
    <row r="206" spans="1:11" x14ac:dyDescent="0.25">
      <c r="A206">
        <v>411940</v>
      </c>
      <c r="B206" t="s">
        <v>47</v>
      </c>
      <c r="C206" s="3">
        <v>16.77</v>
      </c>
      <c r="D206" s="3">
        <v>15.8</v>
      </c>
      <c r="E206" s="3">
        <v>0</v>
      </c>
      <c r="F206">
        <v>81</v>
      </c>
      <c r="G206" t="s">
        <v>19</v>
      </c>
      <c r="H206" s="4">
        <v>46008</v>
      </c>
      <c r="I206" t="s">
        <v>22</v>
      </c>
      <c r="J206">
        <v>0.5</v>
      </c>
      <c r="K206" s="3">
        <v>20.36</v>
      </c>
    </row>
    <row r="207" spans="1:11" x14ac:dyDescent="0.25">
      <c r="A207">
        <v>411940</v>
      </c>
      <c r="B207" t="s">
        <v>47</v>
      </c>
      <c r="C207" s="3">
        <v>16.77</v>
      </c>
      <c r="D207" s="3">
        <v>15.8</v>
      </c>
      <c r="E207" s="3">
        <v>0</v>
      </c>
      <c r="F207">
        <v>81</v>
      </c>
      <c r="G207" t="s">
        <v>19</v>
      </c>
      <c r="H207" s="4">
        <v>46009</v>
      </c>
      <c r="I207" t="s">
        <v>13</v>
      </c>
      <c r="J207">
        <v>2.5</v>
      </c>
      <c r="K207" s="3">
        <v>79.03</v>
      </c>
    </row>
    <row r="208" spans="1:11" x14ac:dyDescent="0.25">
      <c r="A208">
        <v>411940</v>
      </c>
      <c r="B208" t="s">
        <v>47</v>
      </c>
      <c r="C208" s="3">
        <v>16.77</v>
      </c>
      <c r="D208" s="3">
        <v>15.8</v>
      </c>
      <c r="E208" s="3">
        <v>0</v>
      </c>
      <c r="F208">
        <v>81</v>
      </c>
      <c r="G208" t="s">
        <v>19</v>
      </c>
      <c r="H208" s="4">
        <v>46009</v>
      </c>
      <c r="I208" t="s">
        <v>21</v>
      </c>
      <c r="J208">
        <v>5.25</v>
      </c>
      <c r="K208" s="3">
        <v>211.05</v>
      </c>
    </row>
    <row r="209" spans="1:11" x14ac:dyDescent="0.25">
      <c r="A209">
        <v>411940</v>
      </c>
      <c r="B209" t="s">
        <v>47</v>
      </c>
      <c r="C209" s="3">
        <v>16.77</v>
      </c>
      <c r="D209" s="3">
        <v>15.8</v>
      </c>
      <c r="E209" s="3">
        <v>0</v>
      </c>
      <c r="F209">
        <v>81</v>
      </c>
      <c r="G209" t="s">
        <v>19</v>
      </c>
      <c r="H209" s="4">
        <v>46009</v>
      </c>
      <c r="I209" t="s">
        <v>22</v>
      </c>
      <c r="J209">
        <v>0.75</v>
      </c>
      <c r="K209" s="3">
        <v>30.54</v>
      </c>
    </row>
    <row r="210" spans="1:11" x14ac:dyDescent="0.25">
      <c r="A210">
        <v>411940</v>
      </c>
      <c r="B210" t="s">
        <v>47</v>
      </c>
      <c r="C210" s="3">
        <v>16.77</v>
      </c>
      <c r="D210" s="3">
        <v>15.8</v>
      </c>
      <c r="E210" s="3">
        <v>0</v>
      </c>
      <c r="F210">
        <v>81</v>
      </c>
      <c r="G210" t="s">
        <v>19</v>
      </c>
      <c r="H210" s="4">
        <v>46010</v>
      </c>
      <c r="I210" t="s">
        <v>13</v>
      </c>
      <c r="J210">
        <v>2.5</v>
      </c>
      <c r="K210" s="3">
        <v>79.03</v>
      </c>
    </row>
    <row r="211" spans="1:11" x14ac:dyDescent="0.25">
      <c r="A211">
        <v>411940</v>
      </c>
      <c r="B211" t="s">
        <v>47</v>
      </c>
      <c r="C211" s="3">
        <v>16.77</v>
      </c>
      <c r="D211" s="3">
        <v>15.8</v>
      </c>
      <c r="E211" s="3">
        <v>0</v>
      </c>
      <c r="F211">
        <v>81</v>
      </c>
      <c r="G211" t="s">
        <v>19</v>
      </c>
      <c r="H211" s="4">
        <v>46010</v>
      </c>
      <c r="I211" t="s">
        <v>21</v>
      </c>
      <c r="J211">
        <v>4.5</v>
      </c>
      <c r="K211" s="3">
        <v>180.9</v>
      </c>
    </row>
    <row r="212" spans="1:11" x14ac:dyDescent="0.25">
      <c r="A212">
        <v>413691</v>
      </c>
      <c r="B212" t="s">
        <v>48</v>
      </c>
      <c r="C212" s="3">
        <v>16.91</v>
      </c>
      <c r="D212" s="3">
        <v>15.94</v>
      </c>
      <c r="E212" s="3">
        <v>0</v>
      </c>
      <c r="F212">
        <v>41</v>
      </c>
      <c r="G212" t="s">
        <v>15</v>
      </c>
      <c r="H212" s="4">
        <v>46006</v>
      </c>
      <c r="I212" t="s">
        <v>13</v>
      </c>
      <c r="J212">
        <v>8</v>
      </c>
      <c r="K212" s="3">
        <v>254.24</v>
      </c>
    </row>
    <row r="213" spans="1:11" x14ac:dyDescent="0.25">
      <c r="A213">
        <v>413691</v>
      </c>
      <c r="B213" t="s">
        <v>48</v>
      </c>
      <c r="C213" s="3">
        <v>16.91</v>
      </c>
      <c r="D213" s="3">
        <v>15.94</v>
      </c>
      <c r="E213" s="3">
        <v>0</v>
      </c>
      <c r="F213">
        <v>41</v>
      </c>
      <c r="G213" t="s">
        <v>15</v>
      </c>
      <c r="H213" s="4">
        <v>46007</v>
      </c>
      <c r="I213" t="s">
        <v>13</v>
      </c>
      <c r="J213">
        <v>8</v>
      </c>
      <c r="K213" s="3">
        <v>254.24</v>
      </c>
    </row>
    <row r="214" spans="1:11" x14ac:dyDescent="0.25">
      <c r="A214">
        <v>413691</v>
      </c>
      <c r="B214" t="s">
        <v>48</v>
      </c>
      <c r="C214" s="3">
        <v>16.91</v>
      </c>
      <c r="D214" s="3">
        <v>15.94</v>
      </c>
      <c r="E214" s="3">
        <v>0</v>
      </c>
      <c r="F214">
        <v>41</v>
      </c>
      <c r="G214" t="s">
        <v>15</v>
      </c>
      <c r="H214" s="4">
        <v>46008</v>
      </c>
      <c r="I214" t="s">
        <v>13</v>
      </c>
      <c r="J214">
        <v>8</v>
      </c>
      <c r="K214" s="3">
        <v>254.24</v>
      </c>
    </row>
    <row r="215" spans="1:11" x14ac:dyDescent="0.25">
      <c r="A215">
        <v>413691</v>
      </c>
      <c r="B215" t="s">
        <v>48</v>
      </c>
      <c r="C215" s="3">
        <v>16.91</v>
      </c>
      <c r="D215" s="3">
        <v>15.94</v>
      </c>
      <c r="E215" s="3">
        <v>0</v>
      </c>
      <c r="F215">
        <v>41</v>
      </c>
      <c r="G215" t="s">
        <v>15</v>
      </c>
      <c r="H215" s="4">
        <v>46009</v>
      </c>
      <c r="I215" t="s">
        <v>13</v>
      </c>
      <c r="J215">
        <v>8</v>
      </c>
      <c r="K215" s="3">
        <v>254.24</v>
      </c>
    </row>
    <row r="216" spans="1:11" x14ac:dyDescent="0.25">
      <c r="A216">
        <v>413691</v>
      </c>
      <c r="B216" t="s">
        <v>48</v>
      </c>
      <c r="C216" s="3">
        <v>16.91</v>
      </c>
      <c r="D216" s="3">
        <v>15.94</v>
      </c>
      <c r="E216" s="3">
        <v>0</v>
      </c>
      <c r="F216">
        <v>41</v>
      </c>
      <c r="G216" t="s">
        <v>15</v>
      </c>
      <c r="H216" s="4">
        <v>46010</v>
      </c>
      <c r="I216" t="s">
        <v>13</v>
      </c>
      <c r="J216">
        <v>8</v>
      </c>
      <c r="K216" s="3">
        <v>254.24</v>
      </c>
    </row>
    <row r="217" spans="1:11" x14ac:dyDescent="0.25">
      <c r="A217">
        <v>414948</v>
      </c>
      <c r="B217" t="s">
        <v>49</v>
      </c>
      <c r="C217" s="3">
        <v>16.91</v>
      </c>
      <c r="D217" s="3">
        <v>15.94</v>
      </c>
      <c r="E217" s="3">
        <v>0</v>
      </c>
      <c r="F217">
        <v>45</v>
      </c>
      <c r="G217" t="s">
        <v>15</v>
      </c>
      <c r="H217" s="4">
        <v>46006</v>
      </c>
      <c r="I217" t="s">
        <v>13</v>
      </c>
      <c r="J217">
        <v>2.75</v>
      </c>
      <c r="K217" s="3">
        <v>87.4</v>
      </c>
    </row>
    <row r="218" spans="1:11" x14ac:dyDescent="0.25">
      <c r="A218">
        <v>414948</v>
      </c>
      <c r="B218" t="s">
        <v>49</v>
      </c>
      <c r="C218" s="3">
        <v>16.91</v>
      </c>
      <c r="D218" s="3">
        <v>15.94</v>
      </c>
      <c r="E218" s="3">
        <v>0</v>
      </c>
      <c r="F218">
        <v>45</v>
      </c>
      <c r="G218" t="s">
        <v>15</v>
      </c>
      <c r="H218" s="4">
        <v>46006</v>
      </c>
      <c r="I218" t="s">
        <v>21</v>
      </c>
      <c r="J218">
        <v>3.5</v>
      </c>
      <c r="K218" s="3">
        <v>141.79</v>
      </c>
    </row>
    <row r="219" spans="1:11" x14ac:dyDescent="0.25">
      <c r="A219">
        <v>414948</v>
      </c>
      <c r="B219" t="s">
        <v>49</v>
      </c>
      <c r="C219" s="3">
        <v>16.91</v>
      </c>
      <c r="D219" s="3">
        <v>15.94</v>
      </c>
      <c r="E219" s="3">
        <v>0</v>
      </c>
      <c r="F219">
        <v>45</v>
      </c>
      <c r="G219" t="s">
        <v>15</v>
      </c>
      <c r="H219" s="4">
        <v>46007</v>
      </c>
      <c r="I219" t="s">
        <v>13</v>
      </c>
      <c r="J219">
        <v>2.75</v>
      </c>
      <c r="K219" s="3">
        <v>87.4</v>
      </c>
    </row>
    <row r="220" spans="1:11" x14ac:dyDescent="0.25">
      <c r="A220">
        <v>414948</v>
      </c>
      <c r="B220" t="s">
        <v>49</v>
      </c>
      <c r="C220" s="3">
        <v>16.91</v>
      </c>
      <c r="D220" s="3">
        <v>15.94</v>
      </c>
      <c r="E220" s="3">
        <v>0</v>
      </c>
      <c r="F220">
        <v>45</v>
      </c>
      <c r="G220" t="s">
        <v>15</v>
      </c>
      <c r="H220" s="4">
        <v>46007</v>
      </c>
      <c r="I220" t="s">
        <v>21</v>
      </c>
      <c r="J220">
        <v>3.5</v>
      </c>
      <c r="K220" s="3">
        <v>141.79</v>
      </c>
    </row>
    <row r="221" spans="1:11" x14ac:dyDescent="0.25">
      <c r="A221">
        <v>414948</v>
      </c>
      <c r="B221" t="s">
        <v>49</v>
      </c>
      <c r="C221" s="3">
        <v>16.91</v>
      </c>
      <c r="D221" s="3">
        <v>15.94</v>
      </c>
      <c r="E221" s="3">
        <v>0</v>
      </c>
      <c r="F221">
        <v>45</v>
      </c>
      <c r="G221" t="s">
        <v>15</v>
      </c>
      <c r="H221" s="4">
        <v>46008</v>
      </c>
      <c r="I221" t="s">
        <v>13</v>
      </c>
      <c r="J221">
        <v>1.25</v>
      </c>
      <c r="K221" s="3">
        <v>39.729999999999997</v>
      </c>
    </row>
    <row r="222" spans="1:11" x14ac:dyDescent="0.25">
      <c r="A222">
        <v>414948</v>
      </c>
      <c r="B222" t="s">
        <v>49</v>
      </c>
      <c r="C222" s="3">
        <v>16.91</v>
      </c>
      <c r="D222" s="3">
        <v>15.94</v>
      </c>
      <c r="E222" s="3">
        <v>0</v>
      </c>
      <c r="F222">
        <v>45</v>
      </c>
      <c r="G222" t="s">
        <v>15</v>
      </c>
      <c r="H222" s="4">
        <v>46008</v>
      </c>
      <c r="I222" t="s">
        <v>21</v>
      </c>
      <c r="J222">
        <v>3.75</v>
      </c>
      <c r="K222" s="3">
        <v>151.91</v>
      </c>
    </row>
    <row r="223" spans="1:11" x14ac:dyDescent="0.25">
      <c r="A223">
        <v>414948</v>
      </c>
      <c r="B223" t="s">
        <v>49</v>
      </c>
      <c r="C223" s="3">
        <v>16.91</v>
      </c>
      <c r="D223" s="3">
        <v>15.94</v>
      </c>
      <c r="E223" s="3">
        <v>0</v>
      </c>
      <c r="F223">
        <v>45</v>
      </c>
      <c r="G223" t="s">
        <v>15</v>
      </c>
      <c r="H223" s="4">
        <v>46009</v>
      </c>
      <c r="I223" t="s">
        <v>13</v>
      </c>
      <c r="J223">
        <v>2.75</v>
      </c>
      <c r="K223" s="3">
        <v>87.4</v>
      </c>
    </row>
    <row r="224" spans="1:11" x14ac:dyDescent="0.25">
      <c r="A224">
        <v>414948</v>
      </c>
      <c r="B224" t="s">
        <v>49</v>
      </c>
      <c r="C224" s="3">
        <v>16.91</v>
      </c>
      <c r="D224" s="3">
        <v>15.94</v>
      </c>
      <c r="E224" s="3">
        <v>0</v>
      </c>
      <c r="F224">
        <v>45</v>
      </c>
      <c r="G224" t="s">
        <v>15</v>
      </c>
      <c r="H224" s="4">
        <v>46009</v>
      </c>
      <c r="I224" t="s">
        <v>21</v>
      </c>
      <c r="J224">
        <v>3</v>
      </c>
      <c r="K224" s="3">
        <v>121.53</v>
      </c>
    </row>
    <row r="225" spans="1:11" x14ac:dyDescent="0.25">
      <c r="A225">
        <v>414948</v>
      </c>
      <c r="B225" t="s">
        <v>49</v>
      </c>
      <c r="C225" s="3">
        <v>16.91</v>
      </c>
      <c r="D225" s="3">
        <v>15.94</v>
      </c>
      <c r="E225" s="3">
        <v>0</v>
      </c>
      <c r="F225">
        <v>45</v>
      </c>
      <c r="G225" t="s">
        <v>15</v>
      </c>
      <c r="H225" s="4">
        <v>46010</v>
      </c>
      <c r="I225" t="s">
        <v>13</v>
      </c>
      <c r="J225">
        <v>2.75</v>
      </c>
      <c r="K225" s="3">
        <v>87.4</v>
      </c>
    </row>
    <row r="226" spans="1:11" x14ac:dyDescent="0.25">
      <c r="A226">
        <v>414948</v>
      </c>
      <c r="B226" t="s">
        <v>49</v>
      </c>
      <c r="C226" s="3">
        <v>16.91</v>
      </c>
      <c r="D226" s="3">
        <v>15.94</v>
      </c>
      <c r="E226" s="3">
        <v>0</v>
      </c>
      <c r="F226">
        <v>45</v>
      </c>
      <c r="G226" t="s">
        <v>15</v>
      </c>
      <c r="H226" s="4">
        <v>46010</v>
      </c>
      <c r="I226" t="s">
        <v>21</v>
      </c>
      <c r="J226">
        <v>3.5</v>
      </c>
      <c r="K226" s="3">
        <v>141.79</v>
      </c>
    </row>
    <row r="227" spans="1:11" x14ac:dyDescent="0.25">
      <c r="A227">
        <v>415979</v>
      </c>
      <c r="B227" t="s">
        <v>50</v>
      </c>
      <c r="C227" s="3">
        <v>17.16</v>
      </c>
      <c r="D227" s="3">
        <v>16.170000000000002</v>
      </c>
      <c r="E227" s="3">
        <v>0</v>
      </c>
      <c r="F227">
        <v>77</v>
      </c>
      <c r="G227" t="s">
        <v>19</v>
      </c>
      <c r="H227" s="4">
        <v>46006</v>
      </c>
      <c r="I227" t="s">
        <v>13</v>
      </c>
      <c r="J227">
        <v>8</v>
      </c>
      <c r="K227" s="3">
        <v>258.24</v>
      </c>
    </row>
    <row r="228" spans="1:11" x14ac:dyDescent="0.25">
      <c r="A228">
        <v>415979</v>
      </c>
      <c r="B228" t="s">
        <v>50</v>
      </c>
      <c r="C228" s="3">
        <v>17.16</v>
      </c>
      <c r="D228" s="3">
        <v>16.170000000000002</v>
      </c>
      <c r="E228" s="3">
        <v>0</v>
      </c>
      <c r="F228">
        <v>77</v>
      </c>
      <c r="G228" t="s">
        <v>19</v>
      </c>
      <c r="H228" s="4">
        <v>46006</v>
      </c>
      <c r="I228" t="s">
        <v>22</v>
      </c>
      <c r="J228">
        <v>0.25</v>
      </c>
      <c r="K228" s="3">
        <v>10.4</v>
      </c>
    </row>
    <row r="229" spans="1:11" x14ac:dyDescent="0.25">
      <c r="A229">
        <v>415979</v>
      </c>
      <c r="B229" t="s">
        <v>50</v>
      </c>
      <c r="C229" s="3">
        <v>17.16</v>
      </c>
      <c r="D229" s="3">
        <v>16.170000000000002</v>
      </c>
      <c r="E229" s="3">
        <v>0</v>
      </c>
      <c r="F229">
        <v>77</v>
      </c>
      <c r="G229" t="s">
        <v>19</v>
      </c>
      <c r="H229" s="4">
        <v>46007</v>
      </c>
      <c r="I229" t="s">
        <v>13</v>
      </c>
      <c r="J229">
        <v>8</v>
      </c>
      <c r="K229" s="3">
        <v>258.24</v>
      </c>
    </row>
    <row r="230" spans="1:11" x14ac:dyDescent="0.25">
      <c r="A230">
        <v>415979</v>
      </c>
      <c r="B230" t="s">
        <v>50</v>
      </c>
      <c r="C230" s="3">
        <v>17.16</v>
      </c>
      <c r="D230" s="3">
        <v>16.170000000000002</v>
      </c>
      <c r="E230" s="3">
        <v>0</v>
      </c>
      <c r="F230">
        <v>77</v>
      </c>
      <c r="G230" t="s">
        <v>19</v>
      </c>
      <c r="H230" s="4">
        <v>46008</v>
      </c>
      <c r="I230" t="s">
        <v>13</v>
      </c>
      <c r="J230">
        <v>8.25</v>
      </c>
      <c r="K230" s="3">
        <v>266.31</v>
      </c>
    </row>
    <row r="231" spans="1:11" x14ac:dyDescent="0.25">
      <c r="A231">
        <v>415979</v>
      </c>
      <c r="B231" t="s">
        <v>50</v>
      </c>
      <c r="C231" s="3">
        <v>17.16</v>
      </c>
      <c r="D231" s="3">
        <v>16.170000000000002</v>
      </c>
      <c r="E231" s="3">
        <v>0</v>
      </c>
      <c r="F231">
        <v>77</v>
      </c>
      <c r="G231" t="s">
        <v>19</v>
      </c>
      <c r="H231" s="4">
        <v>46008</v>
      </c>
      <c r="I231" t="s">
        <v>22</v>
      </c>
      <c r="J231">
        <v>0.25</v>
      </c>
      <c r="K231" s="3">
        <v>10.4</v>
      </c>
    </row>
    <row r="232" spans="1:11" x14ac:dyDescent="0.25">
      <c r="A232">
        <v>415979</v>
      </c>
      <c r="B232" t="s">
        <v>50</v>
      </c>
      <c r="C232" s="3">
        <v>17.16</v>
      </c>
      <c r="D232" s="3">
        <v>16.170000000000002</v>
      </c>
      <c r="E232" s="3">
        <v>0</v>
      </c>
      <c r="F232">
        <v>77</v>
      </c>
      <c r="G232" t="s">
        <v>19</v>
      </c>
      <c r="H232" s="4">
        <v>46009</v>
      </c>
      <c r="I232" t="s">
        <v>13</v>
      </c>
      <c r="J232">
        <v>8</v>
      </c>
      <c r="K232" s="3">
        <v>258.24</v>
      </c>
    </row>
    <row r="233" spans="1:11" x14ac:dyDescent="0.25">
      <c r="A233">
        <v>415979</v>
      </c>
      <c r="B233" t="s">
        <v>50</v>
      </c>
      <c r="C233" s="3">
        <v>17.16</v>
      </c>
      <c r="D233" s="3">
        <v>16.170000000000002</v>
      </c>
      <c r="E233" s="3">
        <v>0</v>
      </c>
      <c r="F233">
        <v>77</v>
      </c>
      <c r="G233" t="s">
        <v>19</v>
      </c>
      <c r="H233" s="4">
        <v>46009</v>
      </c>
      <c r="I233" t="s">
        <v>22</v>
      </c>
      <c r="J233">
        <v>0.25</v>
      </c>
      <c r="K233" s="3">
        <v>10.4</v>
      </c>
    </row>
    <row r="234" spans="1:11" x14ac:dyDescent="0.25">
      <c r="A234">
        <v>415979</v>
      </c>
      <c r="B234" t="s">
        <v>50</v>
      </c>
      <c r="C234" s="3">
        <v>17.16</v>
      </c>
      <c r="D234" s="3">
        <v>16.170000000000002</v>
      </c>
      <c r="E234" s="3">
        <v>0</v>
      </c>
      <c r="F234">
        <v>77</v>
      </c>
      <c r="G234" t="s">
        <v>19</v>
      </c>
      <c r="H234" s="4">
        <v>46010</v>
      </c>
      <c r="I234" t="s">
        <v>13</v>
      </c>
      <c r="J234">
        <v>6.5</v>
      </c>
      <c r="K234" s="3">
        <v>209.82</v>
      </c>
    </row>
    <row r="235" spans="1:11" x14ac:dyDescent="0.25">
      <c r="A235">
        <v>415979</v>
      </c>
      <c r="B235" t="s">
        <v>50</v>
      </c>
      <c r="C235" s="3">
        <v>17.16</v>
      </c>
      <c r="D235" s="3">
        <v>16.170000000000002</v>
      </c>
      <c r="E235" s="3">
        <v>0</v>
      </c>
      <c r="F235">
        <v>77</v>
      </c>
      <c r="G235" t="s">
        <v>19</v>
      </c>
      <c r="H235" s="4">
        <v>46011</v>
      </c>
      <c r="I235" t="s">
        <v>13</v>
      </c>
      <c r="J235">
        <v>0.5</v>
      </c>
      <c r="K235" s="3">
        <v>16.14</v>
      </c>
    </row>
    <row r="236" spans="1:11" x14ac:dyDescent="0.25">
      <c r="A236">
        <v>415979</v>
      </c>
      <c r="B236" t="s">
        <v>50</v>
      </c>
      <c r="C236" s="3">
        <v>17.16</v>
      </c>
      <c r="D236" s="3">
        <v>16.170000000000002</v>
      </c>
      <c r="E236" s="3">
        <v>0</v>
      </c>
      <c r="F236">
        <v>77</v>
      </c>
      <c r="G236" t="s">
        <v>19</v>
      </c>
      <c r="H236" s="4">
        <v>46011</v>
      </c>
      <c r="I236" t="s">
        <v>24</v>
      </c>
      <c r="J236">
        <v>5.25</v>
      </c>
      <c r="K236" s="3">
        <v>204.59</v>
      </c>
    </row>
    <row r="237" spans="1:11" x14ac:dyDescent="0.25">
      <c r="A237">
        <v>416114</v>
      </c>
      <c r="B237" t="s">
        <v>51</v>
      </c>
      <c r="C237" s="3">
        <v>15.89</v>
      </c>
      <c r="D237" s="3">
        <v>14.98</v>
      </c>
      <c r="E237" s="3">
        <v>0</v>
      </c>
      <c r="F237">
        <v>45</v>
      </c>
      <c r="G237" t="s">
        <v>15</v>
      </c>
      <c r="H237" s="4">
        <v>46006</v>
      </c>
      <c r="I237" t="s">
        <v>13</v>
      </c>
      <c r="J237">
        <v>8</v>
      </c>
      <c r="K237" s="3">
        <v>240.32</v>
      </c>
    </row>
    <row r="238" spans="1:11" x14ac:dyDescent="0.25">
      <c r="A238">
        <v>416114</v>
      </c>
      <c r="B238" t="s">
        <v>51</v>
      </c>
      <c r="C238" s="3">
        <v>15.89</v>
      </c>
      <c r="D238" s="3">
        <v>14.98</v>
      </c>
      <c r="E238" s="3">
        <v>0</v>
      </c>
      <c r="F238">
        <v>45</v>
      </c>
      <c r="G238" t="s">
        <v>15</v>
      </c>
      <c r="H238" s="4">
        <v>46007</v>
      </c>
      <c r="I238" t="s">
        <v>13</v>
      </c>
      <c r="J238">
        <v>8</v>
      </c>
      <c r="K238" s="3">
        <v>240.32</v>
      </c>
    </row>
    <row r="239" spans="1:11" x14ac:dyDescent="0.25">
      <c r="A239">
        <v>416114</v>
      </c>
      <c r="B239" t="s">
        <v>51</v>
      </c>
      <c r="C239" s="3">
        <v>15.89</v>
      </c>
      <c r="D239" s="3">
        <v>14.98</v>
      </c>
      <c r="E239" s="3">
        <v>0</v>
      </c>
      <c r="F239">
        <v>45</v>
      </c>
      <c r="G239" t="s">
        <v>15</v>
      </c>
      <c r="H239" s="4">
        <v>46008</v>
      </c>
      <c r="I239" t="s">
        <v>13</v>
      </c>
      <c r="J239">
        <v>8</v>
      </c>
      <c r="K239" s="3">
        <v>240.32</v>
      </c>
    </row>
    <row r="240" spans="1:11" x14ac:dyDescent="0.25">
      <c r="A240">
        <v>416114</v>
      </c>
      <c r="B240" t="s">
        <v>51</v>
      </c>
      <c r="C240" s="3">
        <v>15.89</v>
      </c>
      <c r="D240" s="3">
        <v>14.98</v>
      </c>
      <c r="E240" s="3">
        <v>0</v>
      </c>
      <c r="F240">
        <v>45</v>
      </c>
      <c r="G240" t="s">
        <v>15</v>
      </c>
      <c r="H240" s="4">
        <v>46009</v>
      </c>
      <c r="I240" t="s">
        <v>13</v>
      </c>
      <c r="J240">
        <v>8</v>
      </c>
      <c r="K240" s="3">
        <v>240.32</v>
      </c>
    </row>
    <row r="241" spans="1:11" x14ac:dyDescent="0.25">
      <c r="A241">
        <v>416114</v>
      </c>
      <c r="B241" t="s">
        <v>51</v>
      </c>
      <c r="C241" s="3">
        <v>15.89</v>
      </c>
      <c r="D241" s="3">
        <v>14.98</v>
      </c>
      <c r="E241" s="3">
        <v>0</v>
      </c>
      <c r="F241">
        <v>45</v>
      </c>
      <c r="G241" t="s">
        <v>15</v>
      </c>
      <c r="H241" s="4">
        <v>46010</v>
      </c>
      <c r="I241" t="s">
        <v>13</v>
      </c>
      <c r="J241">
        <v>7.75</v>
      </c>
      <c r="K241" s="3">
        <v>232.81</v>
      </c>
    </row>
    <row r="242" spans="1:11" x14ac:dyDescent="0.25">
      <c r="A242">
        <v>416222</v>
      </c>
      <c r="B242" t="s">
        <v>52</v>
      </c>
      <c r="C242" s="3">
        <v>15.89</v>
      </c>
      <c r="D242" s="3">
        <v>14.98</v>
      </c>
      <c r="E242" s="3">
        <v>0</v>
      </c>
      <c r="F242">
        <v>41</v>
      </c>
      <c r="G242" t="s">
        <v>15</v>
      </c>
      <c r="H242" s="4">
        <v>46006</v>
      </c>
      <c r="I242" t="s">
        <v>13</v>
      </c>
      <c r="J242">
        <v>8</v>
      </c>
      <c r="K242" s="3">
        <v>240.32</v>
      </c>
    </row>
    <row r="243" spans="1:11" x14ac:dyDescent="0.25">
      <c r="A243">
        <v>416222</v>
      </c>
      <c r="B243" t="s">
        <v>52</v>
      </c>
      <c r="C243" s="3">
        <v>15.89</v>
      </c>
      <c r="D243" s="3">
        <v>14.98</v>
      </c>
      <c r="E243" s="3">
        <v>0</v>
      </c>
      <c r="F243">
        <v>41</v>
      </c>
      <c r="G243" t="s">
        <v>15</v>
      </c>
      <c r="H243" s="4">
        <v>46007</v>
      </c>
      <c r="I243" t="s">
        <v>13</v>
      </c>
      <c r="J243">
        <v>8</v>
      </c>
      <c r="K243" s="3">
        <v>240.32</v>
      </c>
    </row>
    <row r="244" spans="1:11" x14ac:dyDescent="0.25">
      <c r="A244">
        <v>416222</v>
      </c>
      <c r="B244" t="s">
        <v>52</v>
      </c>
      <c r="C244" s="3">
        <v>15.89</v>
      </c>
      <c r="D244" s="3">
        <v>14.98</v>
      </c>
      <c r="E244" s="3">
        <v>0</v>
      </c>
      <c r="F244">
        <v>41</v>
      </c>
      <c r="G244" t="s">
        <v>15</v>
      </c>
      <c r="H244" s="4">
        <v>46008</v>
      </c>
      <c r="I244" t="s">
        <v>13</v>
      </c>
      <c r="J244">
        <v>8</v>
      </c>
      <c r="K244" s="3">
        <v>240.32</v>
      </c>
    </row>
    <row r="245" spans="1:11" x14ac:dyDescent="0.25">
      <c r="A245">
        <v>416222</v>
      </c>
      <c r="B245" t="s">
        <v>52</v>
      </c>
      <c r="C245" s="3">
        <v>15.89</v>
      </c>
      <c r="D245" s="3">
        <v>14.98</v>
      </c>
      <c r="E245" s="3">
        <v>0</v>
      </c>
      <c r="F245">
        <v>41</v>
      </c>
      <c r="G245" t="s">
        <v>15</v>
      </c>
      <c r="H245" s="4">
        <v>46009</v>
      </c>
      <c r="I245" t="s">
        <v>13</v>
      </c>
      <c r="J245">
        <v>8</v>
      </c>
      <c r="K245" s="3">
        <v>240.32</v>
      </c>
    </row>
    <row r="246" spans="1:11" x14ac:dyDescent="0.25">
      <c r="A246">
        <v>416222</v>
      </c>
      <c r="B246" t="s">
        <v>52</v>
      </c>
      <c r="C246" s="3">
        <v>15.89</v>
      </c>
      <c r="D246" s="3">
        <v>14.98</v>
      </c>
      <c r="E246" s="3">
        <v>0</v>
      </c>
      <c r="F246">
        <v>41</v>
      </c>
      <c r="G246" t="s">
        <v>15</v>
      </c>
      <c r="H246" s="4">
        <v>46010</v>
      </c>
      <c r="I246" t="s">
        <v>13</v>
      </c>
      <c r="J246">
        <v>8</v>
      </c>
      <c r="K246" s="3">
        <v>240.32</v>
      </c>
    </row>
    <row r="247" spans="1:11" x14ac:dyDescent="0.25">
      <c r="A247">
        <v>416718</v>
      </c>
      <c r="B247" t="s">
        <v>53</v>
      </c>
      <c r="C247" s="3">
        <v>16.91</v>
      </c>
      <c r="D247" s="3">
        <v>15.94</v>
      </c>
      <c r="E247" s="3">
        <v>0</v>
      </c>
      <c r="F247">
        <v>29</v>
      </c>
      <c r="G247" t="s">
        <v>15</v>
      </c>
      <c r="H247" s="4">
        <v>46006</v>
      </c>
      <c r="I247" t="s">
        <v>13</v>
      </c>
      <c r="J247">
        <v>7.75</v>
      </c>
      <c r="K247" s="3">
        <v>246.3</v>
      </c>
    </row>
    <row r="248" spans="1:11" x14ac:dyDescent="0.25">
      <c r="A248">
        <v>416718</v>
      </c>
      <c r="B248" t="s">
        <v>53</v>
      </c>
      <c r="C248" s="3">
        <v>16.91</v>
      </c>
      <c r="D248" s="3">
        <v>15.94</v>
      </c>
      <c r="E248" s="3">
        <v>0</v>
      </c>
      <c r="F248">
        <v>29</v>
      </c>
      <c r="G248" t="s">
        <v>15</v>
      </c>
      <c r="H248" s="4">
        <v>46007</v>
      </c>
      <c r="I248" t="s">
        <v>13</v>
      </c>
      <c r="J248">
        <v>7.5</v>
      </c>
      <c r="K248" s="3">
        <v>238.35</v>
      </c>
    </row>
    <row r="249" spans="1:11" x14ac:dyDescent="0.25">
      <c r="A249">
        <v>416718</v>
      </c>
      <c r="B249" t="s">
        <v>53</v>
      </c>
      <c r="C249" s="3">
        <v>16.91</v>
      </c>
      <c r="D249" s="3">
        <v>15.94</v>
      </c>
      <c r="E249" s="3">
        <v>0</v>
      </c>
      <c r="F249">
        <v>29</v>
      </c>
      <c r="G249" t="s">
        <v>15</v>
      </c>
      <c r="H249" s="4">
        <v>46007</v>
      </c>
      <c r="I249" t="s">
        <v>22</v>
      </c>
      <c r="J249">
        <v>0.25</v>
      </c>
      <c r="K249" s="3">
        <v>10.26</v>
      </c>
    </row>
    <row r="250" spans="1:11" x14ac:dyDescent="0.25">
      <c r="A250">
        <v>416718</v>
      </c>
      <c r="B250" t="s">
        <v>53</v>
      </c>
      <c r="C250" s="3">
        <v>16.91</v>
      </c>
      <c r="D250" s="3">
        <v>15.94</v>
      </c>
      <c r="E250" s="3">
        <v>0</v>
      </c>
      <c r="F250">
        <v>29</v>
      </c>
      <c r="G250" t="s">
        <v>15</v>
      </c>
      <c r="H250" s="4">
        <v>46008</v>
      </c>
      <c r="I250" t="s">
        <v>13</v>
      </c>
      <c r="J250">
        <v>7.5</v>
      </c>
      <c r="K250" s="3">
        <v>238.35</v>
      </c>
    </row>
    <row r="251" spans="1:11" x14ac:dyDescent="0.25">
      <c r="A251">
        <v>416718</v>
      </c>
      <c r="B251" t="s">
        <v>53</v>
      </c>
      <c r="C251" s="3">
        <v>16.91</v>
      </c>
      <c r="D251" s="3">
        <v>15.94</v>
      </c>
      <c r="E251" s="3">
        <v>0</v>
      </c>
      <c r="F251">
        <v>29</v>
      </c>
      <c r="G251" t="s">
        <v>15</v>
      </c>
      <c r="H251" s="4">
        <v>46008</v>
      </c>
      <c r="I251" t="s">
        <v>22</v>
      </c>
      <c r="J251">
        <v>0.25</v>
      </c>
      <c r="K251" s="3">
        <v>10.26</v>
      </c>
    </row>
    <row r="252" spans="1:11" x14ac:dyDescent="0.25">
      <c r="A252">
        <v>416718</v>
      </c>
      <c r="B252" t="s">
        <v>53</v>
      </c>
      <c r="C252" s="3">
        <v>16.91</v>
      </c>
      <c r="D252" s="3">
        <v>15.94</v>
      </c>
      <c r="E252" s="3">
        <v>0</v>
      </c>
      <c r="F252">
        <v>29</v>
      </c>
      <c r="G252" t="s">
        <v>15</v>
      </c>
      <c r="H252" s="4">
        <v>46009</v>
      </c>
      <c r="I252" t="s">
        <v>13</v>
      </c>
      <c r="J252">
        <v>7.75</v>
      </c>
      <c r="K252" s="3">
        <v>246.3</v>
      </c>
    </row>
    <row r="253" spans="1:11" x14ac:dyDescent="0.25">
      <c r="A253">
        <v>416718</v>
      </c>
      <c r="B253" t="s">
        <v>53</v>
      </c>
      <c r="C253" s="3">
        <v>16.91</v>
      </c>
      <c r="D253" s="3">
        <v>15.94</v>
      </c>
      <c r="E253" s="3">
        <v>0</v>
      </c>
      <c r="F253">
        <v>29</v>
      </c>
      <c r="G253" t="s">
        <v>15</v>
      </c>
      <c r="H253" s="4">
        <v>46010</v>
      </c>
      <c r="I253" t="s">
        <v>13</v>
      </c>
      <c r="J253">
        <v>7.75</v>
      </c>
      <c r="K253" s="3">
        <v>246.3</v>
      </c>
    </row>
    <row r="254" spans="1:11" x14ac:dyDescent="0.25">
      <c r="A254">
        <v>416718</v>
      </c>
      <c r="B254" t="s">
        <v>53</v>
      </c>
      <c r="C254" s="3">
        <v>16.91</v>
      </c>
      <c r="D254" s="3">
        <v>15.94</v>
      </c>
      <c r="E254" s="3">
        <v>0</v>
      </c>
      <c r="F254">
        <v>29</v>
      </c>
      <c r="G254" t="s">
        <v>15</v>
      </c>
      <c r="H254" s="4">
        <v>46011</v>
      </c>
      <c r="I254" t="s">
        <v>13</v>
      </c>
      <c r="J254">
        <v>1.25</v>
      </c>
      <c r="K254" s="3">
        <v>39.729999999999997</v>
      </c>
    </row>
    <row r="255" spans="1:11" x14ac:dyDescent="0.25">
      <c r="A255">
        <v>416718</v>
      </c>
      <c r="B255" t="s">
        <v>53</v>
      </c>
      <c r="C255" s="3">
        <v>16.91</v>
      </c>
      <c r="D255" s="3">
        <v>15.94</v>
      </c>
      <c r="E255" s="3">
        <v>0</v>
      </c>
      <c r="F255">
        <v>29</v>
      </c>
      <c r="G255" t="s">
        <v>15</v>
      </c>
      <c r="H255" s="4">
        <v>46011</v>
      </c>
      <c r="I255" t="s">
        <v>24</v>
      </c>
      <c r="J255">
        <v>4.5</v>
      </c>
      <c r="K255" s="3">
        <v>174.96</v>
      </c>
    </row>
    <row r="256" spans="1:11" x14ac:dyDescent="0.25">
      <c r="A256">
        <v>420508</v>
      </c>
      <c r="B256" t="s">
        <v>54</v>
      </c>
      <c r="C256" s="3">
        <v>16.91</v>
      </c>
      <c r="D256" s="3">
        <v>15.94</v>
      </c>
      <c r="E256" s="3">
        <v>0</v>
      </c>
      <c r="F256">
        <v>57</v>
      </c>
      <c r="G256" t="s">
        <v>19</v>
      </c>
      <c r="H256" s="4">
        <v>46006</v>
      </c>
      <c r="I256" t="s">
        <v>13</v>
      </c>
      <c r="J256">
        <v>7.75</v>
      </c>
      <c r="K256" s="3">
        <v>246.84</v>
      </c>
    </row>
    <row r="257" spans="1:11" x14ac:dyDescent="0.25">
      <c r="A257">
        <v>420508</v>
      </c>
      <c r="B257" t="s">
        <v>54</v>
      </c>
      <c r="C257" s="3">
        <v>16.91</v>
      </c>
      <c r="D257" s="3">
        <v>15.94</v>
      </c>
      <c r="E257" s="3">
        <v>0</v>
      </c>
      <c r="F257">
        <v>57</v>
      </c>
      <c r="G257" t="s">
        <v>19</v>
      </c>
      <c r="H257" s="4">
        <v>46007</v>
      </c>
      <c r="I257" t="s">
        <v>13</v>
      </c>
      <c r="J257">
        <v>5.25</v>
      </c>
      <c r="K257" s="3">
        <v>167.21</v>
      </c>
    </row>
    <row r="258" spans="1:11" x14ac:dyDescent="0.25">
      <c r="A258">
        <v>420508</v>
      </c>
      <c r="B258" t="s">
        <v>54</v>
      </c>
      <c r="C258" s="3">
        <v>16.91</v>
      </c>
      <c r="D258" s="3">
        <v>15.94</v>
      </c>
      <c r="E258" s="3">
        <v>0</v>
      </c>
      <c r="F258">
        <v>57</v>
      </c>
      <c r="G258" t="s">
        <v>19</v>
      </c>
      <c r="H258" s="4">
        <v>46008</v>
      </c>
      <c r="I258" t="s">
        <v>13</v>
      </c>
      <c r="J258">
        <v>6.75</v>
      </c>
      <c r="K258" s="3">
        <v>214.99</v>
      </c>
    </row>
    <row r="259" spans="1:11" x14ac:dyDescent="0.25">
      <c r="A259">
        <v>420508</v>
      </c>
      <c r="B259" t="s">
        <v>54</v>
      </c>
      <c r="C259" s="3">
        <v>16.91</v>
      </c>
      <c r="D259" s="3">
        <v>15.94</v>
      </c>
      <c r="E259" s="3">
        <v>0</v>
      </c>
      <c r="F259">
        <v>57</v>
      </c>
      <c r="G259" t="s">
        <v>19</v>
      </c>
      <c r="H259" s="4">
        <v>46009</v>
      </c>
      <c r="I259" t="s">
        <v>13</v>
      </c>
      <c r="J259">
        <v>7</v>
      </c>
      <c r="K259" s="3">
        <v>222.95</v>
      </c>
    </row>
    <row r="260" spans="1:11" x14ac:dyDescent="0.25">
      <c r="A260">
        <v>420508</v>
      </c>
      <c r="B260" t="s">
        <v>54</v>
      </c>
      <c r="C260" s="3">
        <v>16.91</v>
      </c>
      <c r="D260" s="3">
        <v>15.94</v>
      </c>
      <c r="E260" s="3">
        <v>0</v>
      </c>
      <c r="F260">
        <v>57</v>
      </c>
      <c r="G260" t="s">
        <v>19</v>
      </c>
      <c r="H260" s="4">
        <v>46010</v>
      </c>
      <c r="I260" t="s">
        <v>13</v>
      </c>
      <c r="J260">
        <v>7.25</v>
      </c>
      <c r="K260" s="3">
        <v>230.91</v>
      </c>
    </row>
    <row r="261" spans="1:11" x14ac:dyDescent="0.25">
      <c r="A261">
        <v>420508</v>
      </c>
      <c r="B261" t="s">
        <v>54</v>
      </c>
      <c r="C261" s="3">
        <v>16.91</v>
      </c>
      <c r="D261" s="3">
        <v>15.94</v>
      </c>
      <c r="E261" s="3">
        <v>0</v>
      </c>
      <c r="F261">
        <v>57</v>
      </c>
      <c r="G261" t="s">
        <v>19</v>
      </c>
      <c r="H261" s="4">
        <v>46011</v>
      </c>
      <c r="I261" t="s">
        <v>22</v>
      </c>
      <c r="J261">
        <v>4.75</v>
      </c>
      <c r="K261" s="3">
        <v>194.94</v>
      </c>
    </row>
    <row r="262" spans="1:11" x14ac:dyDescent="0.25">
      <c r="A262">
        <v>421063</v>
      </c>
      <c r="B262" t="s">
        <v>55</v>
      </c>
      <c r="C262" s="3">
        <v>16.55</v>
      </c>
      <c r="D262" s="3">
        <v>15.59</v>
      </c>
      <c r="E262" s="3">
        <v>0</v>
      </c>
      <c r="F262">
        <v>74</v>
      </c>
      <c r="G262" t="s">
        <v>19</v>
      </c>
      <c r="H262" s="4">
        <v>46006</v>
      </c>
      <c r="I262" t="s">
        <v>13</v>
      </c>
      <c r="J262">
        <v>5.25</v>
      </c>
      <c r="K262" s="3">
        <v>164.01</v>
      </c>
    </row>
    <row r="263" spans="1:11" x14ac:dyDescent="0.25">
      <c r="A263">
        <v>421063</v>
      </c>
      <c r="B263" t="s">
        <v>55</v>
      </c>
      <c r="C263" s="3">
        <v>16.55</v>
      </c>
      <c r="D263" s="3">
        <v>15.59</v>
      </c>
      <c r="E263" s="3">
        <v>0</v>
      </c>
      <c r="F263">
        <v>74</v>
      </c>
      <c r="G263" t="s">
        <v>19</v>
      </c>
      <c r="H263" s="4">
        <v>46007</v>
      </c>
      <c r="I263" t="s">
        <v>13</v>
      </c>
      <c r="J263">
        <v>8</v>
      </c>
      <c r="K263" s="3">
        <v>249.92</v>
      </c>
    </row>
    <row r="264" spans="1:11" x14ac:dyDescent="0.25">
      <c r="A264">
        <v>421063</v>
      </c>
      <c r="B264" t="s">
        <v>55</v>
      </c>
      <c r="C264" s="3">
        <v>16.55</v>
      </c>
      <c r="D264" s="3">
        <v>15.59</v>
      </c>
      <c r="E264" s="3">
        <v>0</v>
      </c>
      <c r="F264">
        <v>74</v>
      </c>
      <c r="G264" t="s">
        <v>19</v>
      </c>
      <c r="H264" s="4">
        <v>46008</v>
      </c>
      <c r="I264" t="s">
        <v>13</v>
      </c>
      <c r="J264">
        <v>8</v>
      </c>
      <c r="K264" s="3">
        <v>249.92</v>
      </c>
    </row>
    <row r="265" spans="1:11" x14ac:dyDescent="0.25">
      <c r="A265">
        <v>421063</v>
      </c>
      <c r="B265" t="s">
        <v>55</v>
      </c>
      <c r="C265" s="3">
        <v>16.55</v>
      </c>
      <c r="D265" s="3">
        <v>15.59</v>
      </c>
      <c r="E265" s="3">
        <v>0</v>
      </c>
      <c r="F265">
        <v>74</v>
      </c>
      <c r="G265" t="s">
        <v>19</v>
      </c>
      <c r="H265" s="4">
        <v>46009</v>
      </c>
      <c r="I265" t="s">
        <v>13</v>
      </c>
      <c r="J265">
        <v>8</v>
      </c>
      <c r="K265" s="3">
        <v>249.92</v>
      </c>
    </row>
    <row r="266" spans="1:11" x14ac:dyDescent="0.25">
      <c r="A266">
        <v>421063</v>
      </c>
      <c r="B266" t="s">
        <v>55</v>
      </c>
      <c r="C266" s="3">
        <v>16.55</v>
      </c>
      <c r="D266" s="3">
        <v>15.59</v>
      </c>
      <c r="E266" s="3">
        <v>0</v>
      </c>
      <c r="F266">
        <v>74</v>
      </c>
      <c r="G266" t="s">
        <v>19</v>
      </c>
      <c r="H266" s="4">
        <v>46010</v>
      </c>
      <c r="I266" t="s">
        <v>13</v>
      </c>
      <c r="J266">
        <v>3.75</v>
      </c>
      <c r="K266" s="3">
        <v>117.15</v>
      </c>
    </row>
    <row r="267" spans="1:11" x14ac:dyDescent="0.25">
      <c r="A267">
        <v>421437</v>
      </c>
      <c r="B267" t="s">
        <v>56</v>
      </c>
      <c r="C267" s="3">
        <v>15.89</v>
      </c>
      <c r="D267" s="3">
        <v>14.98</v>
      </c>
      <c r="E267" s="3">
        <v>0</v>
      </c>
      <c r="F267">
        <v>3</v>
      </c>
      <c r="G267" t="s">
        <v>15</v>
      </c>
      <c r="H267" s="4">
        <v>46006</v>
      </c>
      <c r="I267" t="s">
        <v>13</v>
      </c>
      <c r="J267">
        <v>8</v>
      </c>
      <c r="K267" s="3">
        <v>240.32</v>
      </c>
    </row>
    <row r="268" spans="1:11" x14ac:dyDescent="0.25">
      <c r="A268">
        <v>421437</v>
      </c>
      <c r="B268" t="s">
        <v>56</v>
      </c>
      <c r="C268" s="3">
        <v>15.89</v>
      </c>
      <c r="D268" s="3">
        <v>14.98</v>
      </c>
      <c r="E268" s="3">
        <v>0</v>
      </c>
      <c r="F268">
        <v>3</v>
      </c>
      <c r="G268" t="s">
        <v>15</v>
      </c>
      <c r="H268" s="4">
        <v>46007</v>
      </c>
      <c r="I268" t="s">
        <v>13</v>
      </c>
      <c r="J268">
        <v>8</v>
      </c>
      <c r="K268" s="3">
        <v>240.32</v>
      </c>
    </row>
    <row r="269" spans="1:11" x14ac:dyDescent="0.25">
      <c r="A269">
        <v>421437</v>
      </c>
      <c r="B269" t="s">
        <v>56</v>
      </c>
      <c r="C269" s="3">
        <v>15.89</v>
      </c>
      <c r="D269" s="3">
        <v>14.98</v>
      </c>
      <c r="E269" s="3">
        <v>0</v>
      </c>
      <c r="F269">
        <v>3</v>
      </c>
      <c r="G269" t="s">
        <v>15</v>
      </c>
      <c r="H269" s="4">
        <v>46008</v>
      </c>
      <c r="I269" t="s">
        <v>13</v>
      </c>
      <c r="J269">
        <v>8</v>
      </c>
      <c r="K269" s="3">
        <v>240.32</v>
      </c>
    </row>
    <row r="270" spans="1:11" x14ac:dyDescent="0.25">
      <c r="A270">
        <v>421437</v>
      </c>
      <c r="B270" t="s">
        <v>56</v>
      </c>
      <c r="C270" s="3">
        <v>15.89</v>
      </c>
      <c r="D270" s="3">
        <v>14.98</v>
      </c>
      <c r="E270" s="3">
        <v>0</v>
      </c>
      <c r="F270">
        <v>3</v>
      </c>
      <c r="G270" t="s">
        <v>15</v>
      </c>
      <c r="H270" s="4">
        <v>46009</v>
      </c>
      <c r="I270" t="s">
        <v>13</v>
      </c>
      <c r="J270">
        <v>8</v>
      </c>
      <c r="K270" s="3">
        <v>240.32</v>
      </c>
    </row>
    <row r="271" spans="1:11" x14ac:dyDescent="0.25">
      <c r="A271">
        <v>421437</v>
      </c>
      <c r="B271" t="s">
        <v>56</v>
      </c>
      <c r="C271" s="3">
        <v>15.89</v>
      </c>
      <c r="D271" s="3">
        <v>14.98</v>
      </c>
      <c r="E271" s="3">
        <v>0</v>
      </c>
      <c r="F271">
        <v>3</v>
      </c>
      <c r="G271" t="s">
        <v>15</v>
      </c>
      <c r="H271" s="4">
        <v>46010</v>
      </c>
      <c r="I271" t="s">
        <v>13</v>
      </c>
      <c r="J271">
        <v>8</v>
      </c>
      <c r="K271" s="3">
        <v>240.32</v>
      </c>
    </row>
    <row r="272" spans="1:11" x14ac:dyDescent="0.25">
      <c r="A272">
        <v>421714</v>
      </c>
      <c r="B272" t="s">
        <v>57</v>
      </c>
      <c r="C272" s="3">
        <v>15.89</v>
      </c>
      <c r="D272" s="3">
        <v>14.98</v>
      </c>
      <c r="E272" s="3">
        <v>0</v>
      </c>
      <c r="F272">
        <v>66</v>
      </c>
      <c r="G272" t="s">
        <v>19</v>
      </c>
      <c r="H272" s="4">
        <v>46006</v>
      </c>
      <c r="I272" t="s">
        <v>13</v>
      </c>
      <c r="J272">
        <v>8</v>
      </c>
      <c r="K272" s="3">
        <v>240.88</v>
      </c>
    </row>
    <row r="273" spans="1:11" x14ac:dyDescent="0.25">
      <c r="A273">
        <v>421714</v>
      </c>
      <c r="B273" t="s">
        <v>57</v>
      </c>
      <c r="C273" s="3">
        <v>15.89</v>
      </c>
      <c r="D273" s="3">
        <v>14.98</v>
      </c>
      <c r="E273" s="3">
        <v>0</v>
      </c>
      <c r="F273">
        <v>66</v>
      </c>
      <c r="G273" t="s">
        <v>19</v>
      </c>
      <c r="H273" s="4">
        <v>46007</v>
      </c>
      <c r="I273" t="s">
        <v>13</v>
      </c>
      <c r="J273">
        <v>8</v>
      </c>
      <c r="K273" s="3">
        <v>240.88</v>
      </c>
    </row>
    <row r="274" spans="1:11" x14ac:dyDescent="0.25">
      <c r="A274">
        <v>421714</v>
      </c>
      <c r="B274" t="s">
        <v>57</v>
      </c>
      <c r="C274" s="3">
        <v>15.89</v>
      </c>
      <c r="D274" s="3">
        <v>14.98</v>
      </c>
      <c r="E274" s="3">
        <v>0</v>
      </c>
      <c r="F274">
        <v>66</v>
      </c>
      <c r="G274" t="s">
        <v>19</v>
      </c>
      <c r="H274" s="4">
        <v>46008</v>
      </c>
      <c r="I274" t="s">
        <v>13</v>
      </c>
      <c r="J274">
        <v>8</v>
      </c>
      <c r="K274" s="3">
        <v>240.88</v>
      </c>
    </row>
    <row r="275" spans="1:11" x14ac:dyDescent="0.25">
      <c r="A275">
        <v>421714</v>
      </c>
      <c r="B275" t="s">
        <v>57</v>
      </c>
      <c r="C275" s="3">
        <v>15.89</v>
      </c>
      <c r="D275" s="3">
        <v>14.98</v>
      </c>
      <c r="E275" s="3">
        <v>0</v>
      </c>
      <c r="F275">
        <v>66</v>
      </c>
      <c r="G275" t="s">
        <v>19</v>
      </c>
      <c r="H275" s="4">
        <v>46009</v>
      </c>
      <c r="I275" t="s">
        <v>13</v>
      </c>
      <c r="J275">
        <v>7</v>
      </c>
      <c r="K275" s="3">
        <v>210.77</v>
      </c>
    </row>
    <row r="276" spans="1:11" x14ac:dyDescent="0.25">
      <c r="A276">
        <v>421714</v>
      </c>
      <c r="B276" t="s">
        <v>57</v>
      </c>
      <c r="C276" s="3">
        <v>15.89</v>
      </c>
      <c r="D276" s="3">
        <v>14.98</v>
      </c>
      <c r="E276" s="3">
        <v>0</v>
      </c>
      <c r="F276">
        <v>66</v>
      </c>
      <c r="G276" t="s">
        <v>19</v>
      </c>
      <c r="H276" s="4">
        <v>46010</v>
      </c>
      <c r="I276" t="s">
        <v>13</v>
      </c>
      <c r="J276">
        <v>8</v>
      </c>
      <c r="K276" s="3">
        <v>240.88</v>
      </c>
    </row>
    <row r="277" spans="1:11" x14ac:dyDescent="0.25">
      <c r="A277">
        <v>422228</v>
      </c>
      <c r="B277" t="s">
        <v>58</v>
      </c>
      <c r="C277" s="3">
        <v>15.89</v>
      </c>
      <c r="D277" s="3">
        <v>14.98</v>
      </c>
      <c r="E277" s="3">
        <v>0</v>
      </c>
      <c r="F277">
        <v>72</v>
      </c>
      <c r="G277" t="s">
        <v>19</v>
      </c>
      <c r="H277" s="4">
        <v>46006</v>
      </c>
      <c r="I277" t="s">
        <v>13</v>
      </c>
      <c r="J277">
        <v>2.25</v>
      </c>
      <c r="K277" s="3">
        <v>67.75</v>
      </c>
    </row>
    <row r="278" spans="1:11" x14ac:dyDescent="0.25">
      <c r="A278">
        <v>422228</v>
      </c>
      <c r="B278" t="s">
        <v>58</v>
      </c>
      <c r="C278" s="3">
        <v>15.89</v>
      </c>
      <c r="D278" s="3">
        <v>14.98</v>
      </c>
      <c r="E278" s="3">
        <v>0</v>
      </c>
      <c r="F278">
        <v>72</v>
      </c>
      <c r="G278" t="s">
        <v>19</v>
      </c>
      <c r="H278" s="4">
        <v>46006</v>
      </c>
      <c r="I278" t="s">
        <v>21</v>
      </c>
      <c r="J278">
        <v>4.5</v>
      </c>
      <c r="K278" s="3">
        <v>172.13</v>
      </c>
    </row>
    <row r="279" spans="1:11" x14ac:dyDescent="0.25">
      <c r="A279">
        <v>422228</v>
      </c>
      <c r="B279" t="s">
        <v>58</v>
      </c>
      <c r="C279" s="3">
        <v>15.89</v>
      </c>
      <c r="D279" s="3">
        <v>14.98</v>
      </c>
      <c r="E279" s="3">
        <v>0</v>
      </c>
      <c r="F279">
        <v>72</v>
      </c>
      <c r="G279" t="s">
        <v>19</v>
      </c>
      <c r="H279" s="4">
        <v>46007</v>
      </c>
      <c r="I279" t="s">
        <v>13</v>
      </c>
      <c r="J279">
        <v>2.25</v>
      </c>
      <c r="K279" s="3">
        <v>67.75</v>
      </c>
    </row>
    <row r="280" spans="1:11" x14ac:dyDescent="0.25">
      <c r="A280">
        <v>422228</v>
      </c>
      <c r="B280" t="s">
        <v>58</v>
      </c>
      <c r="C280" s="3">
        <v>15.89</v>
      </c>
      <c r="D280" s="3">
        <v>14.98</v>
      </c>
      <c r="E280" s="3">
        <v>0</v>
      </c>
      <c r="F280">
        <v>72</v>
      </c>
      <c r="G280" t="s">
        <v>19</v>
      </c>
      <c r="H280" s="4">
        <v>46007</v>
      </c>
      <c r="I280" t="s">
        <v>21</v>
      </c>
      <c r="J280">
        <v>4.25</v>
      </c>
      <c r="K280" s="3">
        <v>162.56</v>
      </c>
    </row>
    <row r="281" spans="1:11" x14ac:dyDescent="0.25">
      <c r="A281">
        <v>422228</v>
      </c>
      <c r="B281" t="s">
        <v>58</v>
      </c>
      <c r="C281" s="3">
        <v>15.89</v>
      </c>
      <c r="D281" s="3">
        <v>14.98</v>
      </c>
      <c r="E281" s="3">
        <v>0</v>
      </c>
      <c r="F281">
        <v>72</v>
      </c>
      <c r="G281" t="s">
        <v>19</v>
      </c>
      <c r="H281" s="4">
        <v>46008</v>
      </c>
      <c r="I281" t="s">
        <v>13</v>
      </c>
      <c r="J281">
        <v>2.25</v>
      </c>
      <c r="K281" s="3">
        <v>67.75</v>
      </c>
    </row>
    <row r="282" spans="1:11" x14ac:dyDescent="0.25">
      <c r="A282">
        <v>422228</v>
      </c>
      <c r="B282" t="s">
        <v>58</v>
      </c>
      <c r="C282" s="3">
        <v>15.89</v>
      </c>
      <c r="D282" s="3">
        <v>14.98</v>
      </c>
      <c r="E282" s="3">
        <v>0</v>
      </c>
      <c r="F282">
        <v>72</v>
      </c>
      <c r="G282" t="s">
        <v>19</v>
      </c>
      <c r="H282" s="4">
        <v>46008</v>
      </c>
      <c r="I282" t="s">
        <v>21</v>
      </c>
      <c r="J282">
        <v>5</v>
      </c>
      <c r="K282" s="3">
        <v>191.25</v>
      </c>
    </row>
    <row r="283" spans="1:11" x14ac:dyDescent="0.25">
      <c r="A283">
        <v>422228</v>
      </c>
      <c r="B283" t="s">
        <v>58</v>
      </c>
      <c r="C283" s="3">
        <v>15.89</v>
      </c>
      <c r="D283" s="3">
        <v>14.98</v>
      </c>
      <c r="E283" s="3">
        <v>0</v>
      </c>
      <c r="F283">
        <v>72</v>
      </c>
      <c r="G283" t="s">
        <v>19</v>
      </c>
      <c r="H283" s="4">
        <v>46009</v>
      </c>
      <c r="I283" t="s">
        <v>13</v>
      </c>
      <c r="J283">
        <v>2.25</v>
      </c>
      <c r="K283" s="3">
        <v>67.75</v>
      </c>
    </row>
    <row r="284" spans="1:11" x14ac:dyDescent="0.25">
      <c r="A284">
        <v>422228</v>
      </c>
      <c r="B284" t="s">
        <v>58</v>
      </c>
      <c r="C284" s="3">
        <v>15.89</v>
      </c>
      <c r="D284" s="3">
        <v>14.98</v>
      </c>
      <c r="E284" s="3">
        <v>0</v>
      </c>
      <c r="F284">
        <v>72</v>
      </c>
      <c r="G284" t="s">
        <v>19</v>
      </c>
      <c r="H284" s="4">
        <v>46009</v>
      </c>
      <c r="I284" t="s">
        <v>21</v>
      </c>
      <c r="J284">
        <v>5</v>
      </c>
      <c r="K284" s="3">
        <v>191.25</v>
      </c>
    </row>
    <row r="285" spans="1:11" x14ac:dyDescent="0.25">
      <c r="A285">
        <v>422228</v>
      </c>
      <c r="B285" t="s">
        <v>58</v>
      </c>
      <c r="C285" s="3">
        <v>15.89</v>
      </c>
      <c r="D285" s="3">
        <v>14.98</v>
      </c>
      <c r="E285" s="3">
        <v>0</v>
      </c>
      <c r="F285">
        <v>72</v>
      </c>
      <c r="G285" t="s">
        <v>19</v>
      </c>
      <c r="H285" s="4">
        <v>46010</v>
      </c>
      <c r="I285" t="s">
        <v>13</v>
      </c>
      <c r="J285">
        <v>2.5</v>
      </c>
      <c r="K285" s="3">
        <v>75.28</v>
      </c>
    </row>
    <row r="286" spans="1:11" x14ac:dyDescent="0.25">
      <c r="A286">
        <v>422228</v>
      </c>
      <c r="B286" t="s">
        <v>58</v>
      </c>
      <c r="C286" s="3">
        <v>15.89</v>
      </c>
      <c r="D286" s="3">
        <v>14.98</v>
      </c>
      <c r="E286" s="3">
        <v>0</v>
      </c>
      <c r="F286">
        <v>72</v>
      </c>
      <c r="G286" t="s">
        <v>19</v>
      </c>
      <c r="H286" s="4">
        <v>46010</v>
      </c>
      <c r="I286" t="s">
        <v>21</v>
      </c>
      <c r="J286">
        <v>3.5</v>
      </c>
      <c r="K286" s="3">
        <v>133.88</v>
      </c>
    </row>
    <row r="287" spans="1:11" x14ac:dyDescent="0.25">
      <c r="A287">
        <v>422725</v>
      </c>
      <c r="B287" t="s">
        <v>59</v>
      </c>
      <c r="C287" s="3">
        <v>16.91</v>
      </c>
      <c r="D287" s="3">
        <v>15.94</v>
      </c>
      <c r="E287" s="3">
        <v>0</v>
      </c>
      <c r="F287">
        <v>71</v>
      </c>
      <c r="G287" t="s">
        <v>19</v>
      </c>
      <c r="H287" s="4">
        <v>46006</v>
      </c>
      <c r="I287" t="s">
        <v>13</v>
      </c>
      <c r="J287">
        <v>2.5</v>
      </c>
      <c r="K287" s="3">
        <v>79.63</v>
      </c>
    </row>
    <row r="288" spans="1:11" x14ac:dyDescent="0.25">
      <c r="A288">
        <v>422725</v>
      </c>
      <c r="B288" t="s">
        <v>59</v>
      </c>
      <c r="C288" s="3">
        <v>16.91</v>
      </c>
      <c r="D288" s="3">
        <v>15.94</v>
      </c>
      <c r="E288" s="3">
        <v>0</v>
      </c>
      <c r="F288">
        <v>71</v>
      </c>
      <c r="G288" t="s">
        <v>19</v>
      </c>
      <c r="H288" s="4">
        <v>46006</v>
      </c>
      <c r="I288" t="s">
        <v>21</v>
      </c>
      <c r="J288">
        <v>5</v>
      </c>
      <c r="K288" s="3">
        <v>202.6</v>
      </c>
    </row>
    <row r="289" spans="1:11" x14ac:dyDescent="0.25">
      <c r="A289">
        <v>422725</v>
      </c>
      <c r="B289" t="s">
        <v>59</v>
      </c>
      <c r="C289" s="3">
        <v>16.91</v>
      </c>
      <c r="D289" s="3">
        <v>15.94</v>
      </c>
      <c r="E289" s="3">
        <v>0</v>
      </c>
      <c r="F289">
        <v>71</v>
      </c>
      <c r="G289" t="s">
        <v>19</v>
      </c>
      <c r="H289" s="4">
        <v>46007</v>
      </c>
      <c r="I289" t="s">
        <v>13</v>
      </c>
      <c r="J289">
        <v>2.5</v>
      </c>
      <c r="K289" s="3">
        <v>79.63</v>
      </c>
    </row>
    <row r="290" spans="1:11" x14ac:dyDescent="0.25">
      <c r="A290">
        <v>422725</v>
      </c>
      <c r="B290" t="s">
        <v>59</v>
      </c>
      <c r="C290" s="3">
        <v>16.91</v>
      </c>
      <c r="D290" s="3">
        <v>15.94</v>
      </c>
      <c r="E290" s="3">
        <v>0</v>
      </c>
      <c r="F290">
        <v>71</v>
      </c>
      <c r="G290" t="s">
        <v>19</v>
      </c>
      <c r="H290" s="4">
        <v>46007</v>
      </c>
      <c r="I290" t="s">
        <v>21</v>
      </c>
      <c r="J290">
        <v>4.75</v>
      </c>
      <c r="K290" s="3">
        <v>192.47</v>
      </c>
    </row>
    <row r="291" spans="1:11" x14ac:dyDescent="0.25">
      <c r="A291">
        <v>422725</v>
      </c>
      <c r="B291" t="s">
        <v>59</v>
      </c>
      <c r="C291" s="3">
        <v>16.91</v>
      </c>
      <c r="D291" s="3">
        <v>15.94</v>
      </c>
      <c r="E291" s="3">
        <v>0</v>
      </c>
      <c r="F291">
        <v>71</v>
      </c>
      <c r="G291" t="s">
        <v>19</v>
      </c>
      <c r="H291" s="4">
        <v>46008</v>
      </c>
      <c r="I291" t="s">
        <v>13</v>
      </c>
      <c r="J291">
        <v>2.5</v>
      </c>
      <c r="K291" s="3">
        <v>79.63</v>
      </c>
    </row>
    <row r="292" spans="1:11" x14ac:dyDescent="0.25">
      <c r="A292">
        <v>422725</v>
      </c>
      <c r="B292" t="s">
        <v>59</v>
      </c>
      <c r="C292" s="3">
        <v>16.91</v>
      </c>
      <c r="D292" s="3">
        <v>15.94</v>
      </c>
      <c r="E292" s="3">
        <v>0</v>
      </c>
      <c r="F292">
        <v>71</v>
      </c>
      <c r="G292" t="s">
        <v>19</v>
      </c>
      <c r="H292" s="4">
        <v>46008</v>
      </c>
      <c r="I292" t="s">
        <v>21</v>
      </c>
      <c r="J292">
        <v>5</v>
      </c>
      <c r="K292" s="3">
        <v>202.6</v>
      </c>
    </row>
    <row r="293" spans="1:11" x14ac:dyDescent="0.25">
      <c r="A293">
        <v>422725</v>
      </c>
      <c r="B293" t="s">
        <v>59</v>
      </c>
      <c r="C293" s="3">
        <v>16.91</v>
      </c>
      <c r="D293" s="3">
        <v>15.94</v>
      </c>
      <c r="E293" s="3">
        <v>0</v>
      </c>
      <c r="F293">
        <v>71</v>
      </c>
      <c r="G293" t="s">
        <v>19</v>
      </c>
      <c r="H293" s="4">
        <v>46009</v>
      </c>
      <c r="I293" t="s">
        <v>13</v>
      </c>
      <c r="J293">
        <v>2.5</v>
      </c>
      <c r="K293" s="3">
        <v>79.63</v>
      </c>
    </row>
    <row r="294" spans="1:11" x14ac:dyDescent="0.25">
      <c r="A294">
        <v>422725</v>
      </c>
      <c r="B294" t="s">
        <v>59</v>
      </c>
      <c r="C294" s="3">
        <v>16.91</v>
      </c>
      <c r="D294" s="3">
        <v>15.94</v>
      </c>
      <c r="E294" s="3">
        <v>0</v>
      </c>
      <c r="F294">
        <v>71</v>
      </c>
      <c r="G294" t="s">
        <v>19</v>
      </c>
      <c r="H294" s="4">
        <v>46009</v>
      </c>
      <c r="I294" t="s">
        <v>21</v>
      </c>
      <c r="J294">
        <v>4.75</v>
      </c>
      <c r="K294" s="3">
        <v>192.47</v>
      </c>
    </row>
    <row r="295" spans="1:11" x14ac:dyDescent="0.25">
      <c r="A295">
        <v>422725</v>
      </c>
      <c r="B295" t="s">
        <v>59</v>
      </c>
      <c r="C295" s="3">
        <v>16.91</v>
      </c>
      <c r="D295" s="3">
        <v>15.94</v>
      </c>
      <c r="E295" s="3">
        <v>0</v>
      </c>
      <c r="F295">
        <v>71</v>
      </c>
      <c r="G295" t="s">
        <v>19</v>
      </c>
      <c r="H295" s="4">
        <v>46010</v>
      </c>
      <c r="I295" t="s">
        <v>13</v>
      </c>
      <c r="J295">
        <v>2.75</v>
      </c>
      <c r="K295" s="3">
        <v>87.59</v>
      </c>
    </row>
    <row r="296" spans="1:11" x14ac:dyDescent="0.25">
      <c r="A296">
        <v>422725</v>
      </c>
      <c r="B296" t="s">
        <v>59</v>
      </c>
      <c r="C296" s="3">
        <v>16.91</v>
      </c>
      <c r="D296" s="3">
        <v>15.94</v>
      </c>
      <c r="E296" s="3">
        <v>0</v>
      </c>
      <c r="F296">
        <v>71</v>
      </c>
      <c r="G296" t="s">
        <v>19</v>
      </c>
      <c r="H296" s="4">
        <v>46010</v>
      </c>
      <c r="I296" t="s">
        <v>21</v>
      </c>
      <c r="J296">
        <v>3.75</v>
      </c>
      <c r="K296" s="3">
        <v>151.94999999999999</v>
      </c>
    </row>
    <row r="297" spans="1:11" x14ac:dyDescent="0.25">
      <c r="A297">
        <v>423898</v>
      </c>
      <c r="B297" t="s">
        <v>60</v>
      </c>
      <c r="C297" s="3">
        <v>16.91</v>
      </c>
      <c r="D297" s="3">
        <v>15.94</v>
      </c>
      <c r="E297" s="3">
        <v>0</v>
      </c>
      <c r="F297">
        <v>67</v>
      </c>
      <c r="G297" t="s">
        <v>19</v>
      </c>
      <c r="H297" s="4">
        <v>46006</v>
      </c>
      <c r="I297" t="s">
        <v>13</v>
      </c>
      <c r="J297">
        <v>2.5</v>
      </c>
      <c r="K297" s="3">
        <v>79.63</v>
      </c>
    </row>
    <row r="298" spans="1:11" x14ac:dyDescent="0.25">
      <c r="A298">
        <v>423898</v>
      </c>
      <c r="B298" t="s">
        <v>60</v>
      </c>
      <c r="C298" s="3">
        <v>16.91</v>
      </c>
      <c r="D298" s="3">
        <v>15.94</v>
      </c>
      <c r="E298" s="3">
        <v>0</v>
      </c>
      <c r="F298">
        <v>67</v>
      </c>
      <c r="G298" t="s">
        <v>19</v>
      </c>
      <c r="H298" s="4">
        <v>46006</v>
      </c>
      <c r="I298" t="s">
        <v>21</v>
      </c>
      <c r="J298">
        <v>5</v>
      </c>
      <c r="K298" s="3">
        <v>202.6</v>
      </c>
    </row>
    <row r="299" spans="1:11" x14ac:dyDescent="0.25">
      <c r="A299">
        <v>423898</v>
      </c>
      <c r="B299" t="s">
        <v>60</v>
      </c>
      <c r="C299" s="3">
        <v>16.91</v>
      </c>
      <c r="D299" s="3">
        <v>15.94</v>
      </c>
      <c r="E299" s="3">
        <v>0</v>
      </c>
      <c r="F299">
        <v>67</v>
      </c>
      <c r="G299" t="s">
        <v>19</v>
      </c>
      <c r="H299" s="4">
        <v>46007</v>
      </c>
      <c r="I299" t="s">
        <v>13</v>
      </c>
      <c r="J299">
        <v>2.5</v>
      </c>
      <c r="K299" s="3">
        <v>79.63</v>
      </c>
    </row>
    <row r="300" spans="1:11" x14ac:dyDescent="0.25">
      <c r="A300">
        <v>423898</v>
      </c>
      <c r="B300" t="s">
        <v>60</v>
      </c>
      <c r="C300" s="3">
        <v>16.91</v>
      </c>
      <c r="D300" s="3">
        <v>15.94</v>
      </c>
      <c r="E300" s="3">
        <v>0</v>
      </c>
      <c r="F300">
        <v>67</v>
      </c>
      <c r="G300" t="s">
        <v>19</v>
      </c>
      <c r="H300" s="4">
        <v>46007</v>
      </c>
      <c r="I300" t="s">
        <v>21</v>
      </c>
      <c r="J300">
        <v>4.75</v>
      </c>
      <c r="K300" s="3">
        <v>192.47</v>
      </c>
    </row>
    <row r="301" spans="1:11" x14ac:dyDescent="0.25">
      <c r="A301">
        <v>423898</v>
      </c>
      <c r="B301" t="s">
        <v>60</v>
      </c>
      <c r="C301" s="3">
        <v>16.91</v>
      </c>
      <c r="D301" s="3">
        <v>15.94</v>
      </c>
      <c r="E301" s="3">
        <v>0</v>
      </c>
      <c r="F301">
        <v>67</v>
      </c>
      <c r="G301" t="s">
        <v>19</v>
      </c>
      <c r="H301" s="4">
        <v>46008</v>
      </c>
      <c r="I301" t="s">
        <v>13</v>
      </c>
      <c r="J301">
        <v>2.5</v>
      </c>
      <c r="K301" s="3">
        <v>79.63</v>
      </c>
    </row>
    <row r="302" spans="1:11" x14ac:dyDescent="0.25">
      <c r="A302">
        <v>423898</v>
      </c>
      <c r="B302" t="s">
        <v>60</v>
      </c>
      <c r="C302" s="3">
        <v>16.91</v>
      </c>
      <c r="D302" s="3">
        <v>15.94</v>
      </c>
      <c r="E302" s="3">
        <v>0</v>
      </c>
      <c r="F302">
        <v>67</v>
      </c>
      <c r="G302" t="s">
        <v>19</v>
      </c>
      <c r="H302" s="4">
        <v>46008</v>
      </c>
      <c r="I302" t="s">
        <v>21</v>
      </c>
      <c r="J302">
        <v>5</v>
      </c>
      <c r="K302" s="3">
        <v>202.6</v>
      </c>
    </row>
    <row r="303" spans="1:11" x14ac:dyDescent="0.25">
      <c r="A303">
        <v>423898</v>
      </c>
      <c r="B303" t="s">
        <v>60</v>
      </c>
      <c r="C303" s="3">
        <v>16.91</v>
      </c>
      <c r="D303" s="3">
        <v>15.94</v>
      </c>
      <c r="E303" s="3">
        <v>0</v>
      </c>
      <c r="F303">
        <v>67</v>
      </c>
      <c r="G303" t="s">
        <v>19</v>
      </c>
      <c r="H303" s="4">
        <v>46009</v>
      </c>
      <c r="I303" t="s">
        <v>13</v>
      </c>
      <c r="J303">
        <v>2.5</v>
      </c>
      <c r="K303" s="3">
        <v>79.63</v>
      </c>
    </row>
    <row r="304" spans="1:11" x14ac:dyDescent="0.25">
      <c r="A304">
        <v>423898</v>
      </c>
      <c r="B304" t="s">
        <v>60</v>
      </c>
      <c r="C304" s="3">
        <v>16.91</v>
      </c>
      <c r="D304" s="3">
        <v>15.94</v>
      </c>
      <c r="E304" s="3">
        <v>0</v>
      </c>
      <c r="F304">
        <v>67</v>
      </c>
      <c r="G304" t="s">
        <v>19</v>
      </c>
      <c r="H304" s="4">
        <v>46009</v>
      </c>
      <c r="I304" t="s">
        <v>21</v>
      </c>
      <c r="J304">
        <v>4.75</v>
      </c>
      <c r="K304" s="3">
        <v>192.47</v>
      </c>
    </row>
    <row r="305" spans="1:11" x14ac:dyDescent="0.25">
      <c r="A305">
        <v>423898</v>
      </c>
      <c r="B305" t="s">
        <v>60</v>
      </c>
      <c r="C305" s="3">
        <v>16.91</v>
      </c>
      <c r="D305" s="3">
        <v>15.94</v>
      </c>
      <c r="E305" s="3">
        <v>0</v>
      </c>
      <c r="F305">
        <v>67</v>
      </c>
      <c r="G305" t="s">
        <v>19</v>
      </c>
      <c r="H305" s="4">
        <v>46010</v>
      </c>
      <c r="I305" t="s">
        <v>13</v>
      </c>
      <c r="J305">
        <v>2.75</v>
      </c>
      <c r="K305" s="3">
        <v>87.59</v>
      </c>
    </row>
    <row r="306" spans="1:11" x14ac:dyDescent="0.25">
      <c r="A306">
        <v>423898</v>
      </c>
      <c r="B306" t="s">
        <v>60</v>
      </c>
      <c r="C306" s="3">
        <v>16.91</v>
      </c>
      <c r="D306" s="3">
        <v>15.94</v>
      </c>
      <c r="E306" s="3">
        <v>0</v>
      </c>
      <c r="F306">
        <v>67</v>
      </c>
      <c r="G306" t="s">
        <v>19</v>
      </c>
      <c r="H306" s="4">
        <v>46010</v>
      </c>
      <c r="I306" t="s">
        <v>21</v>
      </c>
      <c r="J306">
        <v>3.75</v>
      </c>
      <c r="K306" s="3">
        <v>151.94999999999999</v>
      </c>
    </row>
    <row r="307" spans="1:11" x14ac:dyDescent="0.25">
      <c r="A307">
        <v>429524</v>
      </c>
      <c r="B307" t="s">
        <v>61</v>
      </c>
      <c r="C307" s="3">
        <v>16.91</v>
      </c>
      <c r="D307" s="3">
        <v>15.94</v>
      </c>
      <c r="E307" s="3">
        <v>0</v>
      </c>
      <c r="F307">
        <v>43</v>
      </c>
      <c r="G307" t="s">
        <v>15</v>
      </c>
      <c r="H307" s="4">
        <v>46006</v>
      </c>
      <c r="I307" t="s">
        <v>13</v>
      </c>
      <c r="J307">
        <v>7.75</v>
      </c>
      <c r="K307" s="3">
        <v>246.3</v>
      </c>
    </row>
    <row r="308" spans="1:11" x14ac:dyDescent="0.25">
      <c r="A308">
        <v>429524</v>
      </c>
      <c r="B308" t="s">
        <v>61</v>
      </c>
      <c r="C308" s="3">
        <v>16.91</v>
      </c>
      <c r="D308" s="3">
        <v>15.94</v>
      </c>
      <c r="E308" s="3">
        <v>0</v>
      </c>
      <c r="F308">
        <v>43</v>
      </c>
      <c r="G308" t="s">
        <v>15</v>
      </c>
      <c r="H308" s="4">
        <v>46007</v>
      </c>
      <c r="I308" t="s">
        <v>13</v>
      </c>
      <c r="J308">
        <v>7.5</v>
      </c>
      <c r="K308" s="3">
        <v>238.35</v>
      </c>
    </row>
    <row r="309" spans="1:11" x14ac:dyDescent="0.25">
      <c r="A309">
        <v>429524</v>
      </c>
      <c r="B309" t="s">
        <v>61</v>
      </c>
      <c r="C309" s="3">
        <v>16.91</v>
      </c>
      <c r="D309" s="3">
        <v>15.94</v>
      </c>
      <c r="E309" s="3">
        <v>0</v>
      </c>
      <c r="F309">
        <v>43</v>
      </c>
      <c r="G309" t="s">
        <v>15</v>
      </c>
      <c r="H309" s="4">
        <v>46008</v>
      </c>
      <c r="I309" t="s">
        <v>13</v>
      </c>
      <c r="J309">
        <v>8</v>
      </c>
      <c r="K309" s="3">
        <v>254.24</v>
      </c>
    </row>
    <row r="310" spans="1:11" x14ac:dyDescent="0.25">
      <c r="A310">
        <v>429524</v>
      </c>
      <c r="B310" t="s">
        <v>61</v>
      </c>
      <c r="C310" s="3">
        <v>16.91</v>
      </c>
      <c r="D310" s="3">
        <v>15.94</v>
      </c>
      <c r="E310" s="3">
        <v>0</v>
      </c>
      <c r="F310">
        <v>43</v>
      </c>
      <c r="G310" t="s">
        <v>15</v>
      </c>
      <c r="H310" s="4">
        <v>46009</v>
      </c>
      <c r="I310" t="s">
        <v>13</v>
      </c>
      <c r="J310">
        <v>3.5</v>
      </c>
      <c r="K310" s="3">
        <v>111.23</v>
      </c>
    </row>
    <row r="311" spans="1:11" x14ac:dyDescent="0.25">
      <c r="A311">
        <v>429524</v>
      </c>
      <c r="B311" t="s">
        <v>61</v>
      </c>
      <c r="C311" s="3">
        <v>16.91</v>
      </c>
      <c r="D311" s="3">
        <v>15.94</v>
      </c>
      <c r="E311" s="3">
        <v>0</v>
      </c>
      <c r="F311">
        <v>43</v>
      </c>
      <c r="G311" t="s">
        <v>15</v>
      </c>
      <c r="H311" s="4">
        <v>46010</v>
      </c>
      <c r="I311" t="s">
        <v>13</v>
      </c>
      <c r="J311">
        <v>4.5</v>
      </c>
      <c r="K311" s="3">
        <v>143.01</v>
      </c>
    </row>
    <row r="312" spans="1:11" x14ac:dyDescent="0.25">
      <c r="A312">
        <v>429551</v>
      </c>
      <c r="B312" t="s">
        <v>62</v>
      </c>
      <c r="C312" s="3">
        <v>15.89</v>
      </c>
      <c r="D312" s="3">
        <v>14.98</v>
      </c>
      <c r="E312" s="3">
        <v>0</v>
      </c>
      <c r="F312">
        <v>51</v>
      </c>
      <c r="G312" t="s">
        <v>15</v>
      </c>
      <c r="H312" s="4">
        <v>46006</v>
      </c>
      <c r="I312" t="s">
        <v>13</v>
      </c>
      <c r="J312">
        <v>7</v>
      </c>
      <c r="K312" s="3">
        <v>210.28</v>
      </c>
    </row>
    <row r="313" spans="1:11" x14ac:dyDescent="0.25">
      <c r="A313">
        <v>429551</v>
      </c>
      <c r="B313" t="s">
        <v>62</v>
      </c>
      <c r="C313" s="3">
        <v>15.89</v>
      </c>
      <c r="D313" s="3">
        <v>14.98</v>
      </c>
      <c r="E313" s="3">
        <v>0</v>
      </c>
      <c r="F313">
        <v>51</v>
      </c>
      <c r="G313" t="s">
        <v>15</v>
      </c>
      <c r="H313" s="4">
        <v>46006</v>
      </c>
      <c r="I313" t="s">
        <v>22</v>
      </c>
      <c r="J313">
        <v>1.5</v>
      </c>
      <c r="K313" s="3">
        <v>58.11</v>
      </c>
    </row>
    <row r="314" spans="1:11" x14ac:dyDescent="0.25">
      <c r="A314">
        <v>429551</v>
      </c>
      <c r="B314" t="s">
        <v>62</v>
      </c>
      <c r="C314" s="3">
        <v>15.89</v>
      </c>
      <c r="D314" s="3">
        <v>14.98</v>
      </c>
      <c r="E314" s="3">
        <v>0</v>
      </c>
      <c r="F314">
        <v>51</v>
      </c>
      <c r="G314" t="s">
        <v>15</v>
      </c>
      <c r="H314" s="4">
        <v>46007</v>
      </c>
      <c r="I314" t="s">
        <v>13</v>
      </c>
      <c r="J314">
        <v>7</v>
      </c>
      <c r="K314" s="3">
        <v>210.28</v>
      </c>
    </row>
    <row r="315" spans="1:11" x14ac:dyDescent="0.25">
      <c r="A315">
        <v>429551</v>
      </c>
      <c r="B315" t="s">
        <v>62</v>
      </c>
      <c r="C315" s="3">
        <v>15.89</v>
      </c>
      <c r="D315" s="3">
        <v>14.98</v>
      </c>
      <c r="E315" s="3">
        <v>0</v>
      </c>
      <c r="F315">
        <v>51</v>
      </c>
      <c r="G315" t="s">
        <v>15</v>
      </c>
      <c r="H315" s="4">
        <v>46007</v>
      </c>
      <c r="I315" t="s">
        <v>22</v>
      </c>
      <c r="J315">
        <v>1.5</v>
      </c>
      <c r="K315" s="3">
        <v>58.11</v>
      </c>
    </row>
    <row r="316" spans="1:11" x14ac:dyDescent="0.25">
      <c r="A316">
        <v>429551</v>
      </c>
      <c r="B316" t="s">
        <v>62</v>
      </c>
      <c r="C316" s="3">
        <v>15.89</v>
      </c>
      <c r="D316" s="3">
        <v>14.98</v>
      </c>
      <c r="E316" s="3">
        <v>0</v>
      </c>
      <c r="F316">
        <v>51</v>
      </c>
      <c r="G316" t="s">
        <v>15</v>
      </c>
      <c r="H316" s="4">
        <v>46008</v>
      </c>
      <c r="I316" t="s">
        <v>13</v>
      </c>
      <c r="J316">
        <v>4.5</v>
      </c>
      <c r="K316" s="3">
        <v>135.18</v>
      </c>
    </row>
    <row r="317" spans="1:11" x14ac:dyDescent="0.25">
      <c r="A317">
        <v>429551</v>
      </c>
      <c r="B317" t="s">
        <v>62</v>
      </c>
      <c r="C317" s="3">
        <v>15.89</v>
      </c>
      <c r="D317" s="3">
        <v>14.98</v>
      </c>
      <c r="E317" s="3">
        <v>0</v>
      </c>
      <c r="F317">
        <v>51</v>
      </c>
      <c r="G317" t="s">
        <v>15</v>
      </c>
      <c r="H317" s="4">
        <v>46008</v>
      </c>
      <c r="I317" t="s">
        <v>22</v>
      </c>
      <c r="J317">
        <v>1.5</v>
      </c>
      <c r="K317" s="3">
        <v>58.11</v>
      </c>
    </row>
    <row r="318" spans="1:11" x14ac:dyDescent="0.25">
      <c r="A318">
        <v>429551</v>
      </c>
      <c r="B318" t="s">
        <v>62</v>
      </c>
      <c r="C318" s="3">
        <v>15.89</v>
      </c>
      <c r="D318" s="3">
        <v>14.98</v>
      </c>
      <c r="E318" s="3">
        <v>0</v>
      </c>
      <c r="F318">
        <v>51</v>
      </c>
      <c r="G318" t="s">
        <v>15</v>
      </c>
      <c r="H318" s="4">
        <v>46008</v>
      </c>
      <c r="I318" t="s">
        <v>23</v>
      </c>
      <c r="J318">
        <v>2.5</v>
      </c>
      <c r="K318" s="3">
        <v>71.05</v>
      </c>
    </row>
    <row r="319" spans="1:11" x14ac:dyDescent="0.25">
      <c r="A319">
        <v>429551</v>
      </c>
      <c r="B319" t="s">
        <v>62</v>
      </c>
      <c r="C319" s="3">
        <v>15.89</v>
      </c>
      <c r="D319" s="3">
        <v>14.98</v>
      </c>
      <c r="E319" s="3">
        <v>0</v>
      </c>
      <c r="F319">
        <v>51</v>
      </c>
      <c r="G319" t="s">
        <v>15</v>
      </c>
      <c r="H319" s="4">
        <v>46009</v>
      </c>
      <c r="I319" t="s">
        <v>13</v>
      </c>
      <c r="J319">
        <v>7</v>
      </c>
      <c r="K319" s="3">
        <v>210.28</v>
      </c>
    </row>
    <row r="320" spans="1:11" x14ac:dyDescent="0.25">
      <c r="A320">
        <v>429551</v>
      </c>
      <c r="B320" t="s">
        <v>62</v>
      </c>
      <c r="C320" s="3">
        <v>15.89</v>
      </c>
      <c r="D320" s="3">
        <v>14.98</v>
      </c>
      <c r="E320" s="3">
        <v>0</v>
      </c>
      <c r="F320">
        <v>51</v>
      </c>
      <c r="G320" t="s">
        <v>15</v>
      </c>
      <c r="H320" s="4">
        <v>46009</v>
      </c>
      <c r="I320" t="s">
        <v>22</v>
      </c>
      <c r="J320">
        <v>1.5</v>
      </c>
      <c r="K320" s="3">
        <v>58.11</v>
      </c>
    </row>
    <row r="321" spans="1:11" x14ac:dyDescent="0.25">
      <c r="A321">
        <v>429551</v>
      </c>
      <c r="B321" t="s">
        <v>62</v>
      </c>
      <c r="C321" s="3">
        <v>15.89</v>
      </c>
      <c r="D321" s="3">
        <v>14.98</v>
      </c>
      <c r="E321" s="3">
        <v>0</v>
      </c>
      <c r="F321">
        <v>51</v>
      </c>
      <c r="G321" t="s">
        <v>15</v>
      </c>
      <c r="H321" s="4">
        <v>46010</v>
      </c>
      <c r="I321" t="s">
        <v>13</v>
      </c>
      <c r="J321">
        <v>7</v>
      </c>
      <c r="K321" s="3">
        <v>210.28</v>
      </c>
    </row>
    <row r="322" spans="1:11" x14ac:dyDescent="0.25">
      <c r="A322">
        <v>429551</v>
      </c>
      <c r="B322" t="s">
        <v>62</v>
      </c>
      <c r="C322" s="3">
        <v>15.89</v>
      </c>
      <c r="D322" s="3">
        <v>14.98</v>
      </c>
      <c r="E322" s="3">
        <v>0</v>
      </c>
      <c r="F322">
        <v>51</v>
      </c>
      <c r="G322" t="s">
        <v>15</v>
      </c>
      <c r="H322" s="4">
        <v>46010</v>
      </c>
      <c r="I322" t="s">
        <v>22</v>
      </c>
      <c r="J322">
        <v>1.5</v>
      </c>
      <c r="K322" s="3">
        <v>58.11</v>
      </c>
    </row>
    <row r="323" spans="1:11" x14ac:dyDescent="0.25">
      <c r="A323">
        <v>429552</v>
      </c>
      <c r="B323" t="s">
        <v>63</v>
      </c>
      <c r="C323" s="3">
        <v>15.89</v>
      </c>
      <c r="D323" s="3">
        <v>14.98</v>
      </c>
      <c r="E323" s="3">
        <v>0</v>
      </c>
      <c r="F323">
        <v>51</v>
      </c>
      <c r="G323" t="s">
        <v>15</v>
      </c>
      <c r="H323" s="4">
        <v>46006</v>
      </c>
      <c r="I323" t="s">
        <v>13</v>
      </c>
      <c r="J323">
        <v>2</v>
      </c>
      <c r="K323" s="3">
        <v>60.08</v>
      </c>
    </row>
    <row r="324" spans="1:11" x14ac:dyDescent="0.25">
      <c r="A324">
        <v>429552</v>
      </c>
      <c r="B324" t="s">
        <v>63</v>
      </c>
      <c r="C324" s="3">
        <v>15.89</v>
      </c>
      <c r="D324" s="3">
        <v>14.98</v>
      </c>
      <c r="E324" s="3">
        <v>0</v>
      </c>
      <c r="F324">
        <v>51</v>
      </c>
      <c r="G324" t="s">
        <v>15</v>
      </c>
      <c r="H324" s="4">
        <v>46006</v>
      </c>
      <c r="I324" t="s">
        <v>21</v>
      </c>
      <c r="J324">
        <v>5</v>
      </c>
      <c r="K324" s="3">
        <v>191.2</v>
      </c>
    </row>
    <row r="325" spans="1:11" x14ac:dyDescent="0.25">
      <c r="A325">
        <v>429552</v>
      </c>
      <c r="B325" t="s">
        <v>63</v>
      </c>
      <c r="C325" s="3">
        <v>15.89</v>
      </c>
      <c r="D325" s="3">
        <v>14.98</v>
      </c>
      <c r="E325" s="3">
        <v>0</v>
      </c>
      <c r="F325">
        <v>51</v>
      </c>
      <c r="G325" t="s">
        <v>15</v>
      </c>
      <c r="H325" s="4">
        <v>46006</v>
      </c>
      <c r="I325" t="s">
        <v>22</v>
      </c>
      <c r="J325">
        <v>0.5</v>
      </c>
      <c r="K325" s="3">
        <v>19.37</v>
      </c>
    </row>
    <row r="326" spans="1:11" x14ac:dyDescent="0.25">
      <c r="A326">
        <v>429552</v>
      </c>
      <c r="B326" t="s">
        <v>63</v>
      </c>
      <c r="C326" s="3">
        <v>15.89</v>
      </c>
      <c r="D326" s="3">
        <v>14.98</v>
      </c>
      <c r="E326" s="3">
        <v>0</v>
      </c>
      <c r="F326">
        <v>51</v>
      </c>
      <c r="G326" t="s">
        <v>15</v>
      </c>
      <c r="H326" s="4">
        <v>46007</v>
      </c>
      <c r="I326" t="s">
        <v>13</v>
      </c>
      <c r="J326">
        <v>1.75</v>
      </c>
      <c r="K326" s="3">
        <v>52.57</v>
      </c>
    </row>
    <row r="327" spans="1:11" x14ac:dyDescent="0.25">
      <c r="A327">
        <v>429552</v>
      </c>
      <c r="B327" t="s">
        <v>63</v>
      </c>
      <c r="C327" s="3">
        <v>15.89</v>
      </c>
      <c r="D327" s="3">
        <v>14.98</v>
      </c>
      <c r="E327" s="3">
        <v>0</v>
      </c>
      <c r="F327">
        <v>51</v>
      </c>
      <c r="G327" t="s">
        <v>15</v>
      </c>
      <c r="H327" s="4">
        <v>46007</v>
      </c>
      <c r="I327" t="s">
        <v>21</v>
      </c>
      <c r="J327">
        <v>4.75</v>
      </c>
      <c r="K327" s="3">
        <v>181.64</v>
      </c>
    </row>
    <row r="328" spans="1:11" x14ac:dyDescent="0.25">
      <c r="A328">
        <v>429552</v>
      </c>
      <c r="B328" t="s">
        <v>63</v>
      </c>
      <c r="C328" s="3">
        <v>15.89</v>
      </c>
      <c r="D328" s="3">
        <v>14.98</v>
      </c>
      <c r="E328" s="3">
        <v>0</v>
      </c>
      <c r="F328">
        <v>51</v>
      </c>
      <c r="G328" t="s">
        <v>15</v>
      </c>
      <c r="H328" s="4">
        <v>46008</v>
      </c>
      <c r="I328" t="s">
        <v>13</v>
      </c>
      <c r="J328">
        <v>1.75</v>
      </c>
      <c r="K328" s="3">
        <v>52.57</v>
      </c>
    </row>
    <row r="329" spans="1:11" x14ac:dyDescent="0.25">
      <c r="A329">
        <v>429552</v>
      </c>
      <c r="B329" t="s">
        <v>63</v>
      </c>
      <c r="C329" s="3">
        <v>15.89</v>
      </c>
      <c r="D329" s="3">
        <v>14.98</v>
      </c>
      <c r="E329" s="3">
        <v>0</v>
      </c>
      <c r="F329">
        <v>51</v>
      </c>
      <c r="G329" t="s">
        <v>15</v>
      </c>
      <c r="H329" s="4">
        <v>46008</v>
      </c>
      <c r="I329" t="s">
        <v>21</v>
      </c>
      <c r="J329">
        <v>5.25</v>
      </c>
      <c r="K329" s="3">
        <v>200.76</v>
      </c>
    </row>
    <row r="330" spans="1:11" x14ac:dyDescent="0.25">
      <c r="A330">
        <v>429552</v>
      </c>
      <c r="B330" t="s">
        <v>63</v>
      </c>
      <c r="C330" s="3">
        <v>15.89</v>
      </c>
      <c r="D330" s="3">
        <v>14.98</v>
      </c>
      <c r="E330" s="3">
        <v>0</v>
      </c>
      <c r="F330">
        <v>51</v>
      </c>
      <c r="G330" t="s">
        <v>15</v>
      </c>
      <c r="H330" s="4">
        <v>46008</v>
      </c>
      <c r="I330" t="s">
        <v>22</v>
      </c>
      <c r="J330">
        <v>1</v>
      </c>
      <c r="K330" s="3">
        <v>38.74</v>
      </c>
    </row>
    <row r="331" spans="1:11" x14ac:dyDescent="0.25">
      <c r="A331">
        <v>429552</v>
      </c>
      <c r="B331" t="s">
        <v>63</v>
      </c>
      <c r="C331" s="3">
        <v>15.89</v>
      </c>
      <c r="D331" s="3">
        <v>14.98</v>
      </c>
      <c r="E331" s="3">
        <v>0</v>
      </c>
      <c r="F331">
        <v>51</v>
      </c>
      <c r="G331" t="s">
        <v>15</v>
      </c>
      <c r="H331" s="4">
        <v>46009</v>
      </c>
      <c r="I331" t="s">
        <v>13</v>
      </c>
      <c r="J331">
        <v>2</v>
      </c>
      <c r="K331" s="3">
        <v>60.08</v>
      </c>
    </row>
    <row r="332" spans="1:11" x14ac:dyDescent="0.25">
      <c r="A332">
        <v>429552</v>
      </c>
      <c r="B332" t="s">
        <v>63</v>
      </c>
      <c r="C332" s="3">
        <v>15.89</v>
      </c>
      <c r="D332" s="3">
        <v>14.98</v>
      </c>
      <c r="E332" s="3">
        <v>0</v>
      </c>
      <c r="F332">
        <v>51</v>
      </c>
      <c r="G332" t="s">
        <v>15</v>
      </c>
      <c r="H332" s="4">
        <v>46009</v>
      </c>
      <c r="I332" t="s">
        <v>21</v>
      </c>
      <c r="J332">
        <v>5.25</v>
      </c>
      <c r="K332" s="3">
        <v>200.76</v>
      </c>
    </row>
    <row r="333" spans="1:11" x14ac:dyDescent="0.25">
      <c r="A333">
        <v>429552</v>
      </c>
      <c r="B333" t="s">
        <v>63</v>
      </c>
      <c r="C333" s="3">
        <v>15.89</v>
      </c>
      <c r="D333" s="3">
        <v>14.98</v>
      </c>
      <c r="E333" s="3">
        <v>0</v>
      </c>
      <c r="F333">
        <v>51</v>
      </c>
      <c r="G333" t="s">
        <v>15</v>
      </c>
      <c r="H333" s="4">
        <v>46009</v>
      </c>
      <c r="I333" t="s">
        <v>22</v>
      </c>
      <c r="J333">
        <v>1</v>
      </c>
      <c r="K333" s="3">
        <v>38.74</v>
      </c>
    </row>
    <row r="334" spans="1:11" x14ac:dyDescent="0.25">
      <c r="A334">
        <v>429552</v>
      </c>
      <c r="B334" t="s">
        <v>63</v>
      </c>
      <c r="C334" s="3">
        <v>15.89</v>
      </c>
      <c r="D334" s="3">
        <v>14.98</v>
      </c>
      <c r="E334" s="3">
        <v>0</v>
      </c>
      <c r="F334">
        <v>51</v>
      </c>
      <c r="G334" t="s">
        <v>15</v>
      </c>
      <c r="H334" s="4">
        <v>46010</v>
      </c>
      <c r="I334" t="s">
        <v>13</v>
      </c>
      <c r="J334">
        <v>2</v>
      </c>
      <c r="K334" s="3">
        <v>60.08</v>
      </c>
    </row>
    <row r="335" spans="1:11" x14ac:dyDescent="0.25">
      <c r="A335">
        <v>429552</v>
      </c>
      <c r="B335" t="s">
        <v>63</v>
      </c>
      <c r="C335" s="3">
        <v>15.89</v>
      </c>
      <c r="D335" s="3">
        <v>14.98</v>
      </c>
      <c r="E335" s="3">
        <v>0</v>
      </c>
      <c r="F335">
        <v>51</v>
      </c>
      <c r="G335" t="s">
        <v>15</v>
      </c>
      <c r="H335" s="4">
        <v>46010</v>
      </c>
      <c r="I335" t="s">
        <v>21</v>
      </c>
      <c r="J335">
        <v>4.75</v>
      </c>
      <c r="K335" s="3">
        <v>181.64</v>
      </c>
    </row>
    <row r="336" spans="1:11" x14ac:dyDescent="0.25">
      <c r="A336">
        <v>429552</v>
      </c>
      <c r="B336" t="s">
        <v>63</v>
      </c>
      <c r="C336" s="3">
        <v>15.89</v>
      </c>
      <c r="D336" s="3">
        <v>14.98</v>
      </c>
      <c r="E336" s="3">
        <v>0</v>
      </c>
      <c r="F336">
        <v>51</v>
      </c>
      <c r="G336" t="s">
        <v>15</v>
      </c>
      <c r="H336" s="4">
        <v>46011</v>
      </c>
      <c r="I336" t="s">
        <v>13</v>
      </c>
      <c r="J336">
        <v>3</v>
      </c>
      <c r="K336" s="3">
        <v>90.12</v>
      </c>
    </row>
    <row r="337" spans="1:11" x14ac:dyDescent="0.25">
      <c r="A337">
        <v>429552</v>
      </c>
      <c r="B337" t="s">
        <v>63</v>
      </c>
      <c r="C337" s="3">
        <v>15.89</v>
      </c>
      <c r="D337" s="3">
        <v>14.98</v>
      </c>
      <c r="E337" s="3">
        <v>0</v>
      </c>
      <c r="F337">
        <v>51</v>
      </c>
      <c r="G337" t="s">
        <v>15</v>
      </c>
      <c r="H337" s="4">
        <v>46011</v>
      </c>
      <c r="I337" t="s">
        <v>24</v>
      </c>
      <c r="J337">
        <v>0.5</v>
      </c>
      <c r="K337" s="3">
        <v>18.27</v>
      </c>
    </row>
    <row r="338" spans="1:11" x14ac:dyDescent="0.25">
      <c r="A338">
        <v>429728</v>
      </c>
      <c r="B338" t="s">
        <v>64</v>
      </c>
      <c r="C338" s="3">
        <v>15.89</v>
      </c>
      <c r="D338" s="3">
        <v>14.98</v>
      </c>
      <c r="E338" s="3">
        <v>0</v>
      </c>
      <c r="F338">
        <v>46</v>
      </c>
      <c r="G338" t="s">
        <v>15</v>
      </c>
      <c r="H338" s="4">
        <v>46006</v>
      </c>
      <c r="I338" t="s">
        <v>13</v>
      </c>
      <c r="J338">
        <v>1.75</v>
      </c>
      <c r="K338" s="3">
        <v>52.57</v>
      </c>
    </row>
    <row r="339" spans="1:11" x14ac:dyDescent="0.25">
      <c r="A339">
        <v>429728</v>
      </c>
      <c r="B339" t="s">
        <v>64</v>
      </c>
      <c r="C339" s="3">
        <v>15.89</v>
      </c>
      <c r="D339" s="3">
        <v>14.98</v>
      </c>
      <c r="E339" s="3">
        <v>0</v>
      </c>
      <c r="F339">
        <v>46</v>
      </c>
      <c r="G339" t="s">
        <v>15</v>
      </c>
      <c r="H339" s="4">
        <v>46006</v>
      </c>
      <c r="I339" t="s">
        <v>21</v>
      </c>
      <c r="J339">
        <v>5.25</v>
      </c>
      <c r="K339" s="3">
        <v>200.76</v>
      </c>
    </row>
    <row r="340" spans="1:11" x14ac:dyDescent="0.25">
      <c r="A340">
        <v>429728</v>
      </c>
      <c r="B340" t="s">
        <v>64</v>
      </c>
      <c r="C340" s="3">
        <v>15.89</v>
      </c>
      <c r="D340" s="3">
        <v>14.98</v>
      </c>
      <c r="E340" s="3">
        <v>0</v>
      </c>
      <c r="F340">
        <v>46</v>
      </c>
      <c r="G340" t="s">
        <v>15</v>
      </c>
      <c r="H340" s="4">
        <v>46006</v>
      </c>
      <c r="I340" t="s">
        <v>22</v>
      </c>
      <c r="J340">
        <v>0.5</v>
      </c>
      <c r="K340" s="3">
        <v>19.37</v>
      </c>
    </row>
    <row r="341" spans="1:11" x14ac:dyDescent="0.25">
      <c r="A341">
        <v>429728</v>
      </c>
      <c r="B341" t="s">
        <v>64</v>
      </c>
      <c r="C341" s="3">
        <v>15.89</v>
      </c>
      <c r="D341" s="3">
        <v>14.98</v>
      </c>
      <c r="E341" s="3">
        <v>0</v>
      </c>
      <c r="F341">
        <v>46</v>
      </c>
      <c r="G341" t="s">
        <v>15</v>
      </c>
      <c r="H341" s="4">
        <v>46007</v>
      </c>
      <c r="I341" t="s">
        <v>13</v>
      </c>
      <c r="J341">
        <v>2</v>
      </c>
      <c r="K341" s="3">
        <v>60.08</v>
      </c>
    </row>
    <row r="342" spans="1:11" x14ac:dyDescent="0.25">
      <c r="A342">
        <v>429728</v>
      </c>
      <c r="B342" t="s">
        <v>64</v>
      </c>
      <c r="C342" s="3">
        <v>15.89</v>
      </c>
      <c r="D342" s="3">
        <v>14.98</v>
      </c>
      <c r="E342" s="3">
        <v>0</v>
      </c>
      <c r="F342">
        <v>46</v>
      </c>
      <c r="G342" t="s">
        <v>15</v>
      </c>
      <c r="H342" s="4">
        <v>46007</v>
      </c>
      <c r="I342" t="s">
        <v>21</v>
      </c>
      <c r="J342">
        <v>4.5</v>
      </c>
      <c r="K342" s="3">
        <v>172.08</v>
      </c>
    </row>
    <row r="343" spans="1:11" x14ac:dyDescent="0.25">
      <c r="A343">
        <v>429728</v>
      </c>
      <c r="B343" t="s">
        <v>64</v>
      </c>
      <c r="C343" s="3">
        <v>15.89</v>
      </c>
      <c r="D343" s="3">
        <v>14.98</v>
      </c>
      <c r="E343" s="3">
        <v>0</v>
      </c>
      <c r="F343">
        <v>46</v>
      </c>
      <c r="G343" t="s">
        <v>15</v>
      </c>
      <c r="H343" s="4">
        <v>46008</v>
      </c>
      <c r="I343" t="s">
        <v>13</v>
      </c>
      <c r="J343">
        <v>1.75</v>
      </c>
      <c r="K343" s="3">
        <v>52.57</v>
      </c>
    </row>
    <row r="344" spans="1:11" x14ac:dyDescent="0.25">
      <c r="A344">
        <v>429728</v>
      </c>
      <c r="B344" t="s">
        <v>64</v>
      </c>
      <c r="C344" s="3">
        <v>15.89</v>
      </c>
      <c r="D344" s="3">
        <v>14.98</v>
      </c>
      <c r="E344" s="3">
        <v>0</v>
      </c>
      <c r="F344">
        <v>46</v>
      </c>
      <c r="G344" t="s">
        <v>15</v>
      </c>
      <c r="H344" s="4">
        <v>46008</v>
      </c>
      <c r="I344" t="s">
        <v>21</v>
      </c>
      <c r="J344">
        <v>5.25</v>
      </c>
      <c r="K344" s="3">
        <v>200.76</v>
      </c>
    </row>
    <row r="345" spans="1:11" x14ac:dyDescent="0.25">
      <c r="A345">
        <v>429728</v>
      </c>
      <c r="B345" t="s">
        <v>64</v>
      </c>
      <c r="C345" s="3">
        <v>15.89</v>
      </c>
      <c r="D345" s="3">
        <v>14.98</v>
      </c>
      <c r="E345" s="3">
        <v>0</v>
      </c>
      <c r="F345">
        <v>46</v>
      </c>
      <c r="G345" t="s">
        <v>15</v>
      </c>
      <c r="H345" s="4">
        <v>46008</v>
      </c>
      <c r="I345" t="s">
        <v>22</v>
      </c>
      <c r="J345">
        <v>1</v>
      </c>
      <c r="K345" s="3">
        <v>38.74</v>
      </c>
    </row>
    <row r="346" spans="1:11" x14ac:dyDescent="0.25">
      <c r="A346">
        <v>429728</v>
      </c>
      <c r="B346" t="s">
        <v>64</v>
      </c>
      <c r="C346" s="3">
        <v>15.89</v>
      </c>
      <c r="D346" s="3">
        <v>14.98</v>
      </c>
      <c r="E346" s="3">
        <v>0</v>
      </c>
      <c r="F346">
        <v>46</v>
      </c>
      <c r="G346" t="s">
        <v>15</v>
      </c>
      <c r="H346" s="4">
        <v>46009</v>
      </c>
      <c r="I346" t="s">
        <v>13</v>
      </c>
      <c r="J346">
        <v>1.75</v>
      </c>
      <c r="K346" s="3">
        <v>52.57</v>
      </c>
    </row>
    <row r="347" spans="1:11" x14ac:dyDescent="0.25">
      <c r="A347">
        <v>429728</v>
      </c>
      <c r="B347" t="s">
        <v>64</v>
      </c>
      <c r="C347" s="3">
        <v>15.89</v>
      </c>
      <c r="D347" s="3">
        <v>14.98</v>
      </c>
      <c r="E347" s="3">
        <v>0</v>
      </c>
      <c r="F347">
        <v>46</v>
      </c>
      <c r="G347" t="s">
        <v>15</v>
      </c>
      <c r="H347" s="4">
        <v>46009</v>
      </c>
      <c r="I347" t="s">
        <v>21</v>
      </c>
      <c r="J347">
        <v>5.25</v>
      </c>
      <c r="K347" s="3">
        <v>200.76</v>
      </c>
    </row>
    <row r="348" spans="1:11" x14ac:dyDescent="0.25">
      <c r="A348">
        <v>429728</v>
      </c>
      <c r="B348" t="s">
        <v>64</v>
      </c>
      <c r="C348" s="3">
        <v>15.89</v>
      </c>
      <c r="D348" s="3">
        <v>14.98</v>
      </c>
      <c r="E348" s="3">
        <v>0</v>
      </c>
      <c r="F348">
        <v>46</v>
      </c>
      <c r="G348" t="s">
        <v>15</v>
      </c>
      <c r="H348" s="4">
        <v>46009</v>
      </c>
      <c r="I348" t="s">
        <v>22</v>
      </c>
      <c r="J348">
        <v>1.25</v>
      </c>
      <c r="K348" s="3">
        <v>48.43</v>
      </c>
    </row>
    <row r="349" spans="1:11" x14ac:dyDescent="0.25">
      <c r="A349">
        <v>429728</v>
      </c>
      <c r="B349" t="s">
        <v>64</v>
      </c>
      <c r="C349" s="3">
        <v>15.89</v>
      </c>
      <c r="D349" s="3">
        <v>14.98</v>
      </c>
      <c r="E349" s="3">
        <v>0</v>
      </c>
      <c r="F349">
        <v>46</v>
      </c>
      <c r="G349" t="s">
        <v>15</v>
      </c>
      <c r="H349" s="4">
        <v>46010</v>
      </c>
      <c r="I349" t="s">
        <v>13</v>
      </c>
      <c r="J349">
        <v>1.75</v>
      </c>
      <c r="K349" s="3">
        <v>52.57</v>
      </c>
    </row>
    <row r="350" spans="1:11" x14ac:dyDescent="0.25">
      <c r="A350">
        <v>429728</v>
      </c>
      <c r="B350" t="s">
        <v>64</v>
      </c>
      <c r="C350" s="3">
        <v>15.89</v>
      </c>
      <c r="D350" s="3">
        <v>14.98</v>
      </c>
      <c r="E350" s="3">
        <v>0</v>
      </c>
      <c r="F350">
        <v>46</v>
      </c>
      <c r="G350" t="s">
        <v>15</v>
      </c>
      <c r="H350" s="4">
        <v>46010</v>
      </c>
      <c r="I350" t="s">
        <v>21</v>
      </c>
      <c r="J350">
        <v>5</v>
      </c>
      <c r="K350" s="3">
        <v>191.2</v>
      </c>
    </row>
    <row r="351" spans="1:11" x14ac:dyDescent="0.25">
      <c r="A351">
        <v>429969</v>
      </c>
      <c r="B351" t="s">
        <v>65</v>
      </c>
      <c r="C351" s="3">
        <v>15.89</v>
      </c>
      <c r="D351" s="3">
        <v>14.98</v>
      </c>
      <c r="E351" s="3">
        <v>0</v>
      </c>
      <c r="F351">
        <v>24</v>
      </c>
      <c r="G351" t="s">
        <v>15</v>
      </c>
      <c r="H351" s="4">
        <v>46006</v>
      </c>
      <c r="I351" t="s">
        <v>13</v>
      </c>
      <c r="J351">
        <v>8</v>
      </c>
      <c r="K351" s="3">
        <v>240.32</v>
      </c>
    </row>
    <row r="352" spans="1:11" x14ac:dyDescent="0.25">
      <c r="A352">
        <v>429969</v>
      </c>
      <c r="B352" t="s">
        <v>65</v>
      </c>
      <c r="C352" s="3">
        <v>15.89</v>
      </c>
      <c r="D352" s="3">
        <v>14.98</v>
      </c>
      <c r="E352" s="3">
        <v>0</v>
      </c>
      <c r="F352">
        <v>24</v>
      </c>
      <c r="G352" t="s">
        <v>15</v>
      </c>
      <c r="H352" s="4">
        <v>46007</v>
      </c>
      <c r="I352" t="s">
        <v>13</v>
      </c>
      <c r="J352">
        <v>8</v>
      </c>
      <c r="K352" s="3">
        <v>240.32</v>
      </c>
    </row>
    <row r="353" spans="1:11" x14ac:dyDescent="0.25">
      <c r="A353">
        <v>429969</v>
      </c>
      <c r="B353" t="s">
        <v>65</v>
      </c>
      <c r="C353" s="3">
        <v>15.89</v>
      </c>
      <c r="D353" s="3">
        <v>14.98</v>
      </c>
      <c r="E353" s="3">
        <v>0</v>
      </c>
      <c r="F353">
        <v>24</v>
      </c>
      <c r="G353" t="s">
        <v>15</v>
      </c>
      <c r="H353" s="4">
        <v>46009</v>
      </c>
      <c r="I353" t="s">
        <v>13</v>
      </c>
      <c r="J353">
        <v>8</v>
      </c>
      <c r="K353" s="3">
        <v>240.32</v>
      </c>
    </row>
    <row r="354" spans="1:11" x14ac:dyDescent="0.25">
      <c r="A354">
        <v>429969</v>
      </c>
      <c r="B354" t="s">
        <v>65</v>
      </c>
      <c r="C354" s="3">
        <v>15.89</v>
      </c>
      <c r="D354" s="3">
        <v>14.98</v>
      </c>
      <c r="E354" s="3">
        <v>0</v>
      </c>
      <c r="F354">
        <v>24</v>
      </c>
      <c r="G354" t="s">
        <v>15</v>
      </c>
      <c r="H354" s="4">
        <v>46010</v>
      </c>
      <c r="I354" t="s">
        <v>13</v>
      </c>
      <c r="J354">
        <v>8</v>
      </c>
      <c r="K354" s="3">
        <v>240.32</v>
      </c>
    </row>
    <row r="355" spans="1:11" x14ac:dyDescent="0.25">
      <c r="A355">
        <v>434591</v>
      </c>
      <c r="B355" t="s">
        <v>66</v>
      </c>
      <c r="C355" s="3">
        <v>15.89</v>
      </c>
      <c r="D355" s="3">
        <v>14.98</v>
      </c>
      <c r="E355" s="3">
        <v>0</v>
      </c>
      <c r="F355">
        <v>48</v>
      </c>
      <c r="G355" t="s">
        <v>15</v>
      </c>
      <c r="H355" s="4">
        <v>46006</v>
      </c>
      <c r="I355" t="s">
        <v>13</v>
      </c>
      <c r="J355">
        <v>2.25</v>
      </c>
      <c r="K355" s="3">
        <v>67.59</v>
      </c>
    </row>
    <row r="356" spans="1:11" x14ac:dyDescent="0.25">
      <c r="A356">
        <v>434591</v>
      </c>
      <c r="B356" t="s">
        <v>66</v>
      </c>
      <c r="C356" s="3">
        <v>15.89</v>
      </c>
      <c r="D356" s="3">
        <v>14.98</v>
      </c>
      <c r="E356" s="3">
        <v>0</v>
      </c>
      <c r="F356">
        <v>48</v>
      </c>
      <c r="G356" t="s">
        <v>15</v>
      </c>
      <c r="H356" s="4">
        <v>46006</v>
      </c>
      <c r="I356" t="s">
        <v>21</v>
      </c>
      <c r="J356">
        <v>4.5</v>
      </c>
      <c r="K356" s="3">
        <v>172.08</v>
      </c>
    </row>
    <row r="357" spans="1:11" x14ac:dyDescent="0.25">
      <c r="A357">
        <v>434591</v>
      </c>
      <c r="B357" t="s">
        <v>66</v>
      </c>
      <c r="C357" s="3">
        <v>15.89</v>
      </c>
      <c r="D357" s="3">
        <v>14.98</v>
      </c>
      <c r="E357" s="3">
        <v>0</v>
      </c>
      <c r="F357">
        <v>48</v>
      </c>
      <c r="G357" t="s">
        <v>15</v>
      </c>
      <c r="H357" s="4">
        <v>46007</v>
      </c>
      <c r="I357" t="s">
        <v>13</v>
      </c>
      <c r="J357">
        <v>2.25</v>
      </c>
      <c r="K357" s="3">
        <v>67.59</v>
      </c>
    </row>
    <row r="358" spans="1:11" x14ac:dyDescent="0.25">
      <c r="A358">
        <v>434591</v>
      </c>
      <c r="B358" t="s">
        <v>66</v>
      </c>
      <c r="C358" s="3">
        <v>15.89</v>
      </c>
      <c r="D358" s="3">
        <v>14.98</v>
      </c>
      <c r="E358" s="3">
        <v>0</v>
      </c>
      <c r="F358">
        <v>48</v>
      </c>
      <c r="G358" t="s">
        <v>15</v>
      </c>
      <c r="H358" s="4">
        <v>46007</v>
      </c>
      <c r="I358" t="s">
        <v>21</v>
      </c>
      <c r="J358">
        <v>4.75</v>
      </c>
      <c r="K358" s="3">
        <v>181.64</v>
      </c>
    </row>
    <row r="359" spans="1:11" x14ac:dyDescent="0.25">
      <c r="A359">
        <v>434591</v>
      </c>
      <c r="B359" t="s">
        <v>66</v>
      </c>
      <c r="C359" s="3">
        <v>15.89</v>
      </c>
      <c r="D359" s="3">
        <v>14.98</v>
      </c>
      <c r="E359" s="3">
        <v>0</v>
      </c>
      <c r="F359">
        <v>48</v>
      </c>
      <c r="G359" t="s">
        <v>15</v>
      </c>
      <c r="H359" s="4">
        <v>46008</v>
      </c>
      <c r="I359" t="s">
        <v>13</v>
      </c>
      <c r="J359">
        <v>2.25</v>
      </c>
      <c r="K359" s="3">
        <v>67.59</v>
      </c>
    </row>
    <row r="360" spans="1:11" x14ac:dyDescent="0.25">
      <c r="A360">
        <v>434591</v>
      </c>
      <c r="B360" t="s">
        <v>66</v>
      </c>
      <c r="C360" s="3">
        <v>15.89</v>
      </c>
      <c r="D360" s="3">
        <v>14.98</v>
      </c>
      <c r="E360" s="3">
        <v>0</v>
      </c>
      <c r="F360">
        <v>48</v>
      </c>
      <c r="G360" t="s">
        <v>15</v>
      </c>
      <c r="H360" s="4">
        <v>46008</v>
      </c>
      <c r="I360" t="s">
        <v>21</v>
      </c>
      <c r="J360">
        <v>5</v>
      </c>
      <c r="K360" s="3">
        <v>191.2</v>
      </c>
    </row>
    <row r="361" spans="1:11" x14ac:dyDescent="0.25">
      <c r="A361">
        <v>434591</v>
      </c>
      <c r="B361" t="s">
        <v>66</v>
      </c>
      <c r="C361" s="3">
        <v>15.89</v>
      </c>
      <c r="D361" s="3">
        <v>14.98</v>
      </c>
      <c r="E361" s="3">
        <v>0</v>
      </c>
      <c r="F361">
        <v>48</v>
      </c>
      <c r="G361" t="s">
        <v>15</v>
      </c>
      <c r="H361" s="4">
        <v>46009</v>
      </c>
      <c r="I361" t="s">
        <v>13</v>
      </c>
      <c r="J361">
        <v>2.25</v>
      </c>
      <c r="K361" s="3">
        <v>67.59</v>
      </c>
    </row>
    <row r="362" spans="1:11" x14ac:dyDescent="0.25">
      <c r="A362">
        <v>434591</v>
      </c>
      <c r="B362" t="s">
        <v>66</v>
      </c>
      <c r="C362" s="3">
        <v>15.89</v>
      </c>
      <c r="D362" s="3">
        <v>14.98</v>
      </c>
      <c r="E362" s="3">
        <v>0</v>
      </c>
      <c r="F362">
        <v>48</v>
      </c>
      <c r="G362" t="s">
        <v>15</v>
      </c>
      <c r="H362" s="4">
        <v>46009</v>
      </c>
      <c r="I362" t="s">
        <v>21</v>
      </c>
      <c r="J362">
        <v>5</v>
      </c>
      <c r="K362" s="3">
        <v>191.2</v>
      </c>
    </row>
    <row r="363" spans="1:11" x14ac:dyDescent="0.25">
      <c r="A363">
        <v>434591</v>
      </c>
      <c r="B363" t="s">
        <v>66</v>
      </c>
      <c r="C363" s="3">
        <v>15.89</v>
      </c>
      <c r="D363" s="3">
        <v>14.98</v>
      </c>
      <c r="E363" s="3">
        <v>0</v>
      </c>
      <c r="F363">
        <v>48</v>
      </c>
      <c r="G363" t="s">
        <v>15</v>
      </c>
      <c r="H363" s="4">
        <v>46010</v>
      </c>
      <c r="I363" t="s">
        <v>13</v>
      </c>
      <c r="J363">
        <v>2.25</v>
      </c>
      <c r="K363" s="3">
        <v>67.59</v>
      </c>
    </row>
    <row r="364" spans="1:11" x14ac:dyDescent="0.25">
      <c r="A364">
        <v>434591</v>
      </c>
      <c r="B364" t="s">
        <v>66</v>
      </c>
      <c r="C364" s="3">
        <v>15.89</v>
      </c>
      <c r="D364" s="3">
        <v>14.98</v>
      </c>
      <c r="E364" s="3">
        <v>0</v>
      </c>
      <c r="F364">
        <v>48</v>
      </c>
      <c r="G364" t="s">
        <v>15</v>
      </c>
      <c r="H364" s="4">
        <v>46010</v>
      </c>
      <c r="I364" t="s">
        <v>21</v>
      </c>
      <c r="J364">
        <v>3.75</v>
      </c>
      <c r="K364" s="3">
        <v>143.4</v>
      </c>
    </row>
    <row r="365" spans="1:11" x14ac:dyDescent="0.25">
      <c r="A365">
        <v>436824</v>
      </c>
      <c r="B365" t="s">
        <v>67</v>
      </c>
      <c r="C365" s="3">
        <v>16.91</v>
      </c>
      <c r="D365" s="3">
        <v>15.94</v>
      </c>
      <c r="E365" s="3">
        <v>0</v>
      </c>
      <c r="F365">
        <v>12</v>
      </c>
      <c r="G365" t="s">
        <v>15</v>
      </c>
      <c r="H365" s="4">
        <v>46006</v>
      </c>
      <c r="I365" t="s">
        <v>13</v>
      </c>
      <c r="J365">
        <v>4</v>
      </c>
      <c r="K365" s="3">
        <v>127.12</v>
      </c>
    </row>
    <row r="366" spans="1:11" x14ac:dyDescent="0.25">
      <c r="A366">
        <v>436824</v>
      </c>
      <c r="B366" t="s">
        <v>67</v>
      </c>
      <c r="C366" s="3">
        <v>16.91</v>
      </c>
      <c r="D366" s="3">
        <v>15.94</v>
      </c>
      <c r="E366" s="3">
        <v>0</v>
      </c>
      <c r="F366">
        <v>12</v>
      </c>
      <c r="G366" t="s">
        <v>15</v>
      </c>
      <c r="H366" s="4">
        <v>46006</v>
      </c>
      <c r="I366" t="s">
        <v>21</v>
      </c>
      <c r="J366">
        <v>4</v>
      </c>
      <c r="K366" s="3">
        <v>162.04</v>
      </c>
    </row>
    <row r="367" spans="1:11" x14ac:dyDescent="0.25">
      <c r="A367">
        <v>436824</v>
      </c>
      <c r="B367" t="s">
        <v>67</v>
      </c>
      <c r="C367" s="3">
        <v>16.91</v>
      </c>
      <c r="D367" s="3">
        <v>15.94</v>
      </c>
      <c r="E367" s="3">
        <v>0</v>
      </c>
      <c r="F367">
        <v>12</v>
      </c>
      <c r="G367" t="s">
        <v>15</v>
      </c>
      <c r="H367" s="4">
        <v>46007</v>
      </c>
      <c r="I367" t="s">
        <v>13</v>
      </c>
      <c r="J367">
        <v>3.75</v>
      </c>
      <c r="K367" s="3">
        <v>119.18</v>
      </c>
    </row>
    <row r="368" spans="1:11" x14ac:dyDescent="0.25">
      <c r="A368">
        <v>436824</v>
      </c>
      <c r="B368" t="s">
        <v>67</v>
      </c>
      <c r="C368" s="3">
        <v>16.91</v>
      </c>
      <c r="D368" s="3">
        <v>15.94</v>
      </c>
      <c r="E368" s="3">
        <v>0</v>
      </c>
      <c r="F368">
        <v>12</v>
      </c>
      <c r="G368" t="s">
        <v>15</v>
      </c>
      <c r="H368" s="4">
        <v>46007</v>
      </c>
      <c r="I368" t="s">
        <v>21</v>
      </c>
      <c r="J368">
        <v>3.75</v>
      </c>
      <c r="K368" s="3">
        <v>151.91</v>
      </c>
    </row>
    <row r="369" spans="1:11" x14ac:dyDescent="0.25">
      <c r="A369">
        <v>436824</v>
      </c>
      <c r="B369" t="s">
        <v>67</v>
      </c>
      <c r="C369" s="3">
        <v>16.91</v>
      </c>
      <c r="D369" s="3">
        <v>15.94</v>
      </c>
      <c r="E369" s="3">
        <v>0</v>
      </c>
      <c r="F369">
        <v>12</v>
      </c>
      <c r="G369" t="s">
        <v>15</v>
      </c>
      <c r="H369" s="4">
        <v>46008</v>
      </c>
      <c r="I369" t="s">
        <v>13</v>
      </c>
      <c r="J369">
        <v>3.75</v>
      </c>
      <c r="K369" s="3">
        <v>119.18</v>
      </c>
    </row>
    <row r="370" spans="1:11" x14ac:dyDescent="0.25">
      <c r="A370">
        <v>436824</v>
      </c>
      <c r="B370" t="s">
        <v>67</v>
      </c>
      <c r="C370" s="3">
        <v>16.91</v>
      </c>
      <c r="D370" s="3">
        <v>15.94</v>
      </c>
      <c r="E370" s="3">
        <v>0</v>
      </c>
      <c r="F370">
        <v>12</v>
      </c>
      <c r="G370" t="s">
        <v>15</v>
      </c>
      <c r="H370" s="4">
        <v>46008</v>
      </c>
      <c r="I370" t="s">
        <v>21</v>
      </c>
      <c r="J370">
        <v>4.25</v>
      </c>
      <c r="K370" s="3">
        <v>172.17</v>
      </c>
    </row>
    <row r="371" spans="1:11" x14ac:dyDescent="0.25">
      <c r="A371">
        <v>436824</v>
      </c>
      <c r="B371" t="s">
        <v>67</v>
      </c>
      <c r="C371" s="3">
        <v>16.91</v>
      </c>
      <c r="D371" s="3">
        <v>15.94</v>
      </c>
      <c r="E371" s="3">
        <v>0</v>
      </c>
      <c r="F371">
        <v>12</v>
      </c>
      <c r="G371" t="s">
        <v>15</v>
      </c>
      <c r="H371" s="4">
        <v>46009</v>
      </c>
      <c r="I371" t="s">
        <v>13</v>
      </c>
      <c r="J371">
        <v>3.75</v>
      </c>
      <c r="K371" s="3">
        <v>119.18</v>
      </c>
    </row>
    <row r="372" spans="1:11" x14ac:dyDescent="0.25">
      <c r="A372">
        <v>436824</v>
      </c>
      <c r="B372" t="s">
        <v>67</v>
      </c>
      <c r="C372" s="3">
        <v>16.91</v>
      </c>
      <c r="D372" s="3">
        <v>15.94</v>
      </c>
      <c r="E372" s="3">
        <v>0</v>
      </c>
      <c r="F372">
        <v>12</v>
      </c>
      <c r="G372" t="s">
        <v>15</v>
      </c>
      <c r="H372" s="4">
        <v>46009</v>
      </c>
      <c r="I372" t="s">
        <v>21</v>
      </c>
      <c r="J372">
        <v>4</v>
      </c>
      <c r="K372" s="3">
        <v>162.04</v>
      </c>
    </row>
    <row r="373" spans="1:11" x14ac:dyDescent="0.25">
      <c r="A373">
        <v>436824</v>
      </c>
      <c r="B373" t="s">
        <v>67</v>
      </c>
      <c r="C373" s="3">
        <v>16.91</v>
      </c>
      <c r="D373" s="3">
        <v>15.94</v>
      </c>
      <c r="E373" s="3">
        <v>0</v>
      </c>
      <c r="F373">
        <v>12</v>
      </c>
      <c r="G373" t="s">
        <v>15</v>
      </c>
      <c r="H373" s="4">
        <v>46010</v>
      </c>
      <c r="I373" t="s">
        <v>13</v>
      </c>
      <c r="J373">
        <v>3.75</v>
      </c>
      <c r="K373" s="3">
        <v>119.18</v>
      </c>
    </row>
    <row r="374" spans="1:11" x14ac:dyDescent="0.25">
      <c r="A374">
        <v>436824</v>
      </c>
      <c r="B374" t="s">
        <v>67</v>
      </c>
      <c r="C374" s="3">
        <v>16.91</v>
      </c>
      <c r="D374" s="3">
        <v>15.94</v>
      </c>
      <c r="E374" s="3">
        <v>0</v>
      </c>
      <c r="F374">
        <v>12</v>
      </c>
      <c r="G374" t="s">
        <v>15</v>
      </c>
      <c r="H374" s="4">
        <v>46010</v>
      </c>
      <c r="I374" t="s">
        <v>21</v>
      </c>
      <c r="J374">
        <v>3</v>
      </c>
      <c r="K374" s="3">
        <v>121.53</v>
      </c>
    </row>
    <row r="375" spans="1:11" x14ac:dyDescent="0.25">
      <c r="A375">
        <v>437474</v>
      </c>
      <c r="B375" t="s">
        <v>68</v>
      </c>
      <c r="C375" s="3">
        <v>15.89</v>
      </c>
      <c r="D375" s="3">
        <v>14.98</v>
      </c>
      <c r="E375" s="3">
        <v>0</v>
      </c>
      <c r="F375">
        <v>38</v>
      </c>
      <c r="G375" t="s">
        <v>15</v>
      </c>
      <c r="H375" s="4">
        <v>46006</v>
      </c>
      <c r="I375" t="s">
        <v>13</v>
      </c>
      <c r="J375">
        <v>8</v>
      </c>
      <c r="K375" s="3">
        <v>240.32</v>
      </c>
    </row>
    <row r="376" spans="1:11" x14ac:dyDescent="0.25">
      <c r="A376">
        <v>437474</v>
      </c>
      <c r="B376" t="s">
        <v>68</v>
      </c>
      <c r="C376" s="3">
        <v>15.89</v>
      </c>
      <c r="D376" s="3">
        <v>14.98</v>
      </c>
      <c r="E376" s="3">
        <v>0</v>
      </c>
      <c r="F376">
        <v>38</v>
      </c>
      <c r="G376" t="s">
        <v>15</v>
      </c>
      <c r="H376" s="4">
        <v>46007</v>
      </c>
      <c r="I376" t="s">
        <v>13</v>
      </c>
      <c r="J376">
        <v>5</v>
      </c>
      <c r="K376" s="3">
        <v>150.19999999999999</v>
      </c>
    </row>
    <row r="377" spans="1:11" x14ac:dyDescent="0.25">
      <c r="A377">
        <v>437474</v>
      </c>
      <c r="B377" t="s">
        <v>68</v>
      </c>
      <c r="C377" s="3">
        <v>15.89</v>
      </c>
      <c r="D377" s="3">
        <v>14.98</v>
      </c>
      <c r="E377" s="3">
        <v>0</v>
      </c>
      <c r="F377">
        <v>38</v>
      </c>
      <c r="G377" t="s">
        <v>15</v>
      </c>
      <c r="H377" s="4">
        <v>46008</v>
      </c>
      <c r="I377" t="s">
        <v>13</v>
      </c>
      <c r="J377">
        <v>8.25</v>
      </c>
      <c r="K377" s="3">
        <v>247.83</v>
      </c>
    </row>
    <row r="378" spans="1:11" x14ac:dyDescent="0.25">
      <c r="A378">
        <v>437474</v>
      </c>
      <c r="B378" t="s">
        <v>68</v>
      </c>
      <c r="C378" s="3">
        <v>15.89</v>
      </c>
      <c r="D378" s="3">
        <v>14.98</v>
      </c>
      <c r="E378" s="3">
        <v>0</v>
      </c>
      <c r="F378">
        <v>38</v>
      </c>
      <c r="G378" t="s">
        <v>15</v>
      </c>
      <c r="H378" s="4">
        <v>46009</v>
      </c>
      <c r="I378" t="s">
        <v>13</v>
      </c>
      <c r="J378">
        <v>8</v>
      </c>
      <c r="K378" s="3">
        <v>240.32</v>
      </c>
    </row>
    <row r="379" spans="1:11" x14ac:dyDescent="0.25">
      <c r="A379">
        <v>437474</v>
      </c>
      <c r="B379" t="s">
        <v>68</v>
      </c>
      <c r="C379" s="3">
        <v>15.89</v>
      </c>
      <c r="D379" s="3">
        <v>14.98</v>
      </c>
      <c r="E379" s="3">
        <v>0</v>
      </c>
      <c r="F379">
        <v>38</v>
      </c>
      <c r="G379" t="s">
        <v>15</v>
      </c>
      <c r="H379" s="4">
        <v>46010</v>
      </c>
      <c r="I379" t="s">
        <v>13</v>
      </c>
      <c r="J379">
        <v>8</v>
      </c>
      <c r="K379" s="3">
        <v>240.32</v>
      </c>
    </row>
    <row r="380" spans="1:11" x14ac:dyDescent="0.25">
      <c r="A380">
        <v>437613</v>
      </c>
      <c r="B380" t="s">
        <v>69</v>
      </c>
      <c r="C380" s="3">
        <v>19.14</v>
      </c>
      <c r="D380" s="3">
        <v>18.04</v>
      </c>
      <c r="E380" s="3">
        <v>0</v>
      </c>
      <c r="F380">
        <v>247</v>
      </c>
      <c r="G380" t="s">
        <v>12</v>
      </c>
      <c r="H380" s="4">
        <v>46006</v>
      </c>
      <c r="I380" t="s">
        <v>13</v>
      </c>
      <c r="J380">
        <v>1.75</v>
      </c>
      <c r="K380" s="3">
        <v>60.5</v>
      </c>
    </row>
    <row r="381" spans="1:11" x14ac:dyDescent="0.25">
      <c r="A381">
        <v>438201</v>
      </c>
      <c r="B381" t="s">
        <v>70</v>
      </c>
      <c r="C381" s="3">
        <v>16.91</v>
      </c>
      <c r="D381" s="3">
        <v>15.94</v>
      </c>
      <c r="E381" s="3">
        <v>0</v>
      </c>
      <c r="F381">
        <v>40</v>
      </c>
      <c r="G381" t="s">
        <v>15</v>
      </c>
      <c r="H381" s="4">
        <v>46006</v>
      </c>
      <c r="I381" t="s">
        <v>13</v>
      </c>
      <c r="J381">
        <v>3.75</v>
      </c>
      <c r="K381" s="3">
        <v>119.18</v>
      </c>
    </row>
    <row r="382" spans="1:11" x14ac:dyDescent="0.25">
      <c r="A382">
        <v>438201</v>
      </c>
      <c r="B382" t="s">
        <v>70</v>
      </c>
      <c r="C382" s="3">
        <v>16.91</v>
      </c>
      <c r="D382" s="3">
        <v>15.94</v>
      </c>
      <c r="E382" s="3">
        <v>0</v>
      </c>
      <c r="F382">
        <v>40</v>
      </c>
      <c r="G382" t="s">
        <v>15</v>
      </c>
      <c r="H382" s="4">
        <v>46006</v>
      </c>
      <c r="I382" t="s">
        <v>21</v>
      </c>
      <c r="J382">
        <v>4.25</v>
      </c>
      <c r="K382" s="3">
        <v>172.17</v>
      </c>
    </row>
    <row r="383" spans="1:11" x14ac:dyDescent="0.25">
      <c r="A383">
        <v>438201</v>
      </c>
      <c r="B383" t="s">
        <v>70</v>
      </c>
      <c r="C383" s="3">
        <v>16.91</v>
      </c>
      <c r="D383" s="3">
        <v>15.94</v>
      </c>
      <c r="E383" s="3">
        <v>0</v>
      </c>
      <c r="F383">
        <v>40</v>
      </c>
      <c r="G383" t="s">
        <v>15</v>
      </c>
      <c r="H383" s="4">
        <v>46007</v>
      </c>
      <c r="I383" t="s">
        <v>13</v>
      </c>
      <c r="J383">
        <v>3</v>
      </c>
      <c r="K383" s="3">
        <v>95.34</v>
      </c>
    </row>
    <row r="384" spans="1:11" x14ac:dyDescent="0.25">
      <c r="A384">
        <v>438201</v>
      </c>
      <c r="B384" t="s">
        <v>70</v>
      </c>
      <c r="C384" s="3">
        <v>16.91</v>
      </c>
      <c r="D384" s="3">
        <v>15.94</v>
      </c>
      <c r="E384" s="3">
        <v>0</v>
      </c>
      <c r="F384">
        <v>40</v>
      </c>
      <c r="G384" t="s">
        <v>15</v>
      </c>
      <c r="H384" s="4">
        <v>46007</v>
      </c>
      <c r="I384" t="s">
        <v>21</v>
      </c>
      <c r="J384">
        <v>5</v>
      </c>
      <c r="K384" s="3">
        <v>202.55</v>
      </c>
    </row>
    <row r="385" spans="1:11" x14ac:dyDescent="0.25">
      <c r="A385">
        <v>438201</v>
      </c>
      <c r="B385" t="s">
        <v>70</v>
      </c>
      <c r="C385" s="3">
        <v>16.91</v>
      </c>
      <c r="D385" s="3">
        <v>15.94</v>
      </c>
      <c r="E385" s="3">
        <v>0</v>
      </c>
      <c r="F385">
        <v>40</v>
      </c>
      <c r="G385" t="s">
        <v>15</v>
      </c>
      <c r="H385" s="4">
        <v>46007</v>
      </c>
      <c r="I385" t="s">
        <v>22</v>
      </c>
      <c r="J385">
        <v>0.5</v>
      </c>
      <c r="K385" s="3">
        <v>20.52</v>
      </c>
    </row>
    <row r="386" spans="1:11" x14ac:dyDescent="0.25">
      <c r="A386">
        <v>438201</v>
      </c>
      <c r="B386" t="s">
        <v>70</v>
      </c>
      <c r="C386" s="3">
        <v>16.91</v>
      </c>
      <c r="D386" s="3">
        <v>15.94</v>
      </c>
      <c r="E386" s="3">
        <v>0</v>
      </c>
      <c r="F386">
        <v>40</v>
      </c>
      <c r="G386" t="s">
        <v>15</v>
      </c>
      <c r="H386" s="4">
        <v>46008</v>
      </c>
      <c r="I386" t="s">
        <v>13</v>
      </c>
      <c r="J386">
        <v>2.5</v>
      </c>
      <c r="K386" s="3">
        <v>79.45</v>
      </c>
    </row>
    <row r="387" spans="1:11" x14ac:dyDescent="0.25">
      <c r="A387">
        <v>438201</v>
      </c>
      <c r="B387" t="s">
        <v>70</v>
      </c>
      <c r="C387" s="3">
        <v>16.91</v>
      </c>
      <c r="D387" s="3">
        <v>15.94</v>
      </c>
      <c r="E387" s="3">
        <v>0</v>
      </c>
      <c r="F387">
        <v>40</v>
      </c>
      <c r="G387" t="s">
        <v>15</v>
      </c>
      <c r="H387" s="4">
        <v>46008</v>
      </c>
      <c r="I387" t="s">
        <v>21</v>
      </c>
      <c r="J387">
        <v>5</v>
      </c>
      <c r="K387" s="3">
        <v>202.55</v>
      </c>
    </row>
    <row r="388" spans="1:11" x14ac:dyDescent="0.25">
      <c r="A388">
        <v>438201</v>
      </c>
      <c r="B388" t="s">
        <v>70</v>
      </c>
      <c r="C388" s="3">
        <v>16.91</v>
      </c>
      <c r="D388" s="3">
        <v>15.94</v>
      </c>
      <c r="E388" s="3">
        <v>0</v>
      </c>
      <c r="F388">
        <v>40</v>
      </c>
      <c r="G388" t="s">
        <v>15</v>
      </c>
      <c r="H388" s="4">
        <v>46008</v>
      </c>
      <c r="I388" t="s">
        <v>22</v>
      </c>
      <c r="J388">
        <v>1.25</v>
      </c>
      <c r="K388" s="3">
        <v>51.3</v>
      </c>
    </row>
    <row r="389" spans="1:11" x14ac:dyDescent="0.25">
      <c r="A389">
        <v>438201</v>
      </c>
      <c r="B389" t="s">
        <v>70</v>
      </c>
      <c r="C389" s="3">
        <v>16.91</v>
      </c>
      <c r="D389" s="3">
        <v>15.94</v>
      </c>
      <c r="E389" s="3">
        <v>0</v>
      </c>
      <c r="F389">
        <v>40</v>
      </c>
      <c r="G389" t="s">
        <v>15</v>
      </c>
      <c r="H389" s="4">
        <v>46008</v>
      </c>
      <c r="I389" t="s">
        <v>23</v>
      </c>
      <c r="J389">
        <v>0.5</v>
      </c>
      <c r="K389" s="3">
        <v>15.12</v>
      </c>
    </row>
    <row r="390" spans="1:11" x14ac:dyDescent="0.25">
      <c r="A390">
        <v>438201</v>
      </c>
      <c r="B390" t="s">
        <v>70</v>
      </c>
      <c r="C390" s="3">
        <v>16.91</v>
      </c>
      <c r="D390" s="3">
        <v>15.94</v>
      </c>
      <c r="E390" s="3">
        <v>0</v>
      </c>
      <c r="F390">
        <v>40</v>
      </c>
      <c r="G390" t="s">
        <v>15</v>
      </c>
      <c r="H390" s="4">
        <v>46009</v>
      </c>
      <c r="I390" t="s">
        <v>13</v>
      </c>
      <c r="J390">
        <v>3</v>
      </c>
      <c r="K390" s="3">
        <v>95.34</v>
      </c>
    </row>
    <row r="391" spans="1:11" x14ac:dyDescent="0.25">
      <c r="A391">
        <v>438201</v>
      </c>
      <c r="B391" t="s">
        <v>70</v>
      </c>
      <c r="C391" s="3">
        <v>16.91</v>
      </c>
      <c r="D391" s="3">
        <v>15.94</v>
      </c>
      <c r="E391" s="3">
        <v>0</v>
      </c>
      <c r="F391">
        <v>40</v>
      </c>
      <c r="G391" t="s">
        <v>15</v>
      </c>
      <c r="H391" s="4">
        <v>46009</v>
      </c>
      <c r="I391" t="s">
        <v>21</v>
      </c>
      <c r="J391">
        <v>5</v>
      </c>
      <c r="K391" s="3">
        <v>202.55</v>
      </c>
    </row>
    <row r="392" spans="1:11" x14ac:dyDescent="0.25">
      <c r="A392">
        <v>438201</v>
      </c>
      <c r="B392" t="s">
        <v>70</v>
      </c>
      <c r="C392" s="3">
        <v>16.91</v>
      </c>
      <c r="D392" s="3">
        <v>15.94</v>
      </c>
      <c r="E392" s="3">
        <v>0</v>
      </c>
      <c r="F392">
        <v>40</v>
      </c>
      <c r="G392" t="s">
        <v>15</v>
      </c>
      <c r="H392" s="4">
        <v>46009</v>
      </c>
      <c r="I392" t="s">
        <v>22</v>
      </c>
      <c r="J392">
        <v>1</v>
      </c>
      <c r="K392" s="3">
        <v>41.04</v>
      </c>
    </row>
    <row r="393" spans="1:11" x14ac:dyDescent="0.25">
      <c r="A393">
        <v>438201</v>
      </c>
      <c r="B393" t="s">
        <v>70</v>
      </c>
      <c r="C393" s="3">
        <v>16.91</v>
      </c>
      <c r="D393" s="3">
        <v>15.94</v>
      </c>
      <c r="E393" s="3">
        <v>0</v>
      </c>
      <c r="F393">
        <v>40</v>
      </c>
      <c r="G393" t="s">
        <v>15</v>
      </c>
      <c r="H393" s="4">
        <v>46010</v>
      </c>
      <c r="I393" t="s">
        <v>13</v>
      </c>
      <c r="J393">
        <v>3</v>
      </c>
      <c r="K393" s="3">
        <v>95.34</v>
      </c>
    </row>
    <row r="394" spans="1:11" x14ac:dyDescent="0.25">
      <c r="A394">
        <v>438201</v>
      </c>
      <c r="B394" t="s">
        <v>70</v>
      </c>
      <c r="C394" s="3">
        <v>16.91</v>
      </c>
      <c r="D394" s="3">
        <v>15.94</v>
      </c>
      <c r="E394" s="3">
        <v>0</v>
      </c>
      <c r="F394">
        <v>40</v>
      </c>
      <c r="G394" t="s">
        <v>15</v>
      </c>
      <c r="H394" s="4">
        <v>46010</v>
      </c>
      <c r="I394" t="s">
        <v>21</v>
      </c>
      <c r="J394">
        <v>2.75</v>
      </c>
      <c r="K394" s="3">
        <v>111.4</v>
      </c>
    </row>
    <row r="395" spans="1:11" x14ac:dyDescent="0.25">
      <c r="A395">
        <v>438201</v>
      </c>
      <c r="B395" t="s">
        <v>70</v>
      </c>
      <c r="C395" s="3">
        <v>16.91</v>
      </c>
      <c r="D395" s="3">
        <v>15.94</v>
      </c>
      <c r="E395" s="3">
        <v>0</v>
      </c>
      <c r="F395">
        <v>40</v>
      </c>
      <c r="G395" t="s">
        <v>15</v>
      </c>
      <c r="H395" s="4">
        <v>46011</v>
      </c>
      <c r="I395" t="s">
        <v>24</v>
      </c>
      <c r="J395">
        <v>2.5</v>
      </c>
      <c r="K395" s="3">
        <v>97.2</v>
      </c>
    </row>
    <row r="396" spans="1:11" x14ac:dyDescent="0.25">
      <c r="A396">
        <v>440480</v>
      </c>
      <c r="B396" t="s">
        <v>71</v>
      </c>
      <c r="C396" s="3">
        <v>15.89</v>
      </c>
      <c r="D396" s="3">
        <v>14.98</v>
      </c>
      <c r="E396" s="3">
        <v>0</v>
      </c>
      <c r="F396">
        <v>31</v>
      </c>
      <c r="G396" t="s">
        <v>15</v>
      </c>
      <c r="H396" s="4">
        <v>46008</v>
      </c>
      <c r="I396" t="s">
        <v>13</v>
      </c>
      <c r="J396">
        <v>2.25</v>
      </c>
      <c r="K396" s="3">
        <v>67.59</v>
      </c>
    </row>
    <row r="397" spans="1:11" x14ac:dyDescent="0.25">
      <c r="A397">
        <v>440480</v>
      </c>
      <c r="B397" t="s">
        <v>71</v>
      </c>
      <c r="C397" s="3">
        <v>15.89</v>
      </c>
      <c r="D397" s="3">
        <v>14.98</v>
      </c>
      <c r="E397" s="3">
        <v>0</v>
      </c>
      <c r="F397">
        <v>31</v>
      </c>
      <c r="G397" t="s">
        <v>15</v>
      </c>
      <c r="H397" s="4">
        <v>46008</v>
      </c>
      <c r="I397" t="s">
        <v>21</v>
      </c>
      <c r="J397">
        <v>5</v>
      </c>
      <c r="K397" s="3">
        <v>191.2</v>
      </c>
    </row>
    <row r="398" spans="1:11" x14ac:dyDescent="0.25">
      <c r="A398">
        <v>440480</v>
      </c>
      <c r="B398" t="s">
        <v>71</v>
      </c>
      <c r="C398" s="3">
        <v>15.89</v>
      </c>
      <c r="D398" s="3">
        <v>14.98</v>
      </c>
      <c r="E398" s="3">
        <v>0</v>
      </c>
      <c r="F398">
        <v>31</v>
      </c>
      <c r="G398" t="s">
        <v>15</v>
      </c>
      <c r="H398" s="4">
        <v>46009</v>
      </c>
      <c r="I398" t="s">
        <v>13</v>
      </c>
      <c r="J398">
        <v>2.25</v>
      </c>
      <c r="K398" s="3">
        <v>67.59</v>
      </c>
    </row>
    <row r="399" spans="1:11" x14ac:dyDescent="0.25">
      <c r="A399">
        <v>440480</v>
      </c>
      <c r="B399" t="s">
        <v>71</v>
      </c>
      <c r="C399" s="3">
        <v>15.89</v>
      </c>
      <c r="D399" s="3">
        <v>14.98</v>
      </c>
      <c r="E399" s="3">
        <v>0</v>
      </c>
      <c r="F399">
        <v>31</v>
      </c>
      <c r="G399" t="s">
        <v>15</v>
      </c>
      <c r="H399" s="4">
        <v>46009</v>
      </c>
      <c r="I399" t="s">
        <v>21</v>
      </c>
      <c r="J399">
        <v>4.5</v>
      </c>
      <c r="K399" s="3">
        <v>172.08</v>
      </c>
    </row>
    <row r="400" spans="1:11" x14ac:dyDescent="0.25">
      <c r="A400">
        <v>440480</v>
      </c>
      <c r="B400" t="s">
        <v>71</v>
      </c>
      <c r="C400" s="3">
        <v>15.89</v>
      </c>
      <c r="D400" s="3">
        <v>14.98</v>
      </c>
      <c r="E400" s="3">
        <v>0</v>
      </c>
      <c r="F400">
        <v>31</v>
      </c>
      <c r="G400" t="s">
        <v>15</v>
      </c>
      <c r="H400" s="4">
        <v>46010</v>
      </c>
      <c r="I400" t="s">
        <v>13</v>
      </c>
      <c r="J400">
        <v>2.25</v>
      </c>
      <c r="K400" s="3">
        <v>67.59</v>
      </c>
    </row>
    <row r="401" spans="1:11" x14ac:dyDescent="0.25">
      <c r="A401">
        <v>440480</v>
      </c>
      <c r="B401" t="s">
        <v>71</v>
      </c>
      <c r="C401" s="3">
        <v>15.89</v>
      </c>
      <c r="D401" s="3">
        <v>14.98</v>
      </c>
      <c r="E401" s="3">
        <v>0</v>
      </c>
      <c r="F401">
        <v>31</v>
      </c>
      <c r="G401" t="s">
        <v>15</v>
      </c>
      <c r="H401" s="4">
        <v>46010</v>
      </c>
      <c r="I401" t="s">
        <v>21</v>
      </c>
      <c r="J401">
        <v>3.75</v>
      </c>
      <c r="K401" s="3">
        <v>143.4</v>
      </c>
    </row>
    <row r="402" spans="1:11" x14ac:dyDescent="0.25">
      <c r="A402">
        <v>440540</v>
      </c>
      <c r="B402" t="s">
        <v>72</v>
      </c>
      <c r="C402" s="3">
        <v>16.91</v>
      </c>
      <c r="D402" s="3">
        <v>15.94</v>
      </c>
      <c r="E402" s="3">
        <v>0</v>
      </c>
      <c r="F402">
        <v>33</v>
      </c>
      <c r="G402" t="s">
        <v>15</v>
      </c>
      <c r="H402" s="4">
        <v>46006</v>
      </c>
      <c r="I402" t="s">
        <v>13</v>
      </c>
      <c r="J402">
        <v>2.75</v>
      </c>
      <c r="K402" s="3">
        <v>87.4</v>
      </c>
    </row>
    <row r="403" spans="1:11" x14ac:dyDescent="0.25">
      <c r="A403">
        <v>440540</v>
      </c>
      <c r="B403" t="s">
        <v>72</v>
      </c>
      <c r="C403" s="3">
        <v>16.91</v>
      </c>
      <c r="D403" s="3">
        <v>15.94</v>
      </c>
      <c r="E403" s="3">
        <v>0</v>
      </c>
      <c r="F403">
        <v>33</v>
      </c>
      <c r="G403" t="s">
        <v>15</v>
      </c>
      <c r="H403" s="4">
        <v>46006</v>
      </c>
      <c r="I403" t="s">
        <v>21</v>
      </c>
      <c r="J403">
        <v>4.5</v>
      </c>
      <c r="K403" s="3">
        <v>182.3</v>
      </c>
    </row>
    <row r="404" spans="1:11" x14ac:dyDescent="0.25">
      <c r="A404">
        <v>440540</v>
      </c>
      <c r="B404" t="s">
        <v>72</v>
      </c>
      <c r="C404" s="3">
        <v>16.91</v>
      </c>
      <c r="D404" s="3">
        <v>15.94</v>
      </c>
      <c r="E404" s="3">
        <v>0</v>
      </c>
      <c r="F404">
        <v>33</v>
      </c>
      <c r="G404" t="s">
        <v>15</v>
      </c>
      <c r="H404" s="4">
        <v>46007</v>
      </c>
      <c r="I404" t="s">
        <v>13</v>
      </c>
      <c r="J404">
        <v>2.75</v>
      </c>
      <c r="K404" s="3">
        <v>87.4</v>
      </c>
    </row>
    <row r="405" spans="1:11" x14ac:dyDescent="0.25">
      <c r="A405">
        <v>440540</v>
      </c>
      <c r="B405" t="s">
        <v>72</v>
      </c>
      <c r="C405" s="3">
        <v>16.91</v>
      </c>
      <c r="D405" s="3">
        <v>15.94</v>
      </c>
      <c r="E405" s="3">
        <v>0</v>
      </c>
      <c r="F405">
        <v>33</v>
      </c>
      <c r="G405" t="s">
        <v>15</v>
      </c>
      <c r="H405" s="4">
        <v>46007</v>
      </c>
      <c r="I405" t="s">
        <v>21</v>
      </c>
      <c r="J405">
        <v>5.25</v>
      </c>
      <c r="K405" s="3">
        <v>212.68</v>
      </c>
    </row>
    <row r="406" spans="1:11" x14ac:dyDescent="0.25">
      <c r="A406">
        <v>440540</v>
      </c>
      <c r="B406" t="s">
        <v>72</v>
      </c>
      <c r="C406" s="3">
        <v>16.91</v>
      </c>
      <c r="D406" s="3">
        <v>15.94</v>
      </c>
      <c r="E406" s="3">
        <v>0</v>
      </c>
      <c r="F406">
        <v>33</v>
      </c>
      <c r="G406" t="s">
        <v>15</v>
      </c>
      <c r="H406" s="4">
        <v>46007</v>
      </c>
      <c r="I406" t="s">
        <v>22</v>
      </c>
      <c r="J406">
        <v>0.5</v>
      </c>
      <c r="K406" s="3">
        <v>20.52</v>
      </c>
    </row>
    <row r="407" spans="1:11" x14ac:dyDescent="0.25">
      <c r="A407">
        <v>440540</v>
      </c>
      <c r="B407" t="s">
        <v>72</v>
      </c>
      <c r="C407" s="3">
        <v>16.91</v>
      </c>
      <c r="D407" s="3">
        <v>15.94</v>
      </c>
      <c r="E407" s="3">
        <v>0</v>
      </c>
      <c r="F407">
        <v>33</v>
      </c>
      <c r="G407" t="s">
        <v>15</v>
      </c>
      <c r="H407" s="4">
        <v>46008</v>
      </c>
      <c r="I407" t="s">
        <v>13</v>
      </c>
      <c r="J407">
        <v>2.75</v>
      </c>
      <c r="K407" s="3">
        <v>87.4</v>
      </c>
    </row>
    <row r="408" spans="1:11" x14ac:dyDescent="0.25">
      <c r="A408">
        <v>440540</v>
      </c>
      <c r="B408" t="s">
        <v>72</v>
      </c>
      <c r="C408" s="3">
        <v>16.91</v>
      </c>
      <c r="D408" s="3">
        <v>15.94</v>
      </c>
      <c r="E408" s="3">
        <v>0</v>
      </c>
      <c r="F408">
        <v>33</v>
      </c>
      <c r="G408" t="s">
        <v>15</v>
      </c>
      <c r="H408" s="4">
        <v>46008</v>
      </c>
      <c r="I408" t="s">
        <v>21</v>
      </c>
      <c r="J408">
        <v>5.5</v>
      </c>
      <c r="K408" s="3">
        <v>222.81</v>
      </c>
    </row>
    <row r="409" spans="1:11" x14ac:dyDescent="0.25">
      <c r="A409">
        <v>440540</v>
      </c>
      <c r="B409" t="s">
        <v>72</v>
      </c>
      <c r="C409" s="3">
        <v>16.91</v>
      </c>
      <c r="D409" s="3">
        <v>15.94</v>
      </c>
      <c r="E409" s="3">
        <v>0</v>
      </c>
      <c r="F409">
        <v>33</v>
      </c>
      <c r="G409" t="s">
        <v>15</v>
      </c>
      <c r="H409" s="4">
        <v>46008</v>
      </c>
      <c r="I409" t="s">
        <v>22</v>
      </c>
      <c r="J409">
        <v>0.25</v>
      </c>
      <c r="K409" s="3">
        <v>10.26</v>
      </c>
    </row>
    <row r="410" spans="1:11" x14ac:dyDescent="0.25">
      <c r="A410">
        <v>440540</v>
      </c>
      <c r="B410" t="s">
        <v>72</v>
      </c>
      <c r="C410" s="3">
        <v>16.91</v>
      </c>
      <c r="D410" s="3">
        <v>15.94</v>
      </c>
      <c r="E410" s="3">
        <v>0</v>
      </c>
      <c r="F410">
        <v>33</v>
      </c>
      <c r="G410" t="s">
        <v>15</v>
      </c>
      <c r="H410" s="4">
        <v>46009</v>
      </c>
      <c r="I410" t="s">
        <v>13</v>
      </c>
      <c r="J410">
        <v>2.75</v>
      </c>
      <c r="K410" s="3">
        <v>87.4</v>
      </c>
    </row>
    <row r="411" spans="1:11" x14ac:dyDescent="0.25">
      <c r="A411">
        <v>440540</v>
      </c>
      <c r="B411" t="s">
        <v>72</v>
      </c>
      <c r="C411" s="3">
        <v>16.91</v>
      </c>
      <c r="D411" s="3">
        <v>15.94</v>
      </c>
      <c r="E411" s="3">
        <v>0</v>
      </c>
      <c r="F411">
        <v>33</v>
      </c>
      <c r="G411" t="s">
        <v>15</v>
      </c>
      <c r="H411" s="4">
        <v>46009</v>
      </c>
      <c r="I411" t="s">
        <v>21</v>
      </c>
      <c r="J411">
        <v>5.25</v>
      </c>
      <c r="K411" s="3">
        <v>212.68</v>
      </c>
    </row>
    <row r="412" spans="1:11" x14ac:dyDescent="0.25">
      <c r="A412">
        <v>440540</v>
      </c>
      <c r="B412" t="s">
        <v>72</v>
      </c>
      <c r="C412" s="3">
        <v>16.91</v>
      </c>
      <c r="D412" s="3">
        <v>15.94</v>
      </c>
      <c r="E412" s="3">
        <v>0</v>
      </c>
      <c r="F412">
        <v>33</v>
      </c>
      <c r="G412" t="s">
        <v>15</v>
      </c>
      <c r="H412" s="4">
        <v>46009</v>
      </c>
      <c r="I412" t="s">
        <v>22</v>
      </c>
      <c r="J412">
        <v>1</v>
      </c>
      <c r="K412" s="3">
        <v>41.04</v>
      </c>
    </row>
    <row r="413" spans="1:11" x14ac:dyDescent="0.25">
      <c r="A413">
        <v>440540</v>
      </c>
      <c r="B413" t="s">
        <v>72</v>
      </c>
      <c r="C413" s="3">
        <v>16.91</v>
      </c>
      <c r="D413" s="3">
        <v>15.94</v>
      </c>
      <c r="E413" s="3">
        <v>0</v>
      </c>
      <c r="F413">
        <v>33</v>
      </c>
      <c r="G413" t="s">
        <v>15</v>
      </c>
      <c r="H413" s="4">
        <v>46010</v>
      </c>
      <c r="I413" t="s">
        <v>13</v>
      </c>
      <c r="J413">
        <v>2.5</v>
      </c>
      <c r="K413" s="3">
        <v>79.45</v>
      </c>
    </row>
    <row r="414" spans="1:11" x14ac:dyDescent="0.25">
      <c r="A414">
        <v>440540</v>
      </c>
      <c r="B414" t="s">
        <v>72</v>
      </c>
      <c r="C414" s="3">
        <v>16.91</v>
      </c>
      <c r="D414" s="3">
        <v>15.94</v>
      </c>
      <c r="E414" s="3">
        <v>0</v>
      </c>
      <c r="F414">
        <v>33</v>
      </c>
      <c r="G414" t="s">
        <v>15</v>
      </c>
      <c r="H414" s="4">
        <v>46010</v>
      </c>
      <c r="I414" t="s">
        <v>21</v>
      </c>
      <c r="J414">
        <v>0.5</v>
      </c>
      <c r="K414" s="3">
        <v>20.260000000000002</v>
      </c>
    </row>
    <row r="415" spans="1:11" x14ac:dyDescent="0.25">
      <c r="A415">
        <v>441763</v>
      </c>
      <c r="B415" t="s">
        <v>73</v>
      </c>
      <c r="C415" s="3">
        <v>15.89</v>
      </c>
      <c r="D415" s="3">
        <v>14.98</v>
      </c>
      <c r="E415" s="3">
        <v>0</v>
      </c>
      <c r="F415">
        <v>29</v>
      </c>
      <c r="G415" t="s">
        <v>15</v>
      </c>
      <c r="H415" s="4">
        <v>46006</v>
      </c>
      <c r="I415" t="s">
        <v>13</v>
      </c>
      <c r="J415">
        <v>8</v>
      </c>
      <c r="K415" s="3">
        <v>240.32</v>
      </c>
    </row>
    <row r="416" spans="1:11" x14ac:dyDescent="0.25">
      <c r="A416">
        <v>441763</v>
      </c>
      <c r="B416" t="s">
        <v>73</v>
      </c>
      <c r="C416" s="3">
        <v>15.89</v>
      </c>
      <c r="D416" s="3">
        <v>14.98</v>
      </c>
      <c r="E416" s="3">
        <v>0</v>
      </c>
      <c r="F416">
        <v>29</v>
      </c>
      <c r="G416" t="s">
        <v>15</v>
      </c>
      <c r="H416" s="4">
        <v>46007</v>
      </c>
      <c r="I416" t="s">
        <v>13</v>
      </c>
      <c r="J416">
        <v>8</v>
      </c>
      <c r="K416" s="3">
        <v>240.32</v>
      </c>
    </row>
    <row r="417" spans="1:11" x14ac:dyDescent="0.25">
      <c r="A417">
        <v>441763</v>
      </c>
      <c r="B417" t="s">
        <v>73</v>
      </c>
      <c r="C417" s="3">
        <v>15.89</v>
      </c>
      <c r="D417" s="3">
        <v>14.98</v>
      </c>
      <c r="E417" s="3">
        <v>0</v>
      </c>
      <c r="F417">
        <v>29</v>
      </c>
      <c r="G417" t="s">
        <v>15</v>
      </c>
      <c r="H417" s="4">
        <v>46008</v>
      </c>
      <c r="I417" t="s">
        <v>13</v>
      </c>
      <c r="J417">
        <v>8</v>
      </c>
      <c r="K417" s="3">
        <v>240.32</v>
      </c>
    </row>
    <row r="418" spans="1:11" x14ac:dyDescent="0.25">
      <c r="A418">
        <v>441763</v>
      </c>
      <c r="B418" t="s">
        <v>73</v>
      </c>
      <c r="C418" s="3">
        <v>15.89</v>
      </c>
      <c r="D418" s="3">
        <v>14.98</v>
      </c>
      <c r="E418" s="3">
        <v>0</v>
      </c>
      <c r="F418">
        <v>29</v>
      </c>
      <c r="G418" t="s">
        <v>15</v>
      </c>
      <c r="H418" s="4">
        <v>46009</v>
      </c>
      <c r="I418" t="s">
        <v>13</v>
      </c>
      <c r="J418">
        <v>8</v>
      </c>
      <c r="K418" s="3">
        <v>240.32</v>
      </c>
    </row>
    <row r="419" spans="1:11" x14ac:dyDescent="0.25">
      <c r="A419">
        <v>441763</v>
      </c>
      <c r="B419" t="s">
        <v>73</v>
      </c>
      <c r="C419" s="3">
        <v>15.89</v>
      </c>
      <c r="D419" s="3">
        <v>14.98</v>
      </c>
      <c r="E419" s="3">
        <v>0</v>
      </c>
      <c r="F419">
        <v>29</v>
      </c>
      <c r="G419" t="s">
        <v>15</v>
      </c>
      <c r="H419" s="4">
        <v>46010</v>
      </c>
      <c r="I419" t="s">
        <v>13</v>
      </c>
      <c r="J419">
        <v>8</v>
      </c>
      <c r="K419" s="3">
        <v>240.32</v>
      </c>
    </row>
    <row r="420" spans="1:11" x14ac:dyDescent="0.25">
      <c r="A420">
        <v>441763</v>
      </c>
      <c r="B420" t="s">
        <v>73</v>
      </c>
      <c r="C420" s="3">
        <v>15.89</v>
      </c>
      <c r="D420" s="3">
        <v>14.98</v>
      </c>
      <c r="E420" s="3">
        <v>0</v>
      </c>
      <c r="F420">
        <v>29</v>
      </c>
      <c r="G420" t="s">
        <v>15</v>
      </c>
      <c r="H420" s="4">
        <v>46011</v>
      </c>
      <c r="I420" t="s">
        <v>24</v>
      </c>
      <c r="J420">
        <v>5</v>
      </c>
      <c r="K420" s="3">
        <v>182.7</v>
      </c>
    </row>
    <row r="421" spans="1:11" x14ac:dyDescent="0.25">
      <c r="A421">
        <v>442153</v>
      </c>
      <c r="B421" t="s">
        <v>74</v>
      </c>
      <c r="C421" s="3">
        <v>15.89</v>
      </c>
      <c r="D421" s="3">
        <v>14.98</v>
      </c>
      <c r="E421" s="3">
        <v>0</v>
      </c>
      <c r="F421">
        <v>29</v>
      </c>
      <c r="G421" t="s">
        <v>15</v>
      </c>
      <c r="H421" s="4">
        <v>46006</v>
      </c>
      <c r="I421" t="s">
        <v>13</v>
      </c>
      <c r="J421">
        <v>3.5</v>
      </c>
      <c r="K421" s="3">
        <v>105.14</v>
      </c>
    </row>
    <row r="422" spans="1:11" x14ac:dyDescent="0.25">
      <c r="A422">
        <v>442153</v>
      </c>
      <c r="B422" t="s">
        <v>74</v>
      </c>
      <c r="C422" s="3">
        <v>15.89</v>
      </c>
      <c r="D422" s="3">
        <v>14.98</v>
      </c>
      <c r="E422" s="3">
        <v>0</v>
      </c>
      <c r="F422">
        <v>29</v>
      </c>
      <c r="G422" t="s">
        <v>15</v>
      </c>
      <c r="H422" s="4">
        <v>46006</v>
      </c>
      <c r="I422" t="s">
        <v>21</v>
      </c>
      <c r="J422">
        <v>4.75</v>
      </c>
      <c r="K422" s="3">
        <v>181.64</v>
      </c>
    </row>
    <row r="423" spans="1:11" x14ac:dyDescent="0.25">
      <c r="A423">
        <v>442153</v>
      </c>
      <c r="B423" t="s">
        <v>74</v>
      </c>
      <c r="C423" s="3">
        <v>15.89</v>
      </c>
      <c r="D423" s="3">
        <v>14.98</v>
      </c>
      <c r="E423" s="3">
        <v>0</v>
      </c>
      <c r="F423">
        <v>29</v>
      </c>
      <c r="G423" t="s">
        <v>15</v>
      </c>
      <c r="H423" s="4">
        <v>46007</v>
      </c>
      <c r="I423" t="s">
        <v>13</v>
      </c>
      <c r="J423">
        <v>4</v>
      </c>
      <c r="K423" s="3">
        <v>120.16</v>
      </c>
    </row>
    <row r="424" spans="1:11" x14ac:dyDescent="0.25">
      <c r="A424">
        <v>442153</v>
      </c>
      <c r="B424" t="s">
        <v>74</v>
      </c>
      <c r="C424" s="3">
        <v>15.89</v>
      </c>
      <c r="D424" s="3">
        <v>14.98</v>
      </c>
      <c r="E424" s="3">
        <v>0</v>
      </c>
      <c r="F424">
        <v>29</v>
      </c>
      <c r="G424" t="s">
        <v>15</v>
      </c>
      <c r="H424" s="4">
        <v>46007</v>
      </c>
      <c r="I424" t="s">
        <v>21</v>
      </c>
      <c r="J424">
        <v>4</v>
      </c>
      <c r="K424" s="3">
        <v>152.96</v>
      </c>
    </row>
    <row r="425" spans="1:11" x14ac:dyDescent="0.25">
      <c r="A425">
        <v>442153</v>
      </c>
      <c r="B425" t="s">
        <v>74</v>
      </c>
      <c r="C425" s="3">
        <v>15.89</v>
      </c>
      <c r="D425" s="3">
        <v>14.98</v>
      </c>
      <c r="E425" s="3">
        <v>0</v>
      </c>
      <c r="F425">
        <v>29</v>
      </c>
      <c r="G425" t="s">
        <v>15</v>
      </c>
      <c r="H425" s="4">
        <v>46008</v>
      </c>
      <c r="I425" t="s">
        <v>13</v>
      </c>
      <c r="J425">
        <v>3.75</v>
      </c>
      <c r="K425" s="3">
        <v>112.65</v>
      </c>
    </row>
    <row r="426" spans="1:11" x14ac:dyDescent="0.25">
      <c r="A426">
        <v>442153</v>
      </c>
      <c r="B426" t="s">
        <v>74</v>
      </c>
      <c r="C426" s="3">
        <v>15.89</v>
      </c>
      <c r="D426" s="3">
        <v>14.98</v>
      </c>
      <c r="E426" s="3">
        <v>0</v>
      </c>
      <c r="F426">
        <v>29</v>
      </c>
      <c r="G426" t="s">
        <v>15</v>
      </c>
      <c r="H426" s="4">
        <v>46008</v>
      </c>
      <c r="I426" t="s">
        <v>21</v>
      </c>
      <c r="J426">
        <v>4.75</v>
      </c>
      <c r="K426" s="3">
        <v>181.64</v>
      </c>
    </row>
    <row r="427" spans="1:11" x14ac:dyDescent="0.25">
      <c r="A427">
        <v>442153</v>
      </c>
      <c r="B427" t="s">
        <v>74</v>
      </c>
      <c r="C427" s="3">
        <v>15.89</v>
      </c>
      <c r="D427" s="3">
        <v>14.98</v>
      </c>
      <c r="E427" s="3">
        <v>0</v>
      </c>
      <c r="F427">
        <v>29</v>
      </c>
      <c r="G427" t="s">
        <v>15</v>
      </c>
      <c r="H427" s="4">
        <v>46009</v>
      </c>
      <c r="I427" t="s">
        <v>13</v>
      </c>
      <c r="J427">
        <v>3.5</v>
      </c>
      <c r="K427" s="3">
        <v>105.14</v>
      </c>
    </row>
    <row r="428" spans="1:11" x14ac:dyDescent="0.25">
      <c r="A428">
        <v>442153</v>
      </c>
      <c r="B428" t="s">
        <v>74</v>
      </c>
      <c r="C428" s="3">
        <v>15.89</v>
      </c>
      <c r="D428" s="3">
        <v>14.98</v>
      </c>
      <c r="E428" s="3">
        <v>0</v>
      </c>
      <c r="F428">
        <v>29</v>
      </c>
      <c r="G428" t="s">
        <v>15</v>
      </c>
      <c r="H428" s="4">
        <v>46009</v>
      </c>
      <c r="I428" t="s">
        <v>21</v>
      </c>
      <c r="J428">
        <v>5</v>
      </c>
      <c r="K428" s="3">
        <v>191.2</v>
      </c>
    </row>
    <row r="429" spans="1:11" x14ac:dyDescent="0.25">
      <c r="A429">
        <v>442153</v>
      </c>
      <c r="B429" t="s">
        <v>74</v>
      </c>
      <c r="C429" s="3">
        <v>15.89</v>
      </c>
      <c r="D429" s="3">
        <v>14.98</v>
      </c>
      <c r="E429" s="3">
        <v>0</v>
      </c>
      <c r="F429">
        <v>29</v>
      </c>
      <c r="G429" t="s">
        <v>15</v>
      </c>
      <c r="H429" s="4">
        <v>46010</v>
      </c>
      <c r="I429" t="s">
        <v>13</v>
      </c>
      <c r="J429">
        <v>1.5</v>
      </c>
      <c r="K429" s="3">
        <v>45.06</v>
      </c>
    </row>
    <row r="430" spans="1:11" x14ac:dyDescent="0.25">
      <c r="A430">
        <v>442153</v>
      </c>
      <c r="B430" t="s">
        <v>74</v>
      </c>
      <c r="C430" s="3">
        <v>15.89</v>
      </c>
      <c r="D430" s="3">
        <v>14.98</v>
      </c>
      <c r="E430" s="3">
        <v>0</v>
      </c>
      <c r="F430">
        <v>29</v>
      </c>
      <c r="G430" t="s">
        <v>15</v>
      </c>
      <c r="H430" s="4">
        <v>46010</v>
      </c>
      <c r="I430" t="s">
        <v>21</v>
      </c>
      <c r="J430">
        <v>3.5</v>
      </c>
      <c r="K430" s="3">
        <v>133.84</v>
      </c>
    </row>
    <row r="431" spans="1:11" x14ac:dyDescent="0.25">
      <c r="A431">
        <v>442415</v>
      </c>
      <c r="B431" t="s">
        <v>75</v>
      </c>
      <c r="C431" s="3">
        <v>16.09</v>
      </c>
      <c r="D431" s="3">
        <v>15.17</v>
      </c>
      <c r="E431" s="3">
        <v>0</v>
      </c>
      <c r="F431">
        <v>116</v>
      </c>
      <c r="G431" t="s">
        <v>19</v>
      </c>
      <c r="H431" s="4">
        <v>46006</v>
      </c>
      <c r="I431" t="s">
        <v>13</v>
      </c>
      <c r="J431">
        <v>8</v>
      </c>
      <c r="K431" s="3">
        <v>243.52</v>
      </c>
    </row>
    <row r="432" spans="1:11" x14ac:dyDescent="0.25">
      <c r="A432">
        <v>442415</v>
      </c>
      <c r="B432" t="s">
        <v>75</v>
      </c>
      <c r="C432" s="3">
        <v>16.09</v>
      </c>
      <c r="D432" s="3">
        <v>15.17</v>
      </c>
      <c r="E432" s="3">
        <v>0</v>
      </c>
      <c r="F432">
        <v>116</v>
      </c>
      <c r="G432" t="s">
        <v>19</v>
      </c>
      <c r="H432" s="4">
        <v>46007</v>
      </c>
      <c r="I432" t="s">
        <v>13</v>
      </c>
      <c r="J432">
        <v>8</v>
      </c>
      <c r="K432" s="3">
        <v>243.52</v>
      </c>
    </row>
    <row r="433" spans="1:11" x14ac:dyDescent="0.25">
      <c r="A433">
        <v>442415</v>
      </c>
      <c r="B433" t="s">
        <v>75</v>
      </c>
      <c r="C433" s="3">
        <v>16.09</v>
      </c>
      <c r="D433" s="3">
        <v>15.17</v>
      </c>
      <c r="E433" s="3">
        <v>0</v>
      </c>
      <c r="F433">
        <v>116</v>
      </c>
      <c r="G433" t="s">
        <v>19</v>
      </c>
      <c r="H433" s="4">
        <v>46008</v>
      </c>
      <c r="I433" t="s">
        <v>13</v>
      </c>
      <c r="J433">
        <v>7.75</v>
      </c>
      <c r="K433" s="3">
        <v>235.91</v>
      </c>
    </row>
    <row r="434" spans="1:11" x14ac:dyDescent="0.25">
      <c r="A434">
        <v>442415</v>
      </c>
      <c r="B434" t="s">
        <v>75</v>
      </c>
      <c r="C434" s="3">
        <v>16.09</v>
      </c>
      <c r="D434" s="3">
        <v>15.17</v>
      </c>
      <c r="E434" s="3">
        <v>0</v>
      </c>
      <c r="F434">
        <v>116</v>
      </c>
      <c r="G434" t="s">
        <v>19</v>
      </c>
      <c r="H434" s="4">
        <v>46008</v>
      </c>
      <c r="I434" t="s">
        <v>23</v>
      </c>
      <c r="J434">
        <v>0.25</v>
      </c>
      <c r="K434" s="3">
        <v>7.11</v>
      </c>
    </row>
    <row r="435" spans="1:11" x14ac:dyDescent="0.25">
      <c r="A435">
        <v>442415</v>
      </c>
      <c r="B435" t="s">
        <v>75</v>
      </c>
      <c r="C435" s="3">
        <v>16.09</v>
      </c>
      <c r="D435" s="3">
        <v>15.17</v>
      </c>
      <c r="E435" s="3">
        <v>0</v>
      </c>
      <c r="F435">
        <v>116</v>
      </c>
      <c r="G435" t="s">
        <v>19</v>
      </c>
      <c r="H435" s="4">
        <v>46009</v>
      </c>
      <c r="I435" t="s">
        <v>13</v>
      </c>
      <c r="J435">
        <v>8</v>
      </c>
      <c r="K435" s="3">
        <v>243.52</v>
      </c>
    </row>
    <row r="436" spans="1:11" x14ac:dyDescent="0.25">
      <c r="A436">
        <v>442415</v>
      </c>
      <c r="B436" t="s">
        <v>75</v>
      </c>
      <c r="C436" s="3">
        <v>16.09</v>
      </c>
      <c r="D436" s="3">
        <v>15.17</v>
      </c>
      <c r="E436" s="3">
        <v>0</v>
      </c>
      <c r="F436">
        <v>116</v>
      </c>
      <c r="G436" t="s">
        <v>19</v>
      </c>
      <c r="H436" s="4">
        <v>46010</v>
      </c>
      <c r="I436" t="s">
        <v>13</v>
      </c>
      <c r="J436">
        <v>8</v>
      </c>
      <c r="K436" s="3">
        <v>243.52</v>
      </c>
    </row>
    <row r="437" spans="1:11" x14ac:dyDescent="0.25">
      <c r="A437">
        <v>442415</v>
      </c>
      <c r="B437" t="s">
        <v>75</v>
      </c>
      <c r="C437" s="3">
        <v>16.09</v>
      </c>
      <c r="D437" s="3">
        <v>15.17</v>
      </c>
      <c r="E437" s="3">
        <v>0</v>
      </c>
      <c r="F437">
        <v>116</v>
      </c>
      <c r="G437" t="s">
        <v>19</v>
      </c>
      <c r="H437" s="4">
        <v>46011</v>
      </c>
      <c r="I437" t="s">
        <v>13</v>
      </c>
      <c r="J437">
        <v>0.25</v>
      </c>
      <c r="K437" s="3">
        <v>7.61</v>
      </c>
    </row>
    <row r="438" spans="1:11" x14ac:dyDescent="0.25">
      <c r="A438">
        <v>442415</v>
      </c>
      <c r="B438" t="s">
        <v>75</v>
      </c>
      <c r="C438" s="3">
        <v>16.09</v>
      </c>
      <c r="D438" s="3">
        <v>15.17</v>
      </c>
      <c r="E438" s="3">
        <v>0</v>
      </c>
      <c r="F438">
        <v>116</v>
      </c>
      <c r="G438" t="s">
        <v>19</v>
      </c>
      <c r="H438" s="4">
        <v>46011</v>
      </c>
      <c r="I438" t="s">
        <v>24</v>
      </c>
      <c r="J438">
        <v>6</v>
      </c>
      <c r="K438" s="3">
        <v>219.48</v>
      </c>
    </row>
    <row r="439" spans="1:11" x14ac:dyDescent="0.25">
      <c r="A439">
        <v>442415</v>
      </c>
      <c r="B439" t="s">
        <v>75</v>
      </c>
      <c r="C439" s="3">
        <v>16.09</v>
      </c>
      <c r="D439" s="3">
        <v>15.17</v>
      </c>
      <c r="E439" s="3">
        <v>0</v>
      </c>
      <c r="F439">
        <v>116</v>
      </c>
      <c r="G439" t="s">
        <v>19</v>
      </c>
      <c r="H439" s="4">
        <v>46011</v>
      </c>
      <c r="I439" t="s">
        <v>25</v>
      </c>
      <c r="J439">
        <v>1</v>
      </c>
      <c r="K439" s="3">
        <v>40.64</v>
      </c>
    </row>
    <row r="440" spans="1:11" x14ac:dyDescent="0.25">
      <c r="A440">
        <v>442926</v>
      </c>
      <c r="B440" t="s">
        <v>76</v>
      </c>
      <c r="C440" s="3">
        <v>16.91</v>
      </c>
      <c r="D440" s="3">
        <v>15.94</v>
      </c>
      <c r="E440" s="3">
        <v>0</v>
      </c>
      <c r="F440">
        <v>27</v>
      </c>
      <c r="G440" t="s">
        <v>15</v>
      </c>
      <c r="H440" s="4">
        <v>46007</v>
      </c>
      <c r="I440" t="s">
        <v>13</v>
      </c>
      <c r="J440">
        <v>3</v>
      </c>
      <c r="K440" s="3">
        <v>95.34</v>
      </c>
    </row>
    <row r="441" spans="1:11" x14ac:dyDescent="0.25">
      <c r="A441">
        <v>442926</v>
      </c>
      <c r="B441" t="s">
        <v>76</v>
      </c>
      <c r="C441" s="3">
        <v>16.91</v>
      </c>
      <c r="D441" s="3">
        <v>15.94</v>
      </c>
      <c r="E441" s="3">
        <v>0</v>
      </c>
      <c r="F441">
        <v>27</v>
      </c>
      <c r="G441" t="s">
        <v>15</v>
      </c>
      <c r="H441" s="4">
        <v>46007</v>
      </c>
      <c r="I441" t="s">
        <v>21</v>
      </c>
      <c r="J441">
        <v>4.25</v>
      </c>
      <c r="K441" s="3">
        <v>172.17</v>
      </c>
    </row>
    <row r="442" spans="1:11" x14ac:dyDescent="0.25">
      <c r="A442">
        <v>442926</v>
      </c>
      <c r="B442" t="s">
        <v>76</v>
      </c>
      <c r="C442" s="3">
        <v>16.91</v>
      </c>
      <c r="D442" s="3">
        <v>15.94</v>
      </c>
      <c r="E442" s="3">
        <v>0</v>
      </c>
      <c r="F442">
        <v>27</v>
      </c>
      <c r="G442" t="s">
        <v>15</v>
      </c>
      <c r="H442" s="4">
        <v>46008</v>
      </c>
      <c r="I442" t="s">
        <v>13</v>
      </c>
      <c r="J442">
        <v>2.75</v>
      </c>
      <c r="K442" s="3">
        <v>87.4</v>
      </c>
    </row>
    <row r="443" spans="1:11" x14ac:dyDescent="0.25">
      <c r="A443">
        <v>442926</v>
      </c>
      <c r="B443" t="s">
        <v>76</v>
      </c>
      <c r="C443" s="3">
        <v>16.91</v>
      </c>
      <c r="D443" s="3">
        <v>15.94</v>
      </c>
      <c r="E443" s="3">
        <v>0</v>
      </c>
      <c r="F443">
        <v>27</v>
      </c>
      <c r="G443" t="s">
        <v>15</v>
      </c>
      <c r="H443" s="4">
        <v>46008</v>
      </c>
      <c r="I443" t="s">
        <v>21</v>
      </c>
      <c r="J443">
        <v>4.5</v>
      </c>
      <c r="K443" s="3">
        <v>182.3</v>
      </c>
    </row>
    <row r="444" spans="1:11" x14ac:dyDescent="0.25">
      <c r="A444">
        <v>442926</v>
      </c>
      <c r="B444" t="s">
        <v>76</v>
      </c>
      <c r="C444" s="3">
        <v>16.91</v>
      </c>
      <c r="D444" s="3">
        <v>15.94</v>
      </c>
      <c r="E444" s="3">
        <v>0</v>
      </c>
      <c r="F444">
        <v>27</v>
      </c>
      <c r="G444" t="s">
        <v>15</v>
      </c>
      <c r="H444" s="4">
        <v>46009</v>
      </c>
      <c r="I444" t="s">
        <v>13</v>
      </c>
      <c r="J444">
        <v>2.75</v>
      </c>
      <c r="K444" s="3">
        <v>87.4</v>
      </c>
    </row>
    <row r="445" spans="1:11" x14ac:dyDescent="0.25">
      <c r="A445">
        <v>442926</v>
      </c>
      <c r="B445" t="s">
        <v>76</v>
      </c>
      <c r="C445" s="3">
        <v>16.91</v>
      </c>
      <c r="D445" s="3">
        <v>15.94</v>
      </c>
      <c r="E445" s="3">
        <v>0</v>
      </c>
      <c r="F445">
        <v>27</v>
      </c>
      <c r="G445" t="s">
        <v>15</v>
      </c>
      <c r="H445" s="4">
        <v>46009</v>
      </c>
      <c r="I445" t="s">
        <v>21</v>
      </c>
      <c r="J445">
        <v>4.5</v>
      </c>
      <c r="K445" s="3">
        <v>182.3</v>
      </c>
    </row>
    <row r="446" spans="1:11" x14ac:dyDescent="0.25">
      <c r="A446">
        <v>442926</v>
      </c>
      <c r="B446" t="s">
        <v>76</v>
      </c>
      <c r="C446" s="3">
        <v>16.91</v>
      </c>
      <c r="D446" s="3">
        <v>15.94</v>
      </c>
      <c r="E446" s="3">
        <v>0</v>
      </c>
      <c r="F446">
        <v>27</v>
      </c>
      <c r="G446" t="s">
        <v>15</v>
      </c>
      <c r="H446" s="4">
        <v>46010</v>
      </c>
      <c r="I446" t="s">
        <v>13</v>
      </c>
      <c r="J446">
        <v>2.75</v>
      </c>
      <c r="K446" s="3">
        <v>87.4</v>
      </c>
    </row>
    <row r="447" spans="1:11" x14ac:dyDescent="0.25">
      <c r="A447">
        <v>442926</v>
      </c>
      <c r="B447" t="s">
        <v>76</v>
      </c>
      <c r="C447" s="3">
        <v>16.91</v>
      </c>
      <c r="D447" s="3">
        <v>15.94</v>
      </c>
      <c r="E447" s="3">
        <v>0</v>
      </c>
      <c r="F447">
        <v>27</v>
      </c>
      <c r="G447" t="s">
        <v>15</v>
      </c>
      <c r="H447" s="4">
        <v>46010</v>
      </c>
      <c r="I447" t="s">
        <v>21</v>
      </c>
      <c r="J447">
        <v>3.25</v>
      </c>
      <c r="K447" s="3">
        <v>131.66</v>
      </c>
    </row>
    <row r="448" spans="1:11" x14ac:dyDescent="0.25">
      <c r="A448">
        <v>442927</v>
      </c>
      <c r="B448" t="s">
        <v>77</v>
      </c>
      <c r="C448" s="3">
        <v>15.89</v>
      </c>
      <c r="D448" s="3">
        <v>14.98</v>
      </c>
      <c r="E448" s="3">
        <v>0</v>
      </c>
      <c r="F448">
        <v>27</v>
      </c>
      <c r="G448" t="s">
        <v>15</v>
      </c>
      <c r="H448" s="4">
        <v>46007</v>
      </c>
      <c r="I448" t="s">
        <v>13</v>
      </c>
      <c r="J448">
        <v>2.25</v>
      </c>
      <c r="K448" s="3">
        <v>67.59</v>
      </c>
    </row>
    <row r="449" spans="1:11" x14ac:dyDescent="0.25">
      <c r="A449">
        <v>442927</v>
      </c>
      <c r="B449" t="s">
        <v>77</v>
      </c>
      <c r="C449" s="3">
        <v>15.89</v>
      </c>
      <c r="D449" s="3">
        <v>14.98</v>
      </c>
      <c r="E449" s="3">
        <v>0</v>
      </c>
      <c r="F449">
        <v>27</v>
      </c>
      <c r="G449" t="s">
        <v>15</v>
      </c>
      <c r="H449" s="4">
        <v>46007</v>
      </c>
      <c r="I449" t="s">
        <v>21</v>
      </c>
      <c r="J449">
        <v>4.5</v>
      </c>
      <c r="K449" s="3">
        <v>172.08</v>
      </c>
    </row>
    <row r="450" spans="1:11" x14ac:dyDescent="0.25">
      <c r="A450">
        <v>442927</v>
      </c>
      <c r="B450" t="s">
        <v>77</v>
      </c>
      <c r="C450" s="3">
        <v>15.89</v>
      </c>
      <c r="D450" s="3">
        <v>14.98</v>
      </c>
      <c r="E450" s="3">
        <v>0</v>
      </c>
      <c r="F450">
        <v>27</v>
      </c>
      <c r="G450" t="s">
        <v>15</v>
      </c>
      <c r="H450" s="4">
        <v>46008</v>
      </c>
      <c r="I450" t="s">
        <v>13</v>
      </c>
      <c r="J450">
        <v>2.25</v>
      </c>
      <c r="K450" s="3">
        <v>67.59</v>
      </c>
    </row>
    <row r="451" spans="1:11" x14ac:dyDescent="0.25">
      <c r="A451">
        <v>442927</v>
      </c>
      <c r="B451" t="s">
        <v>77</v>
      </c>
      <c r="C451" s="3">
        <v>15.89</v>
      </c>
      <c r="D451" s="3">
        <v>14.98</v>
      </c>
      <c r="E451" s="3">
        <v>0</v>
      </c>
      <c r="F451">
        <v>27</v>
      </c>
      <c r="G451" t="s">
        <v>15</v>
      </c>
      <c r="H451" s="4">
        <v>46008</v>
      </c>
      <c r="I451" t="s">
        <v>21</v>
      </c>
      <c r="J451">
        <v>5.25</v>
      </c>
      <c r="K451" s="3">
        <v>200.76</v>
      </c>
    </row>
    <row r="452" spans="1:11" x14ac:dyDescent="0.25">
      <c r="A452">
        <v>442927</v>
      </c>
      <c r="B452" t="s">
        <v>77</v>
      </c>
      <c r="C452" s="3">
        <v>15.89</v>
      </c>
      <c r="D452" s="3">
        <v>14.98</v>
      </c>
      <c r="E452" s="3">
        <v>0</v>
      </c>
      <c r="F452">
        <v>27</v>
      </c>
      <c r="G452" t="s">
        <v>15</v>
      </c>
      <c r="H452" s="4">
        <v>46008</v>
      </c>
      <c r="I452" t="s">
        <v>22</v>
      </c>
      <c r="J452">
        <v>1</v>
      </c>
      <c r="K452" s="3">
        <v>38.74</v>
      </c>
    </row>
    <row r="453" spans="1:11" x14ac:dyDescent="0.25">
      <c r="A453">
        <v>442927</v>
      </c>
      <c r="B453" t="s">
        <v>77</v>
      </c>
      <c r="C453" s="3">
        <v>15.89</v>
      </c>
      <c r="D453" s="3">
        <v>14.98</v>
      </c>
      <c r="E453" s="3">
        <v>0</v>
      </c>
      <c r="F453">
        <v>27</v>
      </c>
      <c r="G453" t="s">
        <v>15</v>
      </c>
      <c r="H453" s="4">
        <v>46009</v>
      </c>
      <c r="I453" t="s">
        <v>13</v>
      </c>
      <c r="J453">
        <v>2.25</v>
      </c>
      <c r="K453" s="3">
        <v>67.59</v>
      </c>
    </row>
    <row r="454" spans="1:11" x14ac:dyDescent="0.25">
      <c r="A454">
        <v>442927</v>
      </c>
      <c r="B454" t="s">
        <v>77</v>
      </c>
      <c r="C454" s="3">
        <v>15.89</v>
      </c>
      <c r="D454" s="3">
        <v>14.98</v>
      </c>
      <c r="E454" s="3">
        <v>0</v>
      </c>
      <c r="F454">
        <v>27</v>
      </c>
      <c r="G454" t="s">
        <v>15</v>
      </c>
      <c r="H454" s="4">
        <v>46009</v>
      </c>
      <c r="I454" t="s">
        <v>21</v>
      </c>
      <c r="J454">
        <v>5.25</v>
      </c>
      <c r="K454" s="3">
        <v>200.76</v>
      </c>
    </row>
    <row r="455" spans="1:11" x14ac:dyDescent="0.25">
      <c r="A455">
        <v>442927</v>
      </c>
      <c r="B455" t="s">
        <v>77</v>
      </c>
      <c r="C455" s="3">
        <v>15.89</v>
      </c>
      <c r="D455" s="3">
        <v>14.98</v>
      </c>
      <c r="E455" s="3">
        <v>0</v>
      </c>
      <c r="F455">
        <v>27</v>
      </c>
      <c r="G455" t="s">
        <v>15</v>
      </c>
      <c r="H455" s="4">
        <v>46009</v>
      </c>
      <c r="I455" t="s">
        <v>22</v>
      </c>
      <c r="J455">
        <v>1.25</v>
      </c>
      <c r="K455" s="3">
        <v>48.43</v>
      </c>
    </row>
    <row r="456" spans="1:11" x14ac:dyDescent="0.25">
      <c r="A456">
        <v>442927</v>
      </c>
      <c r="B456" t="s">
        <v>77</v>
      </c>
      <c r="C456" s="3">
        <v>15.89</v>
      </c>
      <c r="D456" s="3">
        <v>14.98</v>
      </c>
      <c r="E456" s="3">
        <v>0</v>
      </c>
      <c r="F456">
        <v>27</v>
      </c>
      <c r="G456" t="s">
        <v>15</v>
      </c>
      <c r="H456" s="4">
        <v>46010</v>
      </c>
      <c r="I456" t="s">
        <v>13</v>
      </c>
      <c r="J456">
        <v>2.25</v>
      </c>
      <c r="K456" s="3">
        <v>67.59</v>
      </c>
    </row>
    <row r="457" spans="1:11" x14ac:dyDescent="0.25">
      <c r="A457">
        <v>442927</v>
      </c>
      <c r="B457" t="s">
        <v>77</v>
      </c>
      <c r="C457" s="3">
        <v>15.89</v>
      </c>
      <c r="D457" s="3">
        <v>14.98</v>
      </c>
      <c r="E457" s="3">
        <v>0</v>
      </c>
      <c r="F457">
        <v>27</v>
      </c>
      <c r="G457" t="s">
        <v>15</v>
      </c>
      <c r="H457" s="4">
        <v>46010</v>
      </c>
      <c r="I457" t="s">
        <v>21</v>
      </c>
      <c r="J457">
        <v>5</v>
      </c>
      <c r="K457" s="3">
        <v>191.2</v>
      </c>
    </row>
    <row r="458" spans="1:11" x14ac:dyDescent="0.25">
      <c r="A458">
        <v>443584</v>
      </c>
      <c r="B458" t="s">
        <v>78</v>
      </c>
      <c r="C458" s="3">
        <v>15.89</v>
      </c>
      <c r="D458" s="3">
        <v>14.98</v>
      </c>
      <c r="E458" s="3">
        <v>0</v>
      </c>
      <c r="F458">
        <v>26</v>
      </c>
      <c r="G458" t="s">
        <v>15</v>
      </c>
      <c r="H458" s="4">
        <v>46008</v>
      </c>
      <c r="I458" t="s">
        <v>13</v>
      </c>
      <c r="J458">
        <v>8</v>
      </c>
      <c r="K458" s="3">
        <v>240.32</v>
      </c>
    </row>
    <row r="459" spans="1:11" x14ac:dyDescent="0.25">
      <c r="A459">
        <v>443584</v>
      </c>
      <c r="B459" t="s">
        <v>78</v>
      </c>
      <c r="C459" s="3">
        <v>15.89</v>
      </c>
      <c r="D459" s="3">
        <v>14.98</v>
      </c>
      <c r="E459" s="3">
        <v>0</v>
      </c>
      <c r="F459">
        <v>26</v>
      </c>
      <c r="G459" t="s">
        <v>15</v>
      </c>
      <c r="H459" s="4">
        <v>46009</v>
      </c>
      <c r="I459" t="s">
        <v>13</v>
      </c>
      <c r="J459">
        <v>8</v>
      </c>
      <c r="K459" s="3">
        <v>240.32</v>
      </c>
    </row>
    <row r="460" spans="1:11" x14ac:dyDescent="0.25">
      <c r="A460">
        <v>443584</v>
      </c>
      <c r="B460" t="s">
        <v>78</v>
      </c>
      <c r="C460" s="3">
        <v>15.89</v>
      </c>
      <c r="D460" s="3">
        <v>14.98</v>
      </c>
      <c r="E460" s="3">
        <v>0</v>
      </c>
      <c r="F460">
        <v>26</v>
      </c>
      <c r="G460" t="s">
        <v>15</v>
      </c>
      <c r="H460" s="4">
        <v>46010</v>
      </c>
      <c r="I460" t="s">
        <v>13</v>
      </c>
      <c r="J460">
        <v>1</v>
      </c>
      <c r="K460" s="3">
        <v>30.04</v>
      </c>
    </row>
    <row r="461" spans="1:11" x14ac:dyDescent="0.25">
      <c r="A461">
        <v>444404</v>
      </c>
      <c r="B461" t="s">
        <v>79</v>
      </c>
      <c r="C461" s="3">
        <v>16.91</v>
      </c>
      <c r="D461" s="3">
        <v>15.94</v>
      </c>
      <c r="E461" s="3">
        <v>0</v>
      </c>
      <c r="F461">
        <v>24</v>
      </c>
      <c r="G461" t="s">
        <v>15</v>
      </c>
      <c r="H461" s="4">
        <v>46006</v>
      </c>
      <c r="I461" t="s">
        <v>13</v>
      </c>
      <c r="J461">
        <v>3.75</v>
      </c>
      <c r="K461" s="3">
        <v>119.18</v>
      </c>
    </row>
    <row r="462" spans="1:11" x14ac:dyDescent="0.25">
      <c r="A462">
        <v>444404</v>
      </c>
      <c r="B462" t="s">
        <v>79</v>
      </c>
      <c r="C462" s="3">
        <v>16.91</v>
      </c>
      <c r="D462" s="3">
        <v>15.94</v>
      </c>
      <c r="E462" s="3">
        <v>0</v>
      </c>
      <c r="F462">
        <v>24</v>
      </c>
      <c r="G462" t="s">
        <v>15</v>
      </c>
      <c r="H462" s="4">
        <v>46006</v>
      </c>
      <c r="I462" t="s">
        <v>21</v>
      </c>
      <c r="J462">
        <v>4.5</v>
      </c>
      <c r="K462" s="3">
        <v>182.3</v>
      </c>
    </row>
    <row r="463" spans="1:11" x14ac:dyDescent="0.25">
      <c r="A463">
        <v>444404</v>
      </c>
      <c r="B463" t="s">
        <v>79</v>
      </c>
      <c r="C463" s="3">
        <v>16.91</v>
      </c>
      <c r="D463" s="3">
        <v>15.94</v>
      </c>
      <c r="E463" s="3">
        <v>0</v>
      </c>
      <c r="F463">
        <v>24</v>
      </c>
      <c r="G463" t="s">
        <v>15</v>
      </c>
      <c r="H463" s="4">
        <v>46007</v>
      </c>
      <c r="I463" t="s">
        <v>13</v>
      </c>
      <c r="J463">
        <v>3.5</v>
      </c>
      <c r="K463" s="3">
        <v>111.23</v>
      </c>
    </row>
    <row r="464" spans="1:11" x14ac:dyDescent="0.25">
      <c r="A464">
        <v>444404</v>
      </c>
      <c r="B464" t="s">
        <v>79</v>
      </c>
      <c r="C464" s="3">
        <v>16.91</v>
      </c>
      <c r="D464" s="3">
        <v>15.94</v>
      </c>
      <c r="E464" s="3">
        <v>0</v>
      </c>
      <c r="F464">
        <v>24</v>
      </c>
      <c r="G464" t="s">
        <v>15</v>
      </c>
      <c r="H464" s="4">
        <v>46007</v>
      </c>
      <c r="I464" t="s">
        <v>21</v>
      </c>
      <c r="J464">
        <v>4</v>
      </c>
      <c r="K464" s="3">
        <v>162.04</v>
      </c>
    </row>
    <row r="465" spans="1:11" x14ac:dyDescent="0.25">
      <c r="A465">
        <v>444404</v>
      </c>
      <c r="B465" t="s">
        <v>79</v>
      </c>
      <c r="C465" s="3">
        <v>16.91</v>
      </c>
      <c r="D465" s="3">
        <v>15.94</v>
      </c>
      <c r="E465" s="3">
        <v>0</v>
      </c>
      <c r="F465">
        <v>24</v>
      </c>
      <c r="G465" t="s">
        <v>15</v>
      </c>
      <c r="H465" s="4">
        <v>46008</v>
      </c>
      <c r="I465" t="s">
        <v>13</v>
      </c>
      <c r="J465">
        <v>3.75</v>
      </c>
      <c r="K465" s="3">
        <v>119.18</v>
      </c>
    </row>
    <row r="466" spans="1:11" x14ac:dyDescent="0.25">
      <c r="A466">
        <v>444404</v>
      </c>
      <c r="B466" t="s">
        <v>79</v>
      </c>
      <c r="C466" s="3">
        <v>16.91</v>
      </c>
      <c r="D466" s="3">
        <v>15.94</v>
      </c>
      <c r="E466" s="3">
        <v>0</v>
      </c>
      <c r="F466">
        <v>24</v>
      </c>
      <c r="G466" t="s">
        <v>15</v>
      </c>
      <c r="H466" s="4">
        <v>46008</v>
      </c>
      <c r="I466" t="s">
        <v>21</v>
      </c>
      <c r="J466">
        <v>3.75</v>
      </c>
      <c r="K466" s="3">
        <v>151.91</v>
      </c>
    </row>
    <row r="467" spans="1:11" x14ac:dyDescent="0.25">
      <c r="A467">
        <v>444404</v>
      </c>
      <c r="B467" t="s">
        <v>79</v>
      </c>
      <c r="C467" s="3">
        <v>16.91</v>
      </c>
      <c r="D467" s="3">
        <v>15.94</v>
      </c>
      <c r="E467" s="3">
        <v>0</v>
      </c>
      <c r="F467">
        <v>24</v>
      </c>
      <c r="G467" t="s">
        <v>15</v>
      </c>
      <c r="H467" s="4">
        <v>46009</v>
      </c>
      <c r="I467" t="s">
        <v>13</v>
      </c>
      <c r="J467">
        <v>3.75</v>
      </c>
      <c r="K467" s="3">
        <v>119.18</v>
      </c>
    </row>
    <row r="468" spans="1:11" x14ac:dyDescent="0.25">
      <c r="A468">
        <v>444404</v>
      </c>
      <c r="B468" t="s">
        <v>79</v>
      </c>
      <c r="C468" s="3">
        <v>16.91</v>
      </c>
      <c r="D468" s="3">
        <v>15.94</v>
      </c>
      <c r="E468" s="3">
        <v>0</v>
      </c>
      <c r="F468">
        <v>24</v>
      </c>
      <c r="G468" t="s">
        <v>15</v>
      </c>
      <c r="H468" s="4">
        <v>46009</v>
      </c>
      <c r="I468" t="s">
        <v>21</v>
      </c>
      <c r="J468">
        <v>4.5</v>
      </c>
      <c r="K468" s="3">
        <v>182.3</v>
      </c>
    </row>
    <row r="469" spans="1:11" x14ac:dyDescent="0.25">
      <c r="A469">
        <v>444404</v>
      </c>
      <c r="B469" t="s">
        <v>79</v>
      </c>
      <c r="C469" s="3">
        <v>16.91</v>
      </c>
      <c r="D469" s="3">
        <v>15.94</v>
      </c>
      <c r="E469" s="3">
        <v>0</v>
      </c>
      <c r="F469">
        <v>24</v>
      </c>
      <c r="G469" t="s">
        <v>15</v>
      </c>
      <c r="H469" s="4">
        <v>46010</v>
      </c>
      <c r="I469" t="s">
        <v>13</v>
      </c>
      <c r="J469">
        <v>3.75</v>
      </c>
      <c r="K469" s="3">
        <v>119.18</v>
      </c>
    </row>
    <row r="470" spans="1:11" x14ac:dyDescent="0.25">
      <c r="A470">
        <v>444404</v>
      </c>
      <c r="B470" t="s">
        <v>79</v>
      </c>
      <c r="C470" s="3">
        <v>16.91</v>
      </c>
      <c r="D470" s="3">
        <v>15.94</v>
      </c>
      <c r="E470" s="3">
        <v>0</v>
      </c>
      <c r="F470">
        <v>24</v>
      </c>
      <c r="G470" t="s">
        <v>15</v>
      </c>
      <c r="H470" s="4">
        <v>46010</v>
      </c>
      <c r="I470" t="s">
        <v>21</v>
      </c>
      <c r="J470">
        <v>1.25</v>
      </c>
      <c r="K470" s="3">
        <v>50.64</v>
      </c>
    </row>
    <row r="471" spans="1:11" x14ac:dyDescent="0.25">
      <c r="A471">
        <v>444572</v>
      </c>
      <c r="B471" t="s">
        <v>80</v>
      </c>
      <c r="C471" s="3">
        <v>15.89</v>
      </c>
      <c r="D471" s="3">
        <v>14.98</v>
      </c>
      <c r="E471" s="3">
        <v>0</v>
      </c>
      <c r="F471">
        <v>24</v>
      </c>
      <c r="G471" t="s">
        <v>15</v>
      </c>
      <c r="H471" s="4">
        <v>46006</v>
      </c>
      <c r="I471" t="s">
        <v>13</v>
      </c>
      <c r="J471">
        <v>2</v>
      </c>
      <c r="K471" s="3">
        <v>60.08</v>
      </c>
    </row>
    <row r="472" spans="1:11" x14ac:dyDescent="0.25">
      <c r="A472">
        <v>444572</v>
      </c>
      <c r="B472" t="s">
        <v>80</v>
      </c>
      <c r="C472" s="3">
        <v>15.89</v>
      </c>
      <c r="D472" s="3">
        <v>14.98</v>
      </c>
      <c r="E472" s="3">
        <v>0</v>
      </c>
      <c r="F472">
        <v>24</v>
      </c>
      <c r="G472" t="s">
        <v>15</v>
      </c>
      <c r="H472" s="4">
        <v>46006</v>
      </c>
      <c r="I472" t="s">
        <v>21</v>
      </c>
      <c r="J472">
        <v>4.75</v>
      </c>
      <c r="K472" s="3">
        <v>181.64</v>
      </c>
    </row>
    <row r="473" spans="1:11" x14ac:dyDescent="0.25">
      <c r="A473">
        <v>444572</v>
      </c>
      <c r="B473" t="s">
        <v>80</v>
      </c>
      <c r="C473" s="3">
        <v>15.89</v>
      </c>
      <c r="D473" s="3">
        <v>14.98</v>
      </c>
      <c r="E473" s="3">
        <v>0</v>
      </c>
      <c r="F473">
        <v>24</v>
      </c>
      <c r="G473" t="s">
        <v>15</v>
      </c>
      <c r="H473" s="4">
        <v>46007</v>
      </c>
      <c r="I473" t="s">
        <v>13</v>
      </c>
      <c r="J473">
        <v>2.25</v>
      </c>
      <c r="K473" s="3">
        <v>67.59</v>
      </c>
    </row>
    <row r="474" spans="1:11" x14ac:dyDescent="0.25">
      <c r="A474">
        <v>444572</v>
      </c>
      <c r="B474" t="s">
        <v>80</v>
      </c>
      <c r="C474" s="3">
        <v>15.89</v>
      </c>
      <c r="D474" s="3">
        <v>14.98</v>
      </c>
      <c r="E474" s="3">
        <v>0</v>
      </c>
      <c r="F474">
        <v>24</v>
      </c>
      <c r="G474" t="s">
        <v>15</v>
      </c>
      <c r="H474" s="4">
        <v>46007</v>
      </c>
      <c r="I474" t="s">
        <v>21</v>
      </c>
      <c r="J474">
        <v>5</v>
      </c>
      <c r="K474" s="3">
        <v>191.2</v>
      </c>
    </row>
    <row r="475" spans="1:11" x14ac:dyDescent="0.25">
      <c r="A475">
        <v>444572</v>
      </c>
      <c r="B475" t="s">
        <v>80</v>
      </c>
      <c r="C475" s="3">
        <v>15.89</v>
      </c>
      <c r="D475" s="3">
        <v>14.98</v>
      </c>
      <c r="E475" s="3">
        <v>0</v>
      </c>
      <c r="F475">
        <v>24</v>
      </c>
      <c r="G475" t="s">
        <v>15</v>
      </c>
      <c r="H475" s="4">
        <v>46008</v>
      </c>
      <c r="I475" t="s">
        <v>13</v>
      </c>
      <c r="J475">
        <v>2.5</v>
      </c>
      <c r="K475" s="3">
        <v>75.099999999999994</v>
      </c>
    </row>
    <row r="476" spans="1:11" x14ac:dyDescent="0.25">
      <c r="A476">
        <v>444572</v>
      </c>
      <c r="B476" t="s">
        <v>80</v>
      </c>
      <c r="C476" s="3">
        <v>15.89</v>
      </c>
      <c r="D476" s="3">
        <v>14.98</v>
      </c>
      <c r="E476" s="3">
        <v>0</v>
      </c>
      <c r="F476">
        <v>24</v>
      </c>
      <c r="G476" t="s">
        <v>15</v>
      </c>
      <c r="H476" s="4">
        <v>46008</v>
      </c>
      <c r="I476" t="s">
        <v>21</v>
      </c>
      <c r="J476">
        <v>3.5</v>
      </c>
      <c r="K476" s="3">
        <v>133.84</v>
      </c>
    </row>
    <row r="477" spans="1:11" x14ac:dyDescent="0.25">
      <c r="A477">
        <v>444572</v>
      </c>
      <c r="B477" t="s">
        <v>80</v>
      </c>
      <c r="C477" s="3">
        <v>15.89</v>
      </c>
      <c r="D477" s="3">
        <v>14.98</v>
      </c>
      <c r="E477" s="3">
        <v>0</v>
      </c>
      <c r="F477">
        <v>24</v>
      </c>
      <c r="G477" t="s">
        <v>15</v>
      </c>
      <c r="H477" s="4">
        <v>46009</v>
      </c>
      <c r="I477" t="s">
        <v>13</v>
      </c>
      <c r="J477">
        <v>2.25</v>
      </c>
      <c r="K477" s="3">
        <v>67.59</v>
      </c>
    </row>
    <row r="478" spans="1:11" x14ac:dyDescent="0.25">
      <c r="A478">
        <v>444572</v>
      </c>
      <c r="B478" t="s">
        <v>80</v>
      </c>
      <c r="C478" s="3">
        <v>15.89</v>
      </c>
      <c r="D478" s="3">
        <v>14.98</v>
      </c>
      <c r="E478" s="3">
        <v>0</v>
      </c>
      <c r="F478">
        <v>24</v>
      </c>
      <c r="G478" t="s">
        <v>15</v>
      </c>
      <c r="H478" s="4">
        <v>46009</v>
      </c>
      <c r="I478" t="s">
        <v>21</v>
      </c>
      <c r="J478">
        <v>5</v>
      </c>
      <c r="K478" s="3">
        <v>191.2</v>
      </c>
    </row>
    <row r="479" spans="1:11" x14ac:dyDescent="0.25">
      <c r="A479">
        <v>444572</v>
      </c>
      <c r="B479" t="s">
        <v>80</v>
      </c>
      <c r="C479" s="3">
        <v>15.89</v>
      </c>
      <c r="D479" s="3">
        <v>14.98</v>
      </c>
      <c r="E479" s="3">
        <v>0</v>
      </c>
      <c r="F479">
        <v>24</v>
      </c>
      <c r="G479" t="s">
        <v>15</v>
      </c>
      <c r="H479" s="4">
        <v>46010</v>
      </c>
      <c r="I479" t="s">
        <v>13</v>
      </c>
      <c r="J479">
        <v>2.25</v>
      </c>
      <c r="K479" s="3">
        <v>67.59</v>
      </c>
    </row>
    <row r="480" spans="1:11" x14ac:dyDescent="0.25">
      <c r="A480">
        <v>444572</v>
      </c>
      <c r="B480" t="s">
        <v>80</v>
      </c>
      <c r="C480" s="3">
        <v>15.89</v>
      </c>
      <c r="D480" s="3">
        <v>14.98</v>
      </c>
      <c r="E480" s="3">
        <v>0</v>
      </c>
      <c r="F480">
        <v>24</v>
      </c>
      <c r="G480" t="s">
        <v>15</v>
      </c>
      <c r="H480" s="4">
        <v>46010</v>
      </c>
      <c r="I480" t="s">
        <v>21</v>
      </c>
      <c r="J480">
        <v>3.75</v>
      </c>
      <c r="K480" s="3">
        <v>143.4</v>
      </c>
    </row>
    <row r="481" spans="1:11" x14ac:dyDescent="0.25">
      <c r="A481">
        <v>446563</v>
      </c>
      <c r="B481" t="s">
        <v>81</v>
      </c>
      <c r="C481" s="3">
        <v>16.91</v>
      </c>
      <c r="D481" s="3">
        <v>15.94</v>
      </c>
      <c r="E481" s="3">
        <v>0</v>
      </c>
      <c r="F481">
        <v>20</v>
      </c>
      <c r="G481" t="s">
        <v>15</v>
      </c>
      <c r="H481" s="4">
        <v>46006</v>
      </c>
      <c r="I481" t="s">
        <v>13</v>
      </c>
      <c r="J481">
        <v>3.5</v>
      </c>
      <c r="K481" s="3">
        <v>111.23</v>
      </c>
    </row>
    <row r="482" spans="1:11" x14ac:dyDescent="0.25">
      <c r="A482">
        <v>446563</v>
      </c>
      <c r="B482" t="s">
        <v>81</v>
      </c>
      <c r="C482" s="3">
        <v>16.91</v>
      </c>
      <c r="D482" s="3">
        <v>15.94</v>
      </c>
      <c r="E482" s="3">
        <v>0</v>
      </c>
      <c r="F482">
        <v>20</v>
      </c>
      <c r="G482" t="s">
        <v>15</v>
      </c>
      <c r="H482" s="4">
        <v>46006</v>
      </c>
      <c r="I482" t="s">
        <v>21</v>
      </c>
      <c r="J482">
        <v>5.25</v>
      </c>
      <c r="K482" s="3">
        <v>212.68</v>
      </c>
    </row>
    <row r="483" spans="1:11" x14ac:dyDescent="0.25">
      <c r="A483">
        <v>446563</v>
      </c>
      <c r="B483" t="s">
        <v>81</v>
      </c>
      <c r="C483" s="3">
        <v>16.91</v>
      </c>
      <c r="D483" s="3">
        <v>15.94</v>
      </c>
      <c r="E483" s="3">
        <v>0</v>
      </c>
      <c r="F483">
        <v>20</v>
      </c>
      <c r="G483" t="s">
        <v>15</v>
      </c>
      <c r="H483" s="4">
        <v>46007</v>
      </c>
      <c r="I483" t="s">
        <v>13</v>
      </c>
      <c r="J483">
        <v>2.5</v>
      </c>
      <c r="K483" s="3">
        <v>79.45</v>
      </c>
    </row>
    <row r="484" spans="1:11" x14ac:dyDescent="0.25">
      <c r="A484">
        <v>446563</v>
      </c>
      <c r="B484" t="s">
        <v>81</v>
      </c>
      <c r="C484" s="3">
        <v>16.91</v>
      </c>
      <c r="D484" s="3">
        <v>15.94</v>
      </c>
      <c r="E484" s="3">
        <v>0</v>
      </c>
      <c r="F484">
        <v>20</v>
      </c>
      <c r="G484" t="s">
        <v>15</v>
      </c>
      <c r="H484" s="4">
        <v>46007</v>
      </c>
      <c r="I484" t="s">
        <v>21</v>
      </c>
      <c r="J484">
        <v>5.5</v>
      </c>
      <c r="K484" s="3">
        <v>222.81</v>
      </c>
    </row>
    <row r="485" spans="1:11" x14ac:dyDescent="0.25">
      <c r="A485">
        <v>446563</v>
      </c>
      <c r="B485" t="s">
        <v>81</v>
      </c>
      <c r="C485" s="3">
        <v>16.91</v>
      </c>
      <c r="D485" s="3">
        <v>15.94</v>
      </c>
      <c r="E485" s="3">
        <v>0</v>
      </c>
      <c r="F485">
        <v>20</v>
      </c>
      <c r="G485" t="s">
        <v>15</v>
      </c>
      <c r="H485" s="4">
        <v>46007</v>
      </c>
      <c r="I485" t="s">
        <v>22</v>
      </c>
      <c r="J485">
        <v>0.5</v>
      </c>
      <c r="K485" s="3">
        <v>20.52</v>
      </c>
    </row>
    <row r="486" spans="1:11" x14ac:dyDescent="0.25">
      <c r="A486">
        <v>446563</v>
      </c>
      <c r="B486" t="s">
        <v>81</v>
      </c>
      <c r="C486" s="3">
        <v>16.91</v>
      </c>
      <c r="D486" s="3">
        <v>15.94</v>
      </c>
      <c r="E486" s="3">
        <v>0</v>
      </c>
      <c r="F486">
        <v>20</v>
      </c>
      <c r="G486" t="s">
        <v>15</v>
      </c>
      <c r="H486" s="4">
        <v>46008</v>
      </c>
      <c r="I486" t="s">
        <v>13</v>
      </c>
      <c r="J486">
        <v>0.75</v>
      </c>
      <c r="K486" s="3">
        <v>23.84</v>
      </c>
    </row>
    <row r="487" spans="1:11" x14ac:dyDescent="0.25">
      <c r="A487">
        <v>446563</v>
      </c>
      <c r="B487" t="s">
        <v>81</v>
      </c>
      <c r="C487" s="3">
        <v>16.91</v>
      </c>
      <c r="D487" s="3">
        <v>15.94</v>
      </c>
      <c r="E487" s="3">
        <v>0</v>
      </c>
      <c r="F487">
        <v>20</v>
      </c>
      <c r="G487" t="s">
        <v>15</v>
      </c>
      <c r="H487" s="4">
        <v>46008</v>
      </c>
      <c r="I487" t="s">
        <v>21</v>
      </c>
      <c r="J487">
        <v>5.5</v>
      </c>
      <c r="K487" s="3">
        <v>222.81</v>
      </c>
    </row>
    <row r="488" spans="1:11" x14ac:dyDescent="0.25">
      <c r="A488">
        <v>446563</v>
      </c>
      <c r="B488" t="s">
        <v>81</v>
      </c>
      <c r="C488" s="3">
        <v>16.91</v>
      </c>
      <c r="D488" s="3">
        <v>15.94</v>
      </c>
      <c r="E488" s="3">
        <v>0</v>
      </c>
      <c r="F488">
        <v>20</v>
      </c>
      <c r="G488" t="s">
        <v>15</v>
      </c>
      <c r="H488" s="4">
        <v>46008</v>
      </c>
      <c r="I488" t="s">
        <v>22</v>
      </c>
      <c r="J488">
        <v>1.25</v>
      </c>
      <c r="K488" s="3">
        <v>51.3</v>
      </c>
    </row>
    <row r="489" spans="1:11" x14ac:dyDescent="0.25">
      <c r="A489">
        <v>446563</v>
      </c>
      <c r="B489" t="s">
        <v>81</v>
      </c>
      <c r="C489" s="3">
        <v>16.91</v>
      </c>
      <c r="D489" s="3">
        <v>15.94</v>
      </c>
      <c r="E489" s="3">
        <v>0</v>
      </c>
      <c r="F489">
        <v>20</v>
      </c>
      <c r="G489" t="s">
        <v>15</v>
      </c>
      <c r="H489" s="4">
        <v>46008</v>
      </c>
      <c r="I489" t="s">
        <v>23</v>
      </c>
      <c r="J489">
        <v>1.5</v>
      </c>
      <c r="K489" s="3">
        <v>45.36</v>
      </c>
    </row>
    <row r="490" spans="1:11" x14ac:dyDescent="0.25">
      <c r="A490">
        <v>446563</v>
      </c>
      <c r="B490" t="s">
        <v>81</v>
      </c>
      <c r="C490" s="3">
        <v>16.91</v>
      </c>
      <c r="D490" s="3">
        <v>15.94</v>
      </c>
      <c r="E490" s="3">
        <v>0</v>
      </c>
      <c r="F490">
        <v>20</v>
      </c>
      <c r="G490" t="s">
        <v>15</v>
      </c>
      <c r="H490" s="4">
        <v>46009</v>
      </c>
      <c r="I490" t="s">
        <v>13</v>
      </c>
      <c r="J490">
        <v>2.5</v>
      </c>
      <c r="K490" s="3">
        <v>79.45</v>
      </c>
    </row>
    <row r="491" spans="1:11" x14ac:dyDescent="0.25">
      <c r="A491">
        <v>446563</v>
      </c>
      <c r="B491" t="s">
        <v>81</v>
      </c>
      <c r="C491" s="3">
        <v>16.91</v>
      </c>
      <c r="D491" s="3">
        <v>15.94</v>
      </c>
      <c r="E491" s="3">
        <v>0</v>
      </c>
      <c r="F491">
        <v>20</v>
      </c>
      <c r="G491" t="s">
        <v>15</v>
      </c>
      <c r="H491" s="4">
        <v>46009</v>
      </c>
      <c r="I491" t="s">
        <v>21</v>
      </c>
      <c r="J491">
        <v>5.5</v>
      </c>
      <c r="K491" s="3">
        <v>222.81</v>
      </c>
    </row>
    <row r="492" spans="1:11" x14ac:dyDescent="0.25">
      <c r="A492">
        <v>446563</v>
      </c>
      <c r="B492" t="s">
        <v>81</v>
      </c>
      <c r="C492" s="3">
        <v>16.91</v>
      </c>
      <c r="D492" s="3">
        <v>15.94</v>
      </c>
      <c r="E492" s="3">
        <v>0</v>
      </c>
      <c r="F492">
        <v>20</v>
      </c>
      <c r="G492" t="s">
        <v>15</v>
      </c>
      <c r="H492" s="4">
        <v>46009</v>
      </c>
      <c r="I492" t="s">
        <v>22</v>
      </c>
      <c r="J492">
        <v>1</v>
      </c>
      <c r="K492" s="3">
        <v>41.04</v>
      </c>
    </row>
    <row r="493" spans="1:11" x14ac:dyDescent="0.25">
      <c r="A493">
        <v>446563</v>
      </c>
      <c r="B493" t="s">
        <v>81</v>
      </c>
      <c r="C493" s="3">
        <v>16.91</v>
      </c>
      <c r="D493" s="3">
        <v>15.94</v>
      </c>
      <c r="E493" s="3">
        <v>0</v>
      </c>
      <c r="F493">
        <v>20</v>
      </c>
      <c r="G493" t="s">
        <v>15</v>
      </c>
      <c r="H493" s="4">
        <v>46010</v>
      </c>
      <c r="I493" t="s">
        <v>13</v>
      </c>
      <c r="J493">
        <v>2.5</v>
      </c>
      <c r="K493" s="3">
        <v>79.45</v>
      </c>
    </row>
    <row r="494" spans="1:11" x14ac:dyDescent="0.25">
      <c r="A494">
        <v>446563</v>
      </c>
      <c r="B494" t="s">
        <v>81</v>
      </c>
      <c r="C494" s="3">
        <v>16.91</v>
      </c>
      <c r="D494" s="3">
        <v>15.94</v>
      </c>
      <c r="E494" s="3">
        <v>0</v>
      </c>
      <c r="F494">
        <v>20</v>
      </c>
      <c r="G494" t="s">
        <v>15</v>
      </c>
      <c r="H494" s="4">
        <v>46010</v>
      </c>
      <c r="I494" t="s">
        <v>21</v>
      </c>
      <c r="J494">
        <v>3.75</v>
      </c>
      <c r="K494" s="3">
        <v>151.91</v>
      </c>
    </row>
    <row r="495" spans="1:11" x14ac:dyDescent="0.25">
      <c r="A495">
        <v>446563</v>
      </c>
      <c r="B495" t="s">
        <v>81</v>
      </c>
      <c r="C495" s="3">
        <v>16.91</v>
      </c>
      <c r="D495" s="3">
        <v>15.94</v>
      </c>
      <c r="E495" s="3">
        <v>0</v>
      </c>
      <c r="F495">
        <v>20</v>
      </c>
      <c r="G495" t="s">
        <v>15</v>
      </c>
      <c r="H495" s="4">
        <v>46011</v>
      </c>
      <c r="I495" t="s">
        <v>24</v>
      </c>
      <c r="J495">
        <v>3.25</v>
      </c>
      <c r="K495" s="3">
        <v>126.36</v>
      </c>
    </row>
    <row r="496" spans="1:11" x14ac:dyDescent="0.25">
      <c r="A496">
        <v>446709</v>
      </c>
      <c r="B496" t="s">
        <v>82</v>
      </c>
      <c r="C496" s="3">
        <v>15.89</v>
      </c>
      <c r="D496" s="3">
        <v>14.98</v>
      </c>
      <c r="E496" s="3">
        <v>0</v>
      </c>
      <c r="F496">
        <v>20</v>
      </c>
      <c r="G496" t="s">
        <v>15</v>
      </c>
      <c r="H496" s="4">
        <v>46006</v>
      </c>
      <c r="I496" t="s">
        <v>13</v>
      </c>
      <c r="J496">
        <v>2.5</v>
      </c>
      <c r="K496" s="3">
        <v>75.099999999999994</v>
      </c>
    </row>
    <row r="497" spans="1:11" x14ac:dyDescent="0.25">
      <c r="A497">
        <v>446709</v>
      </c>
      <c r="B497" t="s">
        <v>82</v>
      </c>
      <c r="C497" s="3">
        <v>15.89</v>
      </c>
      <c r="D497" s="3">
        <v>14.98</v>
      </c>
      <c r="E497" s="3">
        <v>0</v>
      </c>
      <c r="F497">
        <v>20</v>
      </c>
      <c r="G497" t="s">
        <v>15</v>
      </c>
      <c r="H497" s="4">
        <v>46006</v>
      </c>
      <c r="I497" t="s">
        <v>21</v>
      </c>
      <c r="J497">
        <v>5.5</v>
      </c>
      <c r="K497" s="3">
        <v>210.32</v>
      </c>
    </row>
    <row r="498" spans="1:11" x14ac:dyDescent="0.25">
      <c r="A498">
        <v>446709</v>
      </c>
      <c r="B498" t="s">
        <v>82</v>
      </c>
      <c r="C498" s="3">
        <v>15.89</v>
      </c>
      <c r="D498" s="3">
        <v>14.98</v>
      </c>
      <c r="E498" s="3">
        <v>0</v>
      </c>
      <c r="F498">
        <v>20</v>
      </c>
      <c r="G498" t="s">
        <v>15</v>
      </c>
      <c r="H498" s="4">
        <v>46006</v>
      </c>
      <c r="I498" t="s">
        <v>22</v>
      </c>
      <c r="J498">
        <v>0.5</v>
      </c>
      <c r="K498" s="3">
        <v>19.37</v>
      </c>
    </row>
    <row r="499" spans="1:11" x14ac:dyDescent="0.25">
      <c r="A499">
        <v>446709</v>
      </c>
      <c r="B499" t="s">
        <v>82</v>
      </c>
      <c r="C499" s="3">
        <v>15.89</v>
      </c>
      <c r="D499" s="3">
        <v>14.98</v>
      </c>
      <c r="E499" s="3">
        <v>0</v>
      </c>
      <c r="F499">
        <v>20</v>
      </c>
      <c r="G499" t="s">
        <v>15</v>
      </c>
      <c r="H499" s="4">
        <v>46007</v>
      </c>
      <c r="I499" t="s">
        <v>13</v>
      </c>
      <c r="J499">
        <v>2.75</v>
      </c>
      <c r="K499" s="3">
        <v>82.61</v>
      </c>
    </row>
    <row r="500" spans="1:11" x14ac:dyDescent="0.25">
      <c r="A500">
        <v>446709</v>
      </c>
      <c r="B500" t="s">
        <v>82</v>
      </c>
      <c r="C500" s="3">
        <v>15.89</v>
      </c>
      <c r="D500" s="3">
        <v>14.98</v>
      </c>
      <c r="E500" s="3">
        <v>0</v>
      </c>
      <c r="F500">
        <v>20</v>
      </c>
      <c r="G500" t="s">
        <v>15</v>
      </c>
      <c r="H500" s="4">
        <v>46007</v>
      </c>
      <c r="I500" t="s">
        <v>21</v>
      </c>
      <c r="J500">
        <v>4.75</v>
      </c>
      <c r="K500" s="3">
        <v>181.64</v>
      </c>
    </row>
    <row r="501" spans="1:11" x14ac:dyDescent="0.25">
      <c r="A501">
        <v>446709</v>
      </c>
      <c r="B501" t="s">
        <v>82</v>
      </c>
      <c r="C501" s="3">
        <v>15.89</v>
      </c>
      <c r="D501" s="3">
        <v>14.98</v>
      </c>
      <c r="E501" s="3">
        <v>0</v>
      </c>
      <c r="F501">
        <v>20</v>
      </c>
      <c r="G501" t="s">
        <v>15</v>
      </c>
      <c r="H501" s="4">
        <v>46008</v>
      </c>
      <c r="I501" t="s">
        <v>13</v>
      </c>
      <c r="J501">
        <v>2.5</v>
      </c>
      <c r="K501" s="3">
        <v>75.099999999999994</v>
      </c>
    </row>
    <row r="502" spans="1:11" x14ac:dyDescent="0.25">
      <c r="A502">
        <v>446709</v>
      </c>
      <c r="B502" t="s">
        <v>82</v>
      </c>
      <c r="C502" s="3">
        <v>15.89</v>
      </c>
      <c r="D502" s="3">
        <v>14.98</v>
      </c>
      <c r="E502" s="3">
        <v>0</v>
      </c>
      <c r="F502">
        <v>20</v>
      </c>
      <c r="G502" t="s">
        <v>15</v>
      </c>
      <c r="H502" s="4">
        <v>46008</v>
      </c>
      <c r="I502" t="s">
        <v>21</v>
      </c>
      <c r="J502">
        <v>5.5</v>
      </c>
      <c r="K502" s="3">
        <v>210.32</v>
      </c>
    </row>
    <row r="503" spans="1:11" x14ac:dyDescent="0.25">
      <c r="A503">
        <v>446709</v>
      </c>
      <c r="B503" t="s">
        <v>82</v>
      </c>
      <c r="C503" s="3">
        <v>15.89</v>
      </c>
      <c r="D503" s="3">
        <v>14.98</v>
      </c>
      <c r="E503" s="3">
        <v>0</v>
      </c>
      <c r="F503">
        <v>20</v>
      </c>
      <c r="G503" t="s">
        <v>15</v>
      </c>
      <c r="H503" s="4">
        <v>46008</v>
      </c>
      <c r="I503" t="s">
        <v>22</v>
      </c>
      <c r="J503">
        <v>1</v>
      </c>
      <c r="K503" s="3">
        <v>38.74</v>
      </c>
    </row>
    <row r="504" spans="1:11" x14ac:dyDescent="0.25">
      <c r="A504">
        <v>446709</v>
      </c>
      <c r="B504" t="s">
        <v>82</v>
      </c>
      <c r="C504" s="3">
        <v>15.89</v>
      </c>
      <c r="D504" s="3">
        <v>14.98</v>
      </c>
      <c r="E504" s="3">
        <v>0</v>
      </c>
      <c r="F504">
        <v>20</v>
      </c>
      <c r="G504" t="s">
        <v>15</v>
      </c>
      <c r="H504" s="4">
        <v>46009</v>
      </c>
      <c r="I504" t="s">
        <v>13</v>
      </c>
      <c r="J504">
        <v>1</v>
      </c>
      <c r="K504" s="3">
        <v>30.04</v>
      </c>
    </row>
    <row r="505" spans="1:11" x14ac:dyDescent="0.25">
      <c r="A505">
        <v>446709</v>
      </c>
      <c r="B505" t="s">
        <v>82</v>
      </c>
      <c r="C505" s="3">
        <v>15.89</v>
      </c>
      <c r="D505" s="3">
        <v>14.98</v>
      </c>
      <c r="E505" s="3">
        <v>0</v>
      </c>
      <c r="F505">
        <v>20</v>
      </c>
      <c r="G505" t="s">
        <v>15</v>
      </c>
      <c r="H505" s="4">
        <v>46009</v>
      </c>
      <c r="I505" t="s">
        <v>21</v>
      </c>
      <c r="J505">
        <v>5.25</v>
      </c>
      <c r="K505" s="3">
        <v>200.76</v>
      </c>
    </row>
    <row r="506" spans="1:11" x14ac:dyDescent="0.25">
      <c r="A506">
        <v>446709</v>
      </c>
      <c r="B506" t="s">
        <v>82</v>
      </c>
      <c r="C506" s="3">
        <v>15.89</v>
      </c>
      <c r="D506" s="3">
        <v>14.98</v>
      </c>
      <c r="E506" s="3">
        <v>0</v>
      </c>
      <c r="F506">
        <v>20</v>
      </c>
      <c r="G506" t="s">
        <v>15</v>
      </c>
      <c r="H506" s="4">
        <v>46009</v>
      </c>
      <c r="I506" t="s">
        <v>22</v>
      </c>
      <c r="J506">
        <v>1.25</v>
      </c>
      <c r="K506" s="3">
        <v>48.43</v>
      </c>
    </row>
    <row r="507" spans="1:11" x14ac:dyDescent="0.25">
      <c r="A507">
        <v>446709</v>
      </c>
      <c r="B507" t="s">
        <v>82</v>
      </c>
      <c r="C507" s="3">
        <v>15.89</v>
      </c>
      <c r="D507" s="3">
        <v>14.98</v>
      </c>
      <c r="E507" s="3">
        <v>0</v>
      </c>
      <c r="F507">
        <v>20</v>
      </c>
      <c r="G507" t="s">
        <v>15</v>
      </c>
      <c r="H507" s="4">
        <v>46009</v>
      </c>
      <c r="I507" t="s">
        <v>23</v>
      </c>
      <c r="J507">
        <v>1.5</v>
      </c>
      <c r="K507" s="3">
        <v>42.63</v>
      </c>
    </row>
    <row r="508" spans="1:11" x14ac:dyDescent="0.25">
      <c r="A508">
        <v>446709</v>
      </c>
      <c r="B508" t="s">
        <v>82</v>
      </c>
      <c r="C508" s="3">
        <v>15.89</v>
      </c>
      <c r="D508" s="3">
        <v>14.98</v>
      </c>
      <c r="E508" s="3">
        <v>0</v>
      </c>
      <c r="F508">
        <v>20</v>
      </c>
      <c r="G508" t="s">
        <v>15</v>
      </c>
      <c r="H508" s="4">
        <v>46010</v>
      </c>
      <c r="I508" t="s">
        <v>13</v>
      </c>
      <c r="J508">
        <v>2.5</v>
      </c>
      <c r="K508" s="3">
        <v>75.099999999999994</v>
      </c>
    </row>
    <row r="509" spans="1:11" x14ac:dyDescent="0.25">
      <c r="A509">
        <v>446709</v>
      </c>
      <c r="B509" t="s">
        <v>82</v>
      </c>
      <c r="C509" s="3">
        <v>15.89</v>
      </c>
      <c r="D509" s="3">
        <v>14.98</v>
      </c>
      <c r="E509" s="3">
        <v>0</v>
      </c>
      <c r="F509">
        <v>20</v>
      </c>
      <c r="G509" t="s">
        <v>15</v>
      </c>
      <c r="H509" s="4">
        <v>46010</v>
      </c>
      <c r="I509" t="s">
        <v>21</v>
      </c>
      <c r="J509">
        <v>5</v>
      </c>
      <c r="K509" s="3">
        <v>191.2</v>
      </c>
    </row>
    <row r="510" spans="1:11" x14ac:dyDescent="0.25">
      <c r="A510">
        <v>449699</v>
      </c>
      <c r="B510" t="s">
        <v>83</v>
      </c>
      <c r="C510" s="3">
        <v>15.89</v>
      </c>
      <c r="D510" s="3">
        <v>14.98</v>
      </c>
      <c r="E510" s="3">
        <v>0</v>
      </c>
      <c r="F510">
        <v>1</v>
      </c>
      <c r="G510" t="s">
        <v>15</v>
      </c>
      <c r="H510" s="4">
        <v>46006</v>
      </c>
      <c r="I510" t="s">
        <v>13</v>
      </c>
      <c r="J510">
        <v>6.25</v>
      </c>
      <c r="K510" s="3">
        <v>187.75</v>
      </c>
    </row>
    <row r="511" spans="1:11" x14ac:dyDescent="0.25">
      <c r="A511">
        <v>449699</v>
      </c>
      <c r="B511" t="s">
        <v>83</v>
      </c>
      <c r="C511" s="3">
        <v>15.89</v>
      </c>
      <c r="D511" s="3">
        <v>14.98</v>
      </c>
      <c r="E511" s="3">
        <v>0</v>
      </c>
      <c r="F511">
        <v>1</v>
      </c>
      <c r="G511" t="s">
        <v>15</v>
      </c>
      <c r="H511" s="4">
        <v>46007</v>
      </c>
      <c r="I511" t="s">
        <v>13</v>
      </c>
      <c r="J511">
        <v>8.5</v>
      </c>
      <c r="K511" s="3">
        <v>255.34</v>
      </c>
    </row>
    <row r="512" spans="1:11" x14ac:dyDescent="0.25">
      <c r="A512">
        <v>449699</v>
      </c>
      <c r="B512" t="s">
        <v>83</v>
      </c>
      <c r="C512" s="3">
        <v>15.89</v>
      </c>
      <c r="D512" s="3">
        <v>14.98</v>
      </c>
      <c r="E512" s="3">
        <v>0</v>
      </c>
      <c r="F512">
        <v>1</v>
      </c>
      <c r="G512" t="s">
        <v>15</v>
      </c>
      <c r="H512" s="4">
        <v>46008</v>
      </c>
      <c r="I512" t="s">
        <v>13</v>
      </c>
      <c r="J512">
        <v>7.75</v>
      </c>
      <c r="K512" s="3">
        <v>232.81</v>
      </c>
    </row>
    <row r="513" spans="1:11" x14ac:dyDescent="0.25">
      <c r="A513">
        <v>449699</v>
      </c>
      <c r="B513" t="s">
        <v>83</v>
      </c>
      <c r="C513" s="3">
        <v>15.89</v>
      </c>
      <c r="D513" s="3">
        <v>14.98</v>
      </c>
      <c r="E513" s="3">
        <v>0</v>
      </c>
      <c r="F513">
        <v>1</v>
      </c>
      <c r="G513" t="s">
        <v>15</v>
      </c>
      <c r="H513" s="4">
        <v>46009</v>
      </c>
      <c r="I513" t="s">
        <v>13</v>
      </c>
      <c r="J513">
        <v>8</v>
      </c>
      <c r="K513" s="3">
        <v>240.32</v>
      </c>
    </row>
    <row r="514" spans="1:11" x14ac:dyDescent="0.25">
      <c r="A514">
        <v>449699</v>
      </c>
      <c r="B514" t="s">
        <v>83</v>
      </c>
      <c r="C514" s="3">
        <v>15.89</v>
      </c>
      <c r="D514" s="3">
        <v>14.98</v>
      </c>
      <c r="E514" s="3">
        <v>0</v>
      </c>
      <c r="F514">
        <v>1</v>
      </c>
      <c r="G514" t="s">
        <v>15</v>
      </c>
      <c r="H514" s="4">
        <v>46010</v>
      </c>
      <c r="I514" t="s">
        <v>13</v>
      </c>
      <c r="J514">
        <v>8</v>
      </c>
      <c r="K514" s="3">
        <v>240.32</v>
      </c>
    </row>
    <row r="515" spans="1:11" x14ac:dyDescent="0.25">
      <c r="A515">
        <v>449699</v>
      </c>
      <c r="B515" t="s">
        <v>83</v>
      </c>
      <c r="C515" s="3">
        <v>15.89</v>
      </c>
      <c r="D515" s="3">
        <v>14.98</v>
      </c>
      <c r="E515" s="3">
        <v>0</v>
      </c>
      <c r="F515">
        <v>1</v>
      </c>
      <c r="G515" t="s">
        <v>15</v>
      </c>
      <c r="H515" s="4">
        <v>46011</v>
      </c>
      <c r="I515" t="s">
        <v>13</v>
      </c>
      <c r="J515">
        <v>1.5</v>
      </c>
      <c r="K515" s="3">
        <v>45.06</v>
      </c>
    </row>
    <row r="516" spans="1:11" x14ac:dyDescent="0.25">
      <c r="A516">
        <v>449699</v>
      </c>
      <c r="B516" t="s">
        <v>83</v>
      </c>
      <c r="C516" s="3">
        <v>15.89</v>
      </c>
      <c r="D516" s="3">
        <v>14.98</v>
      </c>
      <c r="E516" s="3">
        <v>0</v>
      </c>
      <c r="F516">
        <v>1</v>
      </c>
      <c r="G516" t="s">
        <v>15</v>
      </c>
      <c r="H516" s="4">
        <v>46011</v>
      </c>
      <c r="I516" t="s">
        <v>24</v>
      </c>
      <c r="J516">
        <v>4.75</v>
      </c>
      <c r="K516" s="3">
        <v>173.57</v>
      </c>
    </row>
    <row r="517" spans="1:11" x14ac:dyDescent="0.25">
      <c r="A517">
        <v>449699</v>
      </c>
      <c r="B517" t="s">
        <v>83</v>
      </c>
      <c r="C517" s="3">
        <v>15.89</v>
      </c>
      <c r="D517" s="3">
        <v>14.98</v>
      </c>
      <c r="E517" s="3">
        <v>0</v>
      </c>
      <c r="F517">
        <v>1</v>
      </c>
      <c r="G517" t="s">
        <v>15</v>
      </c>
      <c r="H517" s="4">
        <v>46011</v>
      </c>
      <c r="I517" t="s">
        <v>25</v>
      </c>
      <c r="J517">
        <v>0.25</v>
      </c>
      <c r="K517" s="3">
        <v>10.15</v>
      </c>
    </row>
    <row r="518" spans="1:11" x14ac:dyDescent="0.25">
      <c r="A518">
        <v>449729</v>
      </c>
      <c r="B518" t="s">
        <v>84</v>
      </c>
      <c r="C518" s="3">
        <v>15.89</v>
      </c>
      <c r="D518" s="3">
        <v>14.98</v>
      </c>
      <c r="E518" s="3">
        <v>0</v>
      </c>
      <c r="F518">
        <v>1</v>
      </c>
      <c r="G518" t="s">
        <v>15</v>
      </c>
      <c r="H518" s="4">
        <v>46006</v>
      </c>
      <c r="I518" t="s">
        <v>13</v>
      </c>
      <c r="J518">
        <v>3</v>
      </c>
      <c r="K518" s="3">
        <v>90.12</v>
      </c>
    </row>
    <row r="519" spans="1:11" x14ac:dyDescent="0.25">
      <c r="A519">
        <v>449729</v>
      </c>
      <c r="B519" t="s">
        <v>84</v>
      </c>
      <c r="C519" s="3">
        <v>15.89</v>
      </c>
      <c r="D519" s="3">
        <v>14.98</v>
      </c>
      <c r="E519" s="3">
        <v>0</v>
      </c>
      <c r="F519">
        <v>1</v>
      </c>
      <c r="G519" t="s">
        <v>15</v>
      </c>
      <c r="H519" s="4">
        <v>46006</v>
      </c>
      <c r="I519" t="s">
        <v>21</v>
      </c>
      <c r="J519">
        <v>4.5</v>
      </c>
      <c r="K519" s="3">
        <v>172.08</v>
      </c>
    </row>
    <row r="520" spans="1:11" x14ac:dyDescent="0.25">
      <c r="A520">
        <v>449729</v>
      </c>
      <c r="B520" t="s">
        <v>84</v>
      </c>
      <c r="C520" s="3">
        <v>15.89</v>
      </c>
      <c r="D520" s="3">
        <v>14.98</v>
      </c>
      <c r="E520" s="3">
        <v>0</v>
      </c>
      <c r="F520">
        <v>1</v>
      </c>
      <c r="G520" t="s">
        <v>15</v>
      </c>
      <c r="H520" s="4">
        <v>46007</v>
      </c>
      <c r="I520" t="s">
        <v>13</v>
      </c>
      <c r="J520">
        <v>2.25</v>
      </c>
      <c r="K520" s="3">
        <v>67.59</v>
      </c>
    </row>
    <row r="521" spans="1:11" x14ac:dyDescent="0.25">
      <c r="A521">
        <v>449729</v>
      </c>
      <c r="B521" t="s">
        <v>84</v>
      </c>
      <c r="C521" s="3">
        <v>15.89</v>
      </c>
      <c r="D521" s="3">
        <v>14.98</v>
      </c>
      <c r="E521" s="3">
        <v>0</v>
      </c>
      <c r="F521">
        <v>1</v>
      </c>
      <c r="G521" t="s">
        <v>15</v>
      </c>
      <c r="H521" s="4">
        <v>46007</v>
      </c>
      <c r="I521" t="s">
        <v>21</v>
      </c>
      <c r="J521">
        <v>5</v>
      </c>
      <c r="K521" s="3">
        <v>191.2</v>
      </c>
    </row>
    <row r="522" spans="1:11" x14ac:dyDescent="0.25">
      <c r="A522">
        <v>449729</v>
      </c>
      <c r="B522" t="s">
        <v>84</v>
      </c>
      <c r="C522" s="3">
        <v>15.89</v>
      </c>
      <c r="D522" s="3">
        <v>14.98</v>
      </c>
      <c r="E522" s="3">
        <v>0</v>
      </c>
      <c r="F522">
        <v>1</v>
      </c>
      <c r="G522" t="s">
        <v>15</v>
      </c>
      <c r="H522" s="4">
        <v>46008</v>
      </c>
      <c r="I522" t="s">
        <v>13</v>
      </c>
      <c r="J522">
        <v>2.25</v>
      </c>
      <c r="K522" s="3">
        <v>67.59</v>
      </c>
    </row>
    <row r="523" spans="1:11" x14ac:dyDescent="0.25">
      <c r="A523">
        <v>449729</v>
      </c>
      <c r="B523" t="s">
        <v>84</v>
      </c>
      <c r="C523" s="3">
        <v>15.89</v>
      </c>
      <c r="D523" s="3">
        <v>14.98</v>
      </c>
      <c r="E523" s="3">
        <v>0</v>
      </c>
      <c r="F523">
        <v>1</v>
      </c>
      <c r="G523" t="s">
        <v>15</v>
      </c>
      <c r="H523" s="4">
        <v>46008</v>
      </c>
      <c r="I523" t="s">
        <v>21</v>
      </c>
      <c r="J523">
        <v>5</v>
      </c>
      <c r="K523" s="3">
        <v>191.2</v>
      </c>
    </row>
    <row r="524" spans="1:11" x14ac:dyDescent="0.25">
      <c r="A524">
        <v>449729</v>
      </c>
      <c r="B524" t="s">
        <v>84</v>
      </c>
      <c r="C524" s="3">
        <v>15.89</v>
      </c>
      <c r="D524" s="3">
        <v>14.98</v>
      </c>
      <c r="E524" s="3">
        <v>0</v>
      </c>
      <c r="F524">
        <v>1</v>
      </c>
      <c r="G524" t="s">
        <v>15</v>
      </c>
      <c r="H524" s="4">
        <v>46009</v>
      </c>
      <c r="I524" t="s">
        <v>13</v>
      </c>
      <c r="J524">
        <v>2.25</v>
      </c>
      <c r="K524" s="3">
        <v>67.59</v>
      </c>
    </row>
    <row r="525" spans="1:11" x14ac:dyDescent="0.25">
      <c r="A525">
        <v>449729</v>
      </c>
      <c r="B525" t="s">
        <v>84</v>
      </c>
      <c r="C525" s="3">
        <v>15.89</v>
      </c>
      <c r="D525" s="3">
        <v>14.98</v>
      </c>
      <c r="E525" s="3">
        <v>0</v>
      </c>
      <c r="F525">
        <v>1</v>
      </c>
      <c r="G525" t="s">
        <v>15</v>
      </c>
      <c r="H525" s="4">
        <v>46009</v>
      </c>
      <c r="I525" t="s">
        <v>21</v>
      </c>
      <c r="J525">
        <v>4.5</v>
      </c>
      <c r="K525" s="3">
        <v>172.08</v>
      </c>
    </row>
    <row r="526" spans="1:11" x14ac:dyDescent="0.25">
      <c r="A526">
        <v>449729</v>
      </c>
      <c r="B526" t="s">
        <v>84</v>
      </c>
      <c r="C526" s="3">
        <v>15.89</v>
      </c>
      <c r="D526" s="3">
        <v>14.98</v>
      </c>
      <c r="E526" s="3">
        <v>0</v>
      </c>
      <c r="F526">
        <v>1</v>
      </c>
      <c r="G526" t="s">
        <v>15</v>
      </c>
      <c r="H526" s="4">
        <v>46010</v>
      </c>
      <c r="I526" t="s">
        <v>13</v>
      </c>
      <c r="J526">
        <v>2.25</v>
      </c>
      <c r="K526" s="3">
        <v>67.59</v>
      </c>
    </row>
    <row r="527" spans="1:11" x14ac:dyDescent="0.25">
      <c r="A527">
        <v>449729</v>
      </c>
      <c r="B527" t="s">
        <v>84</v>
      </c>
      <c r="C527" s="3">
        <v>15.89</v>
      </c>
      <c r="D527" s="3">
        <v>14.98</v>
      </c>
      <c r="E527" s="3">
        <v>0</v>
      </c>
      <c r="F527">
        <v>1</v>
      </c>
      <c r="G527" t="s">
        <v>15</v>
      </c>
      <c r="H527" s="4">
        <v>46010</v>
      </c>
      <c r="I527" t="s">
        <v>21</v>
      </c>
      <c r="J527">
        <v>3.75</v>
      </c>
      <c r="K527" s="3">
        <v>143.4</v>
      </c>
    </row>
    <row r="528" spans="1:11" x14ac:dyDescent="0.25">
      <c r="A528">
        <v>449771</v>
      </c>
      <c r="B528" t="s">
        <v>85</v>
      </c>
      <c r="C528" s="3">
        <v>16.91</v>
      </c>
      <c r="D528" s="3">
        <v>15.94</v>
      </c>
      <c r="E528" s="3">
        <v>0</v>
      </c>
      <c r="F528">
        <v>13</v>
      </c>
      <c r="G528" t="s">
        <v>15</v>
      </c>
      <c r="H528" s="4">
        <v>46006</v>
      </c>
      <c r="I528" t="s">
        <v>13</v>
      </c>
      <c r="J528">
        <v>8</v>
      </c>
      <c r="K528" s="3">
        <v>254.24</v>
      </c>
    </row>
    <row r="529" spans="1:11" x14ac:dyDescent="0.25">
      <c r="A529">
        <v>449771</v>
      </c>
      <c r="B529" t="s">
        <v>85</v>
      </c>
      <c r="C529" s="3">
        <v>16.91</v>
      </c>
      <c r="D529" s="3">
        <v>15.94</v>
      </c>
      <c r="E529" s="3">
        <v>0</v>
      </c>
      <c r="F529">
        <v>13</v>
      </c>
      <c r="G529" t="s">
        <v>15</v>
      </c>
      <c r="H529" s="4">
        <v>46007</v>
      </c>
      <c r="I529" t="s">
        <v>13</v>
      </c>
      <c r="J529">
        <v>8</v>
      </c>
      <c r="K529" s="3">
        <v>254.24</v>
      </c>
    </row>
    <row r="530" spans="1:11" x14ac:dyDescent="0.25">
      <c r="A530">
        <v>449771</v>
      </c>
      <c r="B530" t="s">
        <v>85</v>
      </c>
      <c r="C530" s="3">
        <v>16.91</v>
      </c>
      <c r="D530" s="3">
        <v>15.94</v>
      </c>
      <c r="E530" s="3">
        <v>0</v>
      </c>
      <c r="F530">
        <v>13</v>
      </c>
      <c r="G530" t="s">
        <v>15</v>
      </c>
      <c r="H530" s="4">
        <v>46008</v>
      </c>
      <c r="I530" t="s">
        <v>13</v>
      </c>
      <c r="J530">
        <v>8</v>
      </c>
      <c r="K530" s="3">
        <v>254.24</v>
      </c>
    </row>
    <row r="531" spans="1:11" x14ac:dyDescent="0.25">
      <c r="A531">
        <v>449771</v>
      </c>
      <c r="B531" t="s">
        <v>85</v>
      </c>
      <c r="C531" s="3">
        <v>16.91</v>
      </c>
      <c r="D531" s="3">
        <v>15.94</v>
      </c>
      <c r="E531" s="3">
        <v>0</v>
      </c>
      <c r="F531">
        <v>13</v>
      </c>
      <c r="G531" t="s">
        <v>15</v>
      </c>
      <c r="H531" s="4">
        <v>46009</v>
      </c>
      <c r="I531" t="s">
        <v>13</v>
      </c>
      <c r="J531">
        <v>8</v>
      </c>
      <c r="K531" s="3">
        <v>254.24</v>
      </c>
    </row>
    <row r="532" spans="1:11" x14ac:dyDescent="0.25">
      <c r="A532">
        <v>449771</v>
      </c>
      <c r="B532" t="s">
        <v>85</v>
      </c>
      <c r="C532" s="3">
        <v>16.91</v>
      </c>
      <c r="D532" s="3">
        <v>15.94</v>
      </c>
      <c r="E532" s="3">
        <v>0</v>
      </c>
      <c r="F532">
        <v>13</v>
      </c>
      <c r="G532" t="s">
        <v>15</v>
      </c>
      <c r="H532" s="4">
        <v>46010</v>
      </c>
      <c r="I532" t="s">
        <v>13</v>
      </c>
      <c r="J532">
        <v>8</v>
      </c>
      <c r="K532" s="3">
        <v>254.24</v>
      </c>
    </row>
    <row r="533" spans="1:11" x14ac:dyDescent="0.25">
      <c r="A533">
        <v>449771</v>
      </c>
      <c r="B533" t="s">
        <v>85</v>
      </c>
      <c r="C533" s="3">
        <v>16.91</v>
      </c>
      <c r="D533" s="3">
        <v>15.94</v>
      </c>
      <c r="E533" s="3">
        <v>0</v>
      </c>
      <c r="F533">
        <v>13</v>
      </c>
      <c r="G533" t="s">
        <v>15</v>
      </c>
      <c r="H533" s="4">
        <v>46011</v>
      </c>
      <c r="I533" t="s">
        <v>24</v>
      </c>
      <c r="J533">
        <v>6.25</v>
      </c>
      <c r="K533" s="3">
        <v>243</v>
      </c>
    </row>
    <row r="534" spans="1:11" x14ac:dyDescent="0.25">
      <c r="A534">
        <v>450112</v>
      </c>
      <c r="B534" t="s">
        <v>86</v>
      </c>
      <c r="C534" s="3">
        <v>15.89</v>
      </c>
      <c r="D534" s="3">
        <v>14.98</v>
      </c>
      <c r="E534" s="3">
        <v>0</v>
      </c>
      <c r="F534">
        <v>1</v>
      </c>
      <c r="G534" t="s">
        <v>15</v>
      </c>
      <c r="H534" s="4">
        <v>46006</v>
      </c>
      <c r="I534" t="s">
        <v>13</v>
      </c>
      <c r="J534">
        <v>4</v>
      </c>
      <c r="K534" s="3">
        <v>120.16</v>
      </c>
    </row>
    <row r="535" spans="1:11" x14ac:dyDescent="0.25">
      <c r="A535">
        <v>450112</v>
      </c>
      <c r="B535" t="s">
        <v>86</v>
      </c>
      <c r="C535" s="3">
        <v>15.89</v>
      </c>
      <c r="D535" s="3">
        <v>14.98</v>
      </c>
      <c r="E535" s="3">
        <v>0</v>
      </c>
      <c r="F535">
        <v>1</v>
      </c>
      <c r="G535" t="s">
        <v>15</v>
      </c>
      <c r="H535" s="4">
        <v>46006</v>
      </c>
      <c r="I535" t="s">
        <v>21</v>
      </c>
      <c r="J535">
        <v>5</v>
      </c>
      <c r="K535" s="3">
        <v>191.2</v>
      </c>
    </row>
    <row r="536" spans="1:11" x14ac:dyDescent="0.25">
      <c r="A536">
        <v>450112</v>
      </c>
      <c r="B536" t="s">
        <v>86</v>
      </c>
      <c r="C536" s="3">
        <v>15.89</v>
      </c>
      <c r="D536" s="3">
        <v>14.98</v>
      </c>
      <c r="E536" s="3">
        <v>0</v>
      </c>
      <c r="F536">
        <v>1</v>
      </c>
      <c r="G536" t="s">
        <v>15</v>
      </c>
      <c r="H536" s="4">
        <v>46007</v>
      </c>
      <c r="I536" t="s">
        <v>13</v>
      </c>
      <c r="J536">
        <v>3</v>
      </c>
      <c r="K536" s="3">
        <v>90.12</v>
      </c>
    </row>
    <row r="537" spans="1:11" x14ac:dyDescent="0.25">
      <c r="A537">
        <v>450112</v>
      </c>
      <c r="B537" t="s">
        <v>86</v>
      </c>
      <c r="C537" s="3">
        <v>15.89</v>
      </c>
      <c r="D537" s="3">
        <v>14.98</v>
      </c>
      <c r="E537" s="3">
        <v>0</v>
      </c>
      <c r="F537">
        <v>1</v>
      </c>
      <c r="G537" t="s">
        <v>15</v>
      </c>
      <c r="H537" s="4">
        <v>46007</v>
      </c>
      <c r="I537" t="s">
        <v>21</v>
      </c>
      <c r="J537">
        <v>4</v>
      </c>
      <c r="K537" s="3">
        <v>152.96</v>
      </c>
    </row>
    <row r="538" spans="1:11" x14ac:dyDescent="0.25">
      <c r="A538">
        <v>450112</v>
      </c>
      <c r="B538" t="s">
        <v>86</v>
      </c>
      <c r="C538" s="3">
        <v>15.89</v>
      </c>
      <c r="D538" s="3">
        <v>14.98</v>
      </c>
      <c r="E538" s="3">
        <v>0</v>
      </c>
      <c r="F538">
        <v>1</v>
      </c>
      <c r="G538" t="s">
        <v>15</v>
      </c>
      <c r="H538" s="4">
        <v>46008</v>
      </c>
      <c r="I538" t="s">
        <v>13</v>
      </c>
      <c r="J538">
        <v>3</v>
      </c>
      <c r="K538" s="3">
        <v>90.12</v>
      </c>
    </row>
    <row r="539" spans="1:11" x14ac:dyDescent="0.25">
      <c r="A539">
        <v>450112</v>
      </c>
      <c r="B539" t="s">
        <v>86</v>
      </c>
      <c r="C539" s="3">
        <v>15.89</v>
      </c>
      <c r="D539" s="3">
        <v>14.98</v>
      </c>
      <c r="E539" s="3">
        <v>0</v>
      </c>
      <c r="F539">
        <v>1</v>
      </c>
      <c r="G539" t="s">
        <v>15</v>
      </c>
      <c r="H539" s="4">
        <v>46008</v>
      </c>
      <c r="I539" t="s">
        <v>21</v>
      </c>
      <c r="J539">
        <v>4.5</v>
      </c>
      <c r="K539" s="3">
        <v>172.08</v>
      </c>
    </row>
    <row r="540" spans="1:11" x14ac:dyDescent="0.25">
      <c r="A540">
        <v>450112</v>
      </c>
      <c r="B540" t="s">
        <v>86</v>
      </c>
      <c r="C540" s="3">
        <v>15.89</v>
      </c>
      <c r="D540" s="3">
        <v>14.98</v>
      </c>
      <c r="E540" s="3">
        <v>0</v>
      </c>
      <c r="F540">
        <v>1</v>
      </c>
      <c r="G540" t="s">
        <v>15</v>
      </c>
      <c r="H540" s="4">
        <v>46009</v>
      </c>
      <c r="I540" t="s">
        <v>13</v>
      </c>
      <c r="J540">
        <v>3</v>
      </c>
      <c r="K540" s="3">
        <v>90.12</v>
      </c>
    </row>
    <row r="541" spans="1:11" x14ac:dyDescent="0.25">
      <c r="A541">
        <v>450112</v>
      </c>
      <c r="B541" t="s">
        <v>86</v>
      </c>
      <c r="C541" s="3">
        <v>15.89</v>
      </c>
      <c r="D541" s="3">
        <v>14.98</v>
      </c>
      <c r="E541" s="3">
        <v>0</v>
      </c>
      <c r="F541">
        <v>1</v>
      </c>
      <c r="G541" t="s">
        <v>15</v>
      </c>
      <c r="H541" s="4">
        <v>46009</v>
      </c>
      <c r="I541" t="s">
        <v>21</v>
      </c>
      <c r="J541">
        <v>4.5</v>
      </c>
      <c r="K541" s="3">
        <v>172.08</v>
      </c>
    </row>
    <row r="542" spans="1:11" x14ac:dyDescent="0.25">
      <c r="A542">
        <v>450112</v>
      </c>
      <c r="B542" t="s">
        <v>86</v>
      </c>
      <c r="C542" s="3">
        <v>15.89</v>
      </c>
      <c r="D542" s="3">
        <v>14.98</v>
      </c>
      <c r="E542" s="3">
        <v>0</v>
      </c>
      <c r="F542">
        <v>1</v>
      </c>
      <c r="G542" t="s">
        <v>15</v>
      </c>
      <c r="H542" s="4">
        <v>46010</v>
      </c>
      <c r="I542" t="s">
        <v>13</v>
      </c>
      <c r="J542">
        <v>2.5</v>
      </c>
      <c r="K542" s="3">
        <v>75.099999999999994</v>
      </c>
    </row>
    <row r="543" spans="1:11" x14ac:dyDescent="0.25">
      <c r="A543">
        <v>450112</v>
      </c>
      <c r="B543" t="s">
        <v>86</v>
      </c>
      <c r="C543" s="3">
        <v>15.89</v>
      </c>
      <c r="D543" s="3">
        <v>14.98</v>
      </c>
      <c r="E543" s="3">
        <v>0</v>
      </c>
      <c r="F543">
        <v>1</v>
      </c>
      <c r="G543" t="s">
        <v>15</v>
      </c>
      <c r="H543" s="4">
        <v>46010</v>
      </c>
      <c r="I543" t="s">
        <v>21</v>
      </c>
      <c r="J543">
        <v>4</v>
      </c>
      <c r="K543" s="3">
        <v>152.96</v>
      </c>
    </row>
    <row r="544" spans="1:11" x14ac:dyDescent="0.25">
      <c r="A544">
        <v>450962</v>
      </c>
      <c r="B544" t="s">
        <v>87</v>
      </c>
      <c r="C544" s="3">
        <v>15.89</v>
      </c>
      <c r="D544" s="3">
        <v>14.98</v>
      </c>
      <c r="E544" s="3">
        <v>0</v>
      </c>
      <c r="F544">
        <v>5</v>
      </c>
      <c r="G544" t="s">
        <v>15</v>
      </c>
      <c r="H544" s="4">
        <v>46006</v>
      </c>
      <c r="I544" t="s">
        <v>13</v>
      </c>
      <c r="J544">
        <v>2.25</v>
      </c>
      <c r="K544" s="3">
        <v>67.59</v>
      </c>
    </row>
    <row r="545" spans="1:11" x14ac:dyDescent="0.25">
      <c r="A545">
        <v>450962</v>
      </c>
      <c r="B545" t="s">
        <v>87</v>
      </c>
      <c r="C545" s="3">
        <v>15.89</v>
      </c>
      <c r="D545" s="3">
        <v>14.98</v>
      </c>
      <c r="E545" s="3">
        <v>0</v>
      </c>
      <c r="F545">
        <v>5</v>
      </c>
      <c r="G545" t="s">
        <v>15</v>
      </c>
      <c r="H545" s="4">
        <v>46006</v>
      </c>
      <c r="I545" t="s">
        <v>21</v>
      </c>
      <c r="J545">
        <v>4.75</v>
      </c>
      <c r="K545" s="3">
        <v>181.64</v>
      </c>
    </row>
    <row r="546" spans="1:11" x14ac:dyDescent="0.25">
      <c r="A546">
        <v>450962</v>
      </c>
      <c r="B546" t="s">
        <v>87</v>
      </c>
      <c r="C546" s="3">
        <v>15.89</v>
      </c>
      <c r="D546" s="3">
        <v>14.98</v>
      </c>
      <c r="E546" s="3">
        <v>0</v>
      </c>
      <c r="F546">
        <v>5</v>
      </c>
      <c r="G546" t="s">
        <v>15</v>
      </c>
      <c r="H546" s="4">
        <v>46007</v>
      </c>
      <c r="I546" t="s">
        <v>13</v>
      </c>
      <c r="J546">
        <v>2.25</v>
      </c>
      <c r="K546" s="3">
        <v>67.59</v>
      </c>
    </row>
    <row r="547" spans="1:11" x14ac:dyDescent="0.25">
      <c r="A547">
        <v>450962</v>
      </c>
      <c r="B547" t="s">
        <v>87</v>
      </c>
      <c r="C547" s="3">
        <v>15.89</v>
      </c>
      <c r="D547" s="3">
        <v>14.98</v>
      </c>
      <c r="E547" s="3">
        <v>0</v>
      </c>
      <c r="F547">
        <v>5</v>
      </c>
      <c r="G547" t="s">
        <v>15</v>
      </c>
      <c r="H547" s="4">
        <v>46007</v>
      </c>
      <c r="I547" t="s">
        <v>21</v>
      </c>
      <c r="J547">
        <v>5</v>
      </c>
      <c r="K547" s="3">
        <v>191.2</v>
      </c>
    </row>
    <row r="548" spans="1:11" x14ac:dyDescent="0.25">
      <c r="A548">
        <v>450962</v>
      </c>
      <c r="B548" t="s">
        <v>87</v>
      </c>
      <c r="C548" s="3">
        <v>15.89</v>
      </c>
      <c r="D548" s="3">
        <v>14.98</v>
      </c>
      <c r="E548" s="3">
        <v>0</v>
      </c>
      <c r="F548">
        <v>5</v>
      </c>
      <c r="G548" t="s">
        <v>15</v>
      </c>
      <c r="H548" s="4">
        <v>46008</v>
      </c>
      <c r="I548" t="s">
        <v>13</v>
      </c>
      <c r="J548">
        <v>2</v>
      </c>
      <c r="K548" s="3">
        <v>60.08</v>
      </c>
    </row>
    <row r="549" spans="1:11" x14ac:dyDescent="0.25">
      <c r="A549">
        <v>450962</v>
      </c>
      <c r="B549" t="s">
        <v>87</v>
      </c>
      <c r="C549" s="3">
        <v>15.89</v>
      </c>
      <c r="D549" s="3">
        <v>14.98</v>
      </c>
      <c r="E549" s="3">
        <v>0</v>
      </c>
      <c r="F549">
        <v>5</v>
      </c>
      <c r="G549" t="s">
        <v>15</v>
      </c>
      <c r="H549" s="4">
        <v>46008</v>
      </c>
      <c r="I549" t="s">
        <v>21</v>
      </c>
      <c r="J549">
        <v>5.25</v>
      </c>
      <c r="K549" s="3">
        <v>200.76</v>
      </c>
    </row>
    <row r="550" spans="1:11" x14ac:dyDescent="0.25">
      <c r="A550">
        <v>450962</v>
      </c>
      <c r="B550" t="s">
        <v>87</v>
      </c>
      <c r="C550" s="3">
        <v>15.89</v>
      </c>
      <c r="D550" s="3">
        <v>14.98</v>
      </c>
      <c r="E550" s="3">
        <v>0</v>
      </c>
      <c r="F550">
        <v>5</v>
      </c>
      <c r="G550" t="s">
        <v>15</v>
      </c>
      <c r="H550" s="4">
        <v>46009</v>
      </c>
      <c r="I550" t="s">
        <v>13</v>
      </c>
      <c r="J550">
        <v>2</v>
      </c>
      <c r="K550" s="3">
        <v>60.08</v>
      </c>
    </row>
    <row r="551" spans="1:11" x14ac:dyDescent="0.25">
      <c r="A551">
        <v>450962</v>
      </c>
      <c r="B551" t="s">
        <v>87</v>
      </c>
      <c r="C551" s="3">
        <v>15.89</v>
      </c>
      <c r="D551" s="3">
        <v>14.98</v>
      </c>
      <c r="E551" s="3">
        <v>0</v>
      </c>
      <c r="F551">
        <v>5</v>
      </c>
      <c r="G551" t="s">
        <v>15</v>
      </c>
      <c r="H551" s="4">
        <v>46009</v>
      </c>
      <c r="I551" t="s">
        <v>21</v>
      </c>
      <c r="J551">
        <v>5.25</v>
      </c>
      <c r="K551" s="3">
        <v>200.76</v>
      </c>
    </row>
    <row r="552" spans="1:11" x14ac:dyDescent="0.25">
      <c r="A552">
        <v>450962</v>
      </c>
      <c r="B552" t="s">
        <v>87</v>
      </c>
      <c r="C552" s="3">
        <v>15.89</v>
      </c>
      <c r="D552" s="3">
        <v>14.98</v>
      </c>
      <c r="E552" s="3">
        <v>0</v>
      </c>
      <c r="F552">
        <v>5</v>
      </c>
      <c r="G552" t="s">
        <v>15</v>
      </c>
      <c r="H552" s="4">
        <v>46010</v>
      </c>
      <c r="I552" t="s">
        <v>13</v>
      </c>
      <c r="J552">
        <v>2.25</v>
      </c>
      <c r="K552" s="3">
        <v>67.59</v>
      </c>
    </row>
    <row r="553" spans="1:11" x14ac:dyDescent="0.25">
      <c r="A553">
        <v>450962</v>
      </c>
      <c r="B553" t="s">
        <v>87</v>
      </c>
      <c r="C553" s="3">
        <v>15.89</v>
      </c>
      <c r="D553" s="3">
        <v>14.98</v>
      </c>
      <c r="E553" s="3">
        <v>0</v>
      </c>
      <c r="F553">
        <v>5</v>
      </c>
      <c r="G553" t="s">
        <v>15</v>
      </c>
      <c r="H553" s="4">
        <v>46010</v>
      </c>
      <c r="I553" t="s">
        <v>21</v>
      </c>
      <c r="J553">
        <v>3.75</v>
      </c>
      <c r="K553" s="3">
        <v>143.4</v>
      </c>
    </row>
    <row r="554" spans="1:11" x14ac:dyDescent="0.25">
      <c r="A554">
        <v>451013</v>
      </c>
      <c r="B554" t="s">
        <v>88</v>
      </c>
      <c r="C554" s="3">
        <v>15.89</v>
      </c>
      <c r="D554" s="3">
        <v>14.98</v>
      </c>
      <c r="E554" s="3">
        <v>0</v>
      </c>
      <c r="F554">
        <v>5</v>
      </c>
      <c r="G554" t="s">
        <v>15</v>
      </c>
      <c r="H554" s="4">
        <v>46006</v>
      </c>
      <c r="I554" t="s">
        <v>13</v>
      </c>
      <c r="J554">
        <v>2.25</v>
      </c>
      <c r="K554" s="3">
        <v>67.59</v>
      </c>
    </row>
    <row r="555" spans="1:11" x14ac:dyDescent="0.25">
      <c r="A555">
        <v>451013</v>
      </c>
      <c r="B555" t="s">
        <v>88</v>
      </c>
      <c r="C555" s="3">
        <v>15.89</v>
      </c>
      <c r="D555" s="3">
        <v>14.98</v>
      </c>
      <c r="E555" s="3">
        <v>0</v>
      </c>
      <c r="F555">
        <v>5</v>
      </c>
      <c r="G555" t="s">
        <v>15</v>
      </c>
      <c r="H555" s="4">
        <v>46006</v>
      </c>
      <c r="I555" t="s">
        <v>21</v>
      </c>
      <c r="J555">
        <v>4.5</v>
      </c>
      <c r="K555" s="3">
        <v>172.08</v>
      </c>
    </row>
    <row r="556" spans="1:11" x14ac:dyDescent="0.25">
      <c r="A556">
        <v>451013</v>
      </c>
      <c r="B556" t="s">
        <v>88</v>
      </c>
      <c r="C556" s="3">
        <v>15.89</v>
      </c>
      <c r="D556" s="3">
        <v>14.98</v>
      </c>
      <c r="E556" s="3">
        <v>0</v>
      </c>
      <c r="F556">
        <v>5</v>
      </c>
      <c r="G556" t="s">
        <v>15</v>
      </c>
      <c r="H556" s="4">
        <v>46007</v>
      </c>
      <c r="I556" t="s">
        <v>13</v>
      </c>
      <c r="J556">
        <v>2.25</v>
      </c>
      <c r="K556" s="3">
        <v>67.59</v>
      </c>
    </row>
    <row r="557" spans="1:11" x14ac:dyDescent="0.25">
      <c r="A557">
        <v>451013</v>
      </c>
      <c r="B557" t="s">
        <v>88</v>
      </c>
      <c r="C557" s="3">
        <v>15.89</v>
      </c>
      <c r="D557" s="3">
        <v>14.98</v>
      </c>
      <c r="E557" s="3">
        <v>0</v>
      </c>
      <c r="F557">
        <v>5</v>
      </c>
      <c r="G557" t="s">
        <v>15</v>
      </c>
      <c r="H557" s="4">
        <v>46007</v>
      </c>
      <c r="I557" t="s">
        <v>21</v>
      </c>
      <c r="J557">
        <v>3</v>
      </c>
      <c r="K557" s="3">
        <v>114.72</v>
      </c>
    </row>
    <row r="558" spans="1:11" x14ac:dyDescent="0.25">
      <c r="A558">
        <v>451013</v>
      </c>
      <c r="B558" t="s">
        <v>88</v>
      </c>
      <c r="C558" s="3">
        <v>15.89</v>
      </c>
      <c r="D558" s="3">
        <v>14.98</v>
      </c>
      <c r="E558" s="3">
        <v>0</v>
      </c>
      <c r="F558">
        <v>5</v>
      </c>
      <c r="G558" t="s">
        <v>15</v>
      </c>
      <c r="H558" s="4">
        <v>46008</v>
      </c>
      <c r="I558" t="s">
        <v>13</v>
      </c>
      <c r="J558">
        <v>2.25</v>
      </c>
      <c r="K558" s="3">
        <v>67.59</v>
      </c>
    </row>
    <row r="559" spans="1:11" x14ac:dyDescent="0.25">
      <c r="A559">
        <v>451013</v>
      </c>
      <c r="B559" t="s">
        <v>88</v>
      </c>
      <c r="C559" s="3">
        <v>15.89</v>
      </c>
      <c r="D559" s="3">
        <v>14.98</v>
      </c>
      <c r="E559" s="3">
        <v>0</v>
      </c>
      <c r="F559">
        <v>5</v>
      </c>
      <c r="G559" t="s">
        <v>15</v>
      </c>
      <c r="H559" s="4">
        <v>46008</v>
      </c>
      <c r="I559" t="s">
        <v>21</v>
      </c>
      <c r="J559">
        <v>5</v>
      </c>
      <c r="K559" s="3">
        <v>191.2</v>
      </c>
    </row>
    <row r="560" spans="1:11" x14ac:dyDescent="0.25">
      <c r="A560">
        <v>451013</v>
      </c>
      <c r="B560" t="s">
        <v>88</v>
      </c>
      <c r="C560" s="3">
        <v>15.89</v>
      </c>
      <c r="D560" s="3">
        <v>14.98</v>
      </c>
      <c r="E560" s="3">
        <v>0</v>
      </c>
      <c r="F560">
        <v>5</v>
      </c>
      <c r="G560" t="s">
        <v>15</v>
      </c>
      <c r="H560" s="4">
        <v>46010</v>
      </c>
      <c r="I560" t="s">
        <v>13</v>
      </c>
      <c r="J560">
        <v>2.25</v>
      </c>
      <c r="K560" s="3">
        <v>67.59</v>
      </c>
    </row>
    <row r="561" spans="1:11" x14ac:dyDescent="0.25">
      <c r="A561">
        <v>451013</v>
      </c>
      <c r="B561" t="s">
        <v>88</v>
      </c>
      <c r="C561" s="3">
        <v>15.89</v>
      </c>
      <c r="D561" s="3">
        <v>14.98</v>
      </c>
      <c r="E561" s="3">
        <v>0</v>
      </c>
      <c r="F561">
        <v>5</v>
      </c>
      <c r="G561" t="s">
        <v>15</v>
      </c>
      <c r="H561" s="4">
        <v>46010</v>
      </c>
      <c r="I561" t="s">
        <v>21</v>
      </c>
      <c r="J561">
        <v>3.75</v>
      </c>
      <c r="K561" s="3">
        <v>143.4</v>
      </c>
    </row>
    <row r="562" spans="1:11" x14ac:dyDescent="0.25">
      <c r="A562">
        <v>451234</v>
      </c>
      <c r="B562" t="s">
        <v>89</v>
      </c>
      <c r="C562" s="3">
        <v>15.89</v>
      </c>
      <c r="D562" s="3">
        <v>14.98</v>
      </c>
      <c r="E562" s="3">
        <v>0</v>
      </c>
      <c r="F562">
        <v>9</v>
      </c>
      <c r="G562" t="s">
        <v>15</v>
      </c>
      <c r="H562" s="4">
        <v>46006</v>
      </c>
      <c r="I562" t="s">
        <v>13</v>
      </c>
      <c r="J562">
        <v>8</v>
      </c>
      <c r="K562" s="3">
        <v>240.32</v>
      </c>
    </row>
    <row r="563" spans="1:11" x14ac:dyDescent="0.25">
      <c r="A563">
        <v>451234</v>
      </c>
      <c r="B563" t="s">
        <v>89</v>
      </c>
      <c r="C563" s="3">
        <v>15.89</v>
      </c>
      <c r="D563" s="3">
        <v>14.98</v>
      </c>
      <c r="E563" s="3">
        <v>0</v>
      </c>
      <c r="F563">
        <v>9</v>
      </c>
      <c r="G563" t="s">
        <v>15</v>
      </c>
      <c r="H563" s="4">
        <v>46006</v>
      </c>
      <c r="I563" t="s">
        <v>22</v>
      </c>
      <c r="J563">
        <v>1</v>
      </c>
      <c r="K563" s="3">
        <v>38.74</v>
      </c>
    </row>
    <row r="564" spans="1:11" x14ac:dyDescent="0.25">
      <c r="A564">
        <v>451234</v>
      </c>
      <c r="B564" t="s">
        <v>89</v>
      </c>
      <c r="C564" s="3">
        <v>15.89</v>
      </c>
      <c r="D564" s="3">
        <v>14.98</v>
      </c>
      <c r="E564" s="3">
        <v>0</v>
      </c>
      <c r="F564">
        <v>9</v>
      </c>
      <c r="G564" t="s">
        <v>15</v>
      </c>
      <c r="H564" s="4">
        <v>46007</v>
      </c>
      <c r="I564" t="s">
        <v>13</v>
      </c>
      <c r="J564">
        <v>7</v>
      </c>
      <c r="K564" s="3">
        <v>210.28</v>
      </c>
    </row>
    <row r="565" spans="1:11" x14ac:dyDescent="0.25">
      <c r="A565">
        <v>451234</v>
      </c>
      <c r="B565" t="s">
        <v>89</v>
      </c>
      <c r="C565" s="3">
        <v>15.89</v>
      </c>
      <c r="D565" s="3">
        <v>14.98</v>
      </c>
      <c r="E565" s="3">
        <v>0</v>
      </c>
      <c r="F565">
        <v>9</v>
      </c>
      <c r="G565" t="s">
        <v>15</v>
      </c>
      <c r="H565" s="4">
        <v>46007</v>
      </c>
      <c r="I565" t="s">
        <v>22</v>
      </c>
      <c r="J565">
        <v>1</v>
      </c>
      <c r="K565" s="3">
        <v>38.74</v>
      </c>
    </row>
    <row r="566" spans="1:11" x14ac:dyDescent="0.25">
      <c r="A566">
        <v>451234</v>
      </c>
      <c r="B566" t="s">
        <v>89</v>
      </c>
      <c r="C566" s="3">
        <v>15.89</v>
      </c>
      <c r="D566" s="3">
        <v>14.98</v>
      </c>
      <c r="E566" s="3">
        <v>0</v>
      </c>
      <c r="F566">
        <v>9</v>
      </c>
      <c r="G566" t="s">
        <v>15</v>
      </c>
      <c r="H566" s="4">
        <v>46008</v>
      </c>
      <c r="I566" t="s">
        <v>13</v>
      </c>
      <c r="J566">
        <v>7</v>
      </c>
      <c r="K566" s="3">
        <v>210.28</v>
      </c>
    </row>
    <row r="567" spans="1:11" x14ac:dyDescent="0.25">
      <c r="A567">
        <v>451234</v>
      </c>
      <c r="B567" t="s">
        <v>89</v>
      </c>
      <c r="C567" s="3">
        <v>15.89</v>
      </c>
      <c r="D567" s="3">
        <v>14.98</v>
      </c>
      <c r="E567" s="3">
        <v>0</v>
      </c>
      <c r="F567">
        <v>9</v>
      </c>
      <c r="G567" t="s">
        <v>15</v>
      </c>
      <c r="H567" s="4">
        <v>46008</v>
      </c>
      <c r="I567" t="s">
        <v>22</v>
      </c>
      <c r="J567">
        <v>1</v>
      </c>
      <c r="K567" s="3">
        <v>38.74</v>
      </c>
    </row>
    <row r="568" spans="1:11" x14ac:dyDescent="0.25">
      <c r="A568">
        <v>451234</v>
      </c>
      <c r="B568" t="s">
        <v>89</v>
      </c>
      <c r="C568" s="3">
        <v>15.89</v>
      </c>
      <c r="D568" s="3">
        <v>14.98</v>
      </c>
      <c r="E568" s="3">
        <v>0</v>
      </c>
      <c r="F568">
        <v>9</v>
      </c>
      <c r="G568" t="s">
        <v>15</v>
      </c>
      <c r="H568" s="4">
        <v>46009</v>
      </c>
      <c r="I568" t="s">
        <v>13</v>
      </c>
      <c r="J568">
        <v>6</v>
      </c>
      <c r="K568" s="3">
        <v>180.24</v>
      </c>
    </row>
    <row r="569" spans="1:11" x14ac:dyDescent="0.25">
      <c r="A569">
        <v>451234</v>
      </c>
      <c r="B569" t="s">
        <v>89</v>
      </c>
      <c r="C569" s="3">
        <v>15.89</v>
      </c>
      <c r="D569" s="3">
        <v>14.98</v>
      </c>
      <c r="E569" s="3">
        <v>0</v>
      </c>
      <c r="F569">
        <v>9</v>
      </c>
      <c r="G569" t="s">
        <v>15</v>
      </c>
      <c r="H569" s="4">
        <v>46009</v>
      </c>
      <c r="I569" t="s">
        <v>22</v>
      </c>
      <c r="J569">
        <v>1</v>
      </c>
      <c r="K569" s="3">
        <v>38.74</v>
      </c>
    </row>
    <row r="570" spans="1:11" x14ac:dyDescent="0.25">
      <c r="A570">
        <v>451234</v>
      </c>
      <c r="B570" t="s">
        <v>89</v>
      </c>
      <c r="C570" s="3">
        <v>15.89</v>
      </c>
      <c r="D570" s="3">
        <v>14.98</v>
      </c>
      <c r="E570" s="3">
        <v>0</v>
      </c>
      <c r="F570">
        <v>9</v>
      </c>
      <c r="G570" t="s">
        <v>15</v>
      </c>
      <c r="H570" s="4">
        <v>46009</v>
      </c>
      <c r="I570" t="s">
        <v>23</v>
      </c>
      <c r="J570">
        <v>1</v>
      </c>
      <c r="K570" s="3">
        <v>28.42</v>
      </c>
    </row>
    <row r="571" spans="1:11" x14ac:dyDescent="0.25">
      <c r="A571">
        <v>451234</v>
      </c>
      <c r="B571" t="s">
        <v>89</v>
      </c>
      <c r="C571" s="3">
        <v>15.89</v>
      </c>
      <c r="D571" s="3">
        <v>14.98</v>
      </c>
      <c r="E571" s="3">
        <v>0</v>
      </c>
      <c r="F571">
        <v>9</v>
      </c>
      <c r="G571" t="s">
        <v>15</v>
      </c>
      <c r="H571" s="4">
        <v>46010</v>
      </c>
      <c r="I571" t="s">
        <v>13</v>
      </c>
      <c r="J571">
        <v>7</v>
      </c>
      <c r="K571" s="3">
        <v>210.28</v>
      </c>
    </row>
    <row r="572" spans="1:11" x14ac:dyDescent="0.25">
      <c r="A572">
        <v>451234</v>
      </c>
      <c r="B572" t="s">
        <v>89</v>
      </c>
      <c r="C572" s="3">
        <v>15.89</v>
      </c>
      <c r="D572" s="3">
        <v>14.98</v>
      </c>
      <c r="E572" s="3">
        <v>0</v>
      </c>
      <c r="F572">
        <v>9</v>
      </c>
      <c r="G572" t="s">
        <v>15</v>
      </c>
      <c r="H572" s="4">
        <v>46010</v>
      </c>
      <c r="I572" t="s">
        <v>22</v>
      </c>
      <c r="J572">
        <v>1</v>
      </c>
      <c r="K572" s="3">
        <v>38.74</v>
      </c>
    </row>
    <row r="573" spans="1:11" x14ac:dyDescent="0.25">
      <c r="A573">
        <v>451234</v>
      </c>
      <c r="B573" t="s">
        <v>89</v>
      </c>
      <c r="C573" s="3">
        <v>15.89</v>
      </c>
      <c r="D573" s="3">
        <v>14.98</v>
      </c>
      <c r="E573" s="3">
        <v>0</v>
      </c>
      <c r="F573">
        <v>9</v>
      </c>
      <c r="G573" t="s">
        <v>15</v>
      </c>
      <c r="H573" s="4">
        <v>46011</v>
      </c>
      <c r="I573" t="s">
        <v>24</v>
      </c>
      <c r="J573">
        <v>4.75</v>
      </c>
      <c r="K573" s="3">
        <v>173.57</v>
      </c>
    </row>
    <row r="574" spans="1:11" x14ac:dyDescent="0.25">
      <c r="A574">
        <v>451383</v>
      </c>
      <c r="B574" t="s">
        <v>90</v>
      </c>
      <c r="C574" s="3">
        <v>15.89</v>
      </c>
      <c r="D574" s="3">
        <v>14.98</v>
      </c>
      <c r="E574" s="3">
        <v>0</v>
      </c>
      <c r="F574">
        <v>9</v>
      </c>
      <c r="G574" t="s">
        <v>15</v>
      </c>
      <c r="H574" s="4">
        <v>46006</v>
      </c>
      <c r="I574" t="s">
        <v>13</v>
      </c>
      <c r="J574">
        <v>8</v>
      </c>
      <c r="K574" s="3">
        <v>240.32</v>
      </c>
    </row>
    <row r="575" spans="1:11" x14ac:dyDescent="0.25">
      <c r="A575">
        <v>451383</v>
      </c>
      <c r="B575" t="s">
        <v>90</v>
      </c>
      <c r="C575" s="3">
        <v>15.89</v>
      </c>
      <c r="D575" s="3">
        <v>14.98</v>
      </c>
      <c r="E575" s="3">
        <v>0</v>
      </c>
      <c r="F575">
        <v>9</v>
      </c>
      <c r="G575" t="s">
        <v>15</v>
      </c>
      <c r="H575" s="4">
        <v>46006</v>
      </c>
      <c r="I575" t="s">
        <v>22</v>
      </c>
      <c r="J575">
        <v>1</v>
      </c>
      <c r="K575" s="3">
        <v>38.74</v>
      </c>
    </row>
    <row r="576" spans="1:11" x14ac:dyDescent="0.25">
      <c r="A576">
        <v>451383</v>
      </c>
      <c r="B576" t="s">
        <v>90</v>
      </c>
      <c r="C576" s="3">
        <v>15.89</v>
      </c>
      <c r="D576" s="3">
        <v>14.98</v>
      </c>
      <c r="E576" s="3">
        <v>0</v>
      </c>
      <c r="F576">
        <v>9</v>
      </c>
      <c r="G576" t="s">
        <v>15</v>
      </c>
      <c r="H576" s="4">
        <v>46007</v>
      </c>
      <c r="I576" t="s">
        <v>13</v>
      </c>
      <c r="J576">
        <v>7</v>
      </c>
      <c r="K576" s="3">
        <v>210.28</v>
      </c>
    </row>
    <row r="577" spans="1:11" x14ac:dyDescent="0.25">
      <c r="A577">
        <v>451383</v>
      </c>
      <c r="B577" t="s">
        <v>90</v>
      </c>
      <c r="C577" s="3">
        <v>15.89</v>
      </c>
      <c r="D577" s="3">
        <v>14.98</v>
      </c>
      <c r="E577" s="3">
        <v>0</v>
      </c>
      <c r="F577">
        <v>9</v>
      </c>
      <c r="G577" t="s">
        <v>15</v>
      </c>
      <c r="H577" s="4">
        <v>46007</v>
      </c>
      <c r="I577" t="s">
        <v>22</v>
      </c>
      <c r="J577">
        <v>1</v>
      </c>
      <c r="K577" s="3">
        <v>38.74</v>
      </c>
    </row>
    <row r="578" spans="1:11" x14ac:dyDescent="0.25">
      <c r="A578">
        <v>451383</v>
      </c>
      <c r="B578" t="s">
        <v>90</v>
      </c>
      <c r="C578" s="3">
        <v>15.89</v>
      </c>
      <c r="D578" s="3">
        <v>14.98</v>
      </c>
      <c r="E578" s="3">
        <v>0</v>
      </c>
      <c r="F578">
        <v>9</v>
      </c>
      <c r="G578" t="s">
        <v>15</v>
      </c>
      <c r="H578" s="4">
        <v>46008</v>
      </c>
      <c r="I578" t="s">
        <v>13</v>
      </c>
      <c r="J578">
        <v>6</v>
      </c>
      <c r="K578" s="3">
        <v>180.24</v>
      </c>
    </row>
    <row r="579" spans="1:11" x14ac:dyDescent="0.25">
      <c r="A579">
        <v>451383</v>
      </c>
      <c r="B579" t="s">
        <v>90</v>
      </c>
      <c r="C579" s="3">
        <v>15.89</v>
      </c>
      <c r="D579" s="3">
        <v>14.98</v>
      </c>
      <c r="E579" s="3">
        <v>0</v>
      </c>
      <c r="F579">
        <v>9</v>
      </c>
      <c r="G579" t="s">
        <v>15</v>
      </c>
      <c r="H579" s="4">
        <v>46008</v>
      </c>
      <c r="I579" t="s">
        <v>22</v>
      </c>
      <c r="J579">
        <v>1</v>
      </c>
      <c r="K579" s="3">
        <v>38.74</v>
      </c>
    </row>
    <row r="580" spans="1:11" x14ac:dyDescent="0.25">
      <c r="A580">
        <v>451383</v>
      </c>
      <c r="B580" t="s">
        <v>90</v>
      </c>
      <c r="C580" s="3">
        <v>15.89</v>
      </c>
      <c r="D580" s="3">
        <v>14.98</v>
      </c>
      <c r="E580" s="3">
        <v>0</v>
      </c>
      <c r="F580">
        <v>9</v>
      </c>
      <c r="G580" t="s">
        <v>15</v>
      </c>
      <c r="H580" s="4">
        <v>46008</v>
      </c>
      <c r="I580" t="s">
        <v>23</v>
      </c>
      <c r="J580">
        <v>1</v>
      </c>
      <c r="K580" s="3">
        <v>28.42</v>
      </c>
    </row>
    <row r="581" spans="1:11" x14ac:dyDescent="0.25">
      <c r="A581">
        <v>451383</v>
      </c>
      <c r="B581" t="s">
        <v>90</v>
      </c>
      <c r="C581" s="3">
        <v>15.89</v>
      </c>
      <c r="D581" s="3">
        <v>14.98</v>
      </c>
      <c r="E581" s="3">
        <v>0</v>
      </c>
      <c r="F581">
        <v>9</v>
      </c>
      <c r="G581" t="s">
        <v>15</v>
      </c>
      <c r="H581" s="4">
        <v>46009</v>
      </c>
      <c r="I581" t="s">
        <v>13</v>
      </c>
      <c r="J581">
        <v>7</v>
      </c>
      <c r="K581" s="3">
        <v>210.28</v>
      </c>
    </row>
    <row r="582" spans="1:11" x14ac:dyDescent="0.25">
      <c r="A582">
        <v>451383</v>
      </c>
      <c r="B582" t="s">
        <v>90</v>
      </c>
      <c r="C582" s="3">
        <v>15.89</v>
      </c>
      <c r="D582" s="3">
        <v>14.98</v>
      </c>
      <c r="E582" s="3">
        <v>0</v>
      </c>
      <c r="F582">
        <v>9</v>
      </c>
      <c r="G582" t="s">
        <v>15</v>
      </c>
      <c r="H582" s="4">
        <v>46009</v>
      </c>
      <c r="I582" t="s">
        <v>22</v>
      </c>
      <c r="J582">
        <v>1</v>
      </c>
      <c r="K582" s="3">
        <v>38.74</v>
      </c>
    </row>
    <row r="583" spans="1:11" x14ac:dyDescent="0.25">
      <c r="A583">
        <v>451383</v>
      </c>
      <c r="B583" t="s">
        <v>90</v>
      </c>
      <c r="C583" s="3">
        <v>15.89</v>
      </c>
      <c r="D583" s="3">
        <v>14.98</v>
      </c>
      <c r="E583" s="3">
        <v>0</v>
      </c>
      <c r="F583">
        <v>9</v>
      </c>
      <c r="G583" t="s">
        <v>15</v>
      </c>
      <c r="H583" s="4">
        <v>46010</v>
      </c>
      <c r="I583" t="s">
        <v>13</v>
      </c>
      <c r="J583">
        <v>7</v>
      </c>
      <c r="K583" s="3">
        <v>210.28</v>
      </c>
    </row>
    <row r="584" spans="1:11" x14ac:dyDescent="0.25">
      <c r="A584">
        <v>451383</v>
      </c>
      <c r="B584" t="s">
        <v>90</v>
      </c>
      <c r="C584" s="3">
        <v>15.89</v>
      </c>
      <c r="D584" s="3">
        <v>14.98</v>
      </c>
      <c r="E584" s="3">
        <v>0</v>
      </c>
      <c r="F584">
        <v>9</v>
      </c>
      <c r="G584" t="s">
        <v>15</v>
      </c>
      <c r="H584" s="4">
        <v>46010</v>
      </c>
      <c r="I584" t="s">
        <v>22</v>
      </c>
      <c r="J584">
        <v>1</v>
      </c>
      <c r="K584" s="3">
        <v>38.74</v>
      </c>
    </row>
    <row r="585" spans="1:11" x14ac:dyDescent="0.25">
      <c r="A585">
        <v>451383</v>
      </c>
      <c r="B585" t="s">
        <v>90</v>
      </c>
      <c r="C585" s="3">
        <v>15.89</v>
      </c>
      <c r="D585" s="3">
        <v>14.98</v>
      </c>
      <c r="E585" s="3">
        <v>0</v>
      </c>
      <c r="F585">
        <v>9</v>
      </c>
      <c r="G585" t="s">
        <v>15</v>
      </c>
      <c r="H585" s="4">
        <v>46011</v>
      </c>
      <c r="I585" t="s">
        <v>24</v>
      </c>
      <c r="J585">
        <v>4.75</v>
      </c>
      <c r="K585" s="3">
        <v>173.57</v>
      </c>
    </row>
    <row r="586" spans="1:11" x14ac:dyDescent="0.25">
      <c r="A586">
        <v>451815</v>
      </c>
      <c r="B586" t="s">
        <v>91</v>
      </c>
      <c r="C586" s="3">
        <v>15.89</v>
      </c>
      <c r="D586" s="3">
        <v>14.98</v>
      </c>
      <c r="E586" s="3">
        <v>0</v>
      </c>
      <c r="F586">
        <v>9</v>
      </c>
      <c r="G586" t="s">
        <v>15</v>
      </c>
      <c r="H586" s="4">
        <v>46006</v>
      </c>
      <c r="I586" t="s">
        <v>13</v>
      </c>
      <c r="J586">
        <v>6.5</v>
      </c>
      <c r="K586" s="3">
        <v>195.26</v>
      </c>
    </row>
    <row r="587" spans="1:11" x14ac:dyDescent="0.25">
      <c r="A587">
        <v>451815</v>
      </c>
      <c r="B587" t="s">
        <v>91</v>
      </c>
      <c r="C587" s="3">
        <v>15.89</v>
      </c>
      <c r="D587" s="3">
        <v>14.98</v>
      </c>
      <c r="E587" s="3">
        <v>0</v>
      </c>
      <c r="F587">
        <v>9</v>
      </c>
      <c r="G587" t="s">
        <v>15</v>
      </c>
      <c r="H587" s="4">
        <v>46006</v>
      </c>
      <c r="I587" t="s">
        <v>22</v>
      </c>
      <c r="J587">
        <v>1.5</v>
      </c>
      <c r="K587" s="3">
        <v>58.11</v>
      </c>
    </row>
    <row r="588" spans="1:11" x14ac:dyDescent="0.25">
      <c r="A588">
        <v>451815</v>
      </c>
      <c r="B588" t="s">
        <v>91</v>
      </c>
      <c r="C588" s="3">
        <v>15.89</v>
      </c>
      <c r="D588" s="3">
        <v>14.98</v>
      </c>
      <c r="E588" s="3">
        <v>0</v>
      </c>
      <c r="F588">
        <v>9</v>
      </c>
      <c r="G588" t="s">
        <v>15</v>
      </c>
      <c r="H588" s="4">
        <v>46007</v>
      </c>
      <c r="I588" t="s">
        <v>13</v>
      </c>
      <c r="J588">
        <v>6</v>
      </c>
      <c r="K588" s="3">
        <v>180.24</v>
      </c>
    </row>
    <row r="589" spans="1:11" x14ac:dyDescent="0.25">
      <c r="A589">
        <v>451815</v>
      </c>
      <c r="B589" t="s">
        <v>91</v>
      </c>
      <c r="C589" s="3">
        <v>15.89</v>
      </c>
      <c r="D589" s="3">
        <v>14.98</v>
      </c>
      <c r="E589" s="3">
        <v>0</v>
      </c>
      <c r="F589">
        <v>9</v>
      </c>
      <c r="G589" t="s">
        <v>15</v>
      </c>
      <c r="H589" s="4">
        <v>46007</v>
      </c>
      <c r="I589" t="s">
        <v>22</v>
      </c>
      <c r="J589">
        <v>1.5</v>
      </c>
      <c r="K589" s="3">
        <v>58.11</v>
      </c>
    </row>
    <row r="590" spans="1:11" x14ac:dyDescent="0.25">
      <c r="A590">
        <v>451815</v>
      </c>
      <c r="B590" t="s">
        <v>91</v>
      </c>
      <c r="C590" s="3">
        <v>15.89</v>
      </c>
      <c r="D590" s="3">
        <v>14.98</v>
      </c>
      <c r="E590" s="3">
        <v>0</v>
      </c>
      <c r="F590">
        <v>9</v>
      </c>
      <c r="G590" t="s">
        <v>15</v>
      </c>
      <c r="H590" s="4">
        <v>46008</v>
      </c>
      <c r="I590" t="s">
        <v>13</v>
      </c>
      <c r="J590">
        <v>6.25</v>
      </c>
      <c r="K590" s="3">
        <v>187.75</v>
      </c>
    </row>
    <row r="591" spans="1:11" x14ac:dyDescent="0.25">
      <c r="A591">
        <v>451815</v>
      </c>
      <c r="B591" t="s">
        <v>91</v>
      </c>
      <c r="C591" s="3">
        <v>15.89</v>
      </c>
      <c r="D591" s="3">
        <v>14.98</v>
      </c>
      <c r="E591" s="3">
        <v>0</v>
      </c>
      <c r="F591">
        <v>9</v>
      </c>
      <c r="G591" t="s">
        <v>15</v>
      </c>
      <c r="H591" s="4">
        <v>46008</v>
      </c>
      <c r="I591" t="s">
        <v>22</v>
      </c>
      <c r="J591">
        <v>1.25</v>
      </c>
      <c r="K591" s="3">
        <v>48.43</v>
      </c>
    </row>
    <row r="592" spans="1:11" x14ac:dyDescent="0.25">
      <c r="A592">
        <v>451815</v>
      </c>
      <c r="B592" t="s">
        <v>91</v>
      </c>
      <c r="C592" s="3">
        <v>15.89</v>
      </c>
      <c r="D592" s="3">
        <v>14.98</v>
      </c>
      <c r="E592" s="3">
        <v>0</v>
      </c>
      <c r="F592">
        <v>9</v>
      </c>
      <c r="G592" t="s">
        <v>15</v>
      </c>
      <c r="H592" s="4">
        <v>46010</v>
      </c>
      <c r="I592" t="s">
        <v>13</v>
      </c>
      <c r="J592">
        <v>6.5</v>
      </c>
      <c r="K592" s="3">
        <v>195.26</v>
      </c>
    </row>
    <row r="593" spans="1:11" x14ac:dyDescent="0.25">
      <c r="A593">
        <v>451815</v>
      </c>
      <c r="B593" t="s">
        <v>91</v>
      </c>
      <c r="C593" s="3">
        <v>15.89</v>
      </c>
      <c r="D593" s="3">
        <v>14.98</v>
      </c>
      <c r="E593" s="3">
        <v>0</v>
      </c>
      <c r="F593">
        <v>9</v>
      </c>
      <c r="G593" t="s">
        <v>15</v>
      </c>
      <c r="H593" s="4">
        <v>46010</v>
      </c>
      <c r="I593" t="s">
        <v>22</v>
      </c>
      <c r="J593">
        <v>1.25</v>
      </c>
      <c r="K593" s="3">
        <v>48.43</v>
      </c>
    </row>
    <row r="594" spans="1:11" x14ac:dyDescent="0.25">
      <c r="A594">
        <v>452362</v>
      </c>
      <c r="B594" t="s">
        <v>92</v>
      </c>
      <c r="C594" s="3">
        <v>15.89</v>
      </c>
      <c r="D594" s="3">
        <v>14.98</v>
      </c>
      <c r="E594" s="3">
        <v>0</v>
      </c>
      <c r="F594">
        <v>1</v>
      </c>
      <c r="G594" t="s">
        <v>15</v>
      </c>
      <c r="H594" s="4">
        <v>46006</v>
      </c>
      <c r="I594" t="s">
        <v>13</v>
      </c>
      <c r="J594">
        <v>3</v>
      </c>
      <c r="K594" s="3">
        <v>90.12</v>
      </c>
    </row>
    <row r="595" spans="1:11" x14ac:dyDescent="0.25">
      <c r="A595">
        <v>452362</v>
      </c>
      <c r="B595" t="s">
        <v>92</v>
      </c>
      <c r="C595" s="3">
        <v>15.89</v>
      </c>
      <c r="D595" s="3">
        <v>14.98</v>
      </c>
      <c r="E595" s="3">
        <v>0</v>
      </c>
      <c r="F595">
        <v>1</v>
      </c>
      <c r="G595" t="s">
        <v>15</v>
      </c>
      <c r="H595" s="4">
        <v>46006</v>
      </c>
      <c r="I595" t="s">
        <v>21</v>
      </c>
      <c r="J595">
        <v>4.5</v>
      </c>
      <c r="K595" s="3">
        <v>172.08</v>
      </c>
    </row>
    <row r="596" spans="1:11" x14ac:dyDescent="0.25">
      <c r="A596">
        <v>452362</v>
      </c>
      <c r="B596" t="s">
        <v>92</v>
      </c>
      <c r="C596" s="3">
        <v>15.89</v>
      </c>
      <c r="D596" s="3">
        <v>14.98</v>
      </c>
      <c r="E596" s="3">
        <v>0</v>
      </c>
      <c r="F596">
        <v>1</v>
      </c>
      <c r="G596" t="s">
        <v>15</v>
      </c>
      <c r="H596" s="4">
        <v>46007</v>
      </c>
      <c r="I596" t="s">
        <v>13</v>
      </c>
      <c r="J596">
        <v>2.25</v>
      </c>
      <c r="K596" s="3">
        <v>67.59</v>
      </c>
    </row>
    <row r="597" spans="1:11" x14ac:dyDescent="0.25">
      <c r="A597">
        <v>452362</v>
      </c>
      <c r="B597" t="s">
        <v>92</v>
      </c>
      <c r="C597" s="3">
        <v>15.89</v>
      </c>
      <c r="D597" s="3">
        <v>14.98</v>
      </c>
      <c r="E597" s="3">
        <v>0</v>
      </c>
      <c r="F597">
        <v>1</v>
      </c>
      <c r="G597" t="s">
        <v>15</v>
      </c>
      <c r="H597" s="4">
        <v>46007</v>
      </c>
      <c r="I597" t="s">
        <v>21</v>
      </c>
      <c r="J597">
        <v>5</v>
      </c>
      <c r="K597" s="3">
        <v>191.2</v>
      </c>
    </row>
    <row r="598" spans="1:11" x14ac:dyDescent="0.25">
      <c r="A598">
        <v>452362</v>
      </c>
      <c r="B598" t="s">
        <v>92</v>
      </c>
      <c r="C598" s="3">
        <v>15.89</v>
      </c>
      <c r="D598" s="3">
        <v>14.98</v>
      </c>
      <c r="E598" s="3">
        <v>0</v>
      </c>
      <c r="F598">
        <v>1</v>
      </c>
      <c r="G598" t="s">
        <v>15</v>
      </c>
      <c r="H598" s="4">
        <v>46008</v>
      </c>
      <c r="I598" t="s">
        <v>13</v>
      </c>
      <c r="J598">
        <v>2.25</v>
      </c>
      <c r="K598" s="3">
        <v>67.59</v>
      </c>
    </row>
    <row r="599" spans="1:11" x14ac:dyDescent="0.25">
      <c r="A599">
        <v>452362</v>
      </c>
      <c r="B599" t="s">
        <v>92</v>
      </c>
      <c r="C599" s="3">
        <v>15.89</v>
      </c>
      <c r="D599" s="3">
        <v>14.98</v>
      </c>
      <c r="E599" s="3">
        <v>0</v>
      </c>
      <c r="F599">
        <v>1</v>
      </c>
      <c r="G599" t="s">
        <v>15</v>
      </c>
      <c r="H599" s="4">
        <v>46008</v>
      </c>
      <c r="I599" t="s">
        <v>21</v>
      </c>
      <c r="J599">
        <v>4.75</v>
      </c>
      <c r="K599" s="3">
        <v>181.64</v>
      </c>
    </row>
    <row r="600" spans="1:11" x14ac:dyDescent="0.25">
      <c r="A600">
        <v>452362</v>
      </c>
      <c r="B600" t="s">
        <v>92</v>
      </c>
      <c r="C600" s="3">
        <v>15.89</v>
      </c>
      <c r="D600" s="3">
        <v>14.98</v>
      </c>
      <c r="E600" s="3">
        <v>0</v>
      </c>
      <c r="F600">
        <v>1</v>
      </c>
      <c r="G600" t="s">
        <v>15</v>
      </c>
      <c r="H600" s="4">
        <v>46009</v>
      </c>
      <c r="I600" t="s">
        <v>13</v>
      </c>
      <c r="J600">
        <v>2.25</v>
      </c>
      <c r="K600" s="3">
        <v>67.59</v>
      </c>
    </row>
    <row r="601" spans="1:11" x14ac:dyDescent="0.25">
      <c r="A601">
        <v>452362</v>
      </c>
      <c r="B601" t="s">
        <v>92</v>
      </c>
      <c r="C601" s="3">
        <v>15.89</v>
      </c>
      <c r="D601" s="3">
        <v>14.98</v>
      </c>
      <c r="E601" s="3">
        <v>0</v>
      </c>
      <c r="F601">
        <v>1</v>
      </c>
      <c r="G601" t="s">
        <v>15</v>
      </c>
      <c r="H601" s="4">
        <v>46009</v>
      </c>
      <c r="I601" t="s">
        <v>21</v>
      </c>
      <c r="J601">
        <v>5</v>
      </c>
      <c r="K601" s="3">
        <v>191.2</v>
      </c>
    </row>
    <row r="602" spans="1:11" x14ac:dyDescent="0.25">
      <c r="A602">
        <v>452362</v>
      </c>
      <c r="B602" t="s">
        <v>92</v>
      </c>
      <c r="C602" s="3">
        <v>15.89</v>
      </c>
      <c r="D602" s="3">
        <v>14.98</v>
      </c>
      <c r="E602" s="3">
        <v>0</v>
      </c>
      <c r="F602">
        <v>1</v>
      </c>
      <c r="G602" t="s">
        <v>15</v>
      </c>
      <c r="H602" s="4">
        <v>46010</v>
      </c>
      <c r="I602" t="s">
        <v>13</v>
      </c>
      <c r="J602">
        <v>2.25</v>
      </c>
      <c r="K602" s="3">
        <v>67.59</v>
      </c>
    </row>
    <row r="603" spans="1:11" x14ac:dyDescent="0.25">
      <c r="A603">
        <v>452362</v>
      </c>
      <c r="B603" t="s">
        <v>92</v>
      </c>
      <c r="C603" s="3">
        <v>15.89</v>
      </c>
      <c r="D603" s="3">
        <v>14.98</v>
      </c>
      <c r="E603" s="3">
        <v>0</v>
      </c>
      <c r="F603">
        <v>1</v>
      </c>
      <c r="G603" t="s">
        <v>15</v>
      </c>
      <c r="H603" s="4">
        <v>46010</v>
      </c>
      <c r="I603" t="s">
        <v>21</v>
      </c>
      <c r="J603">
        <v>3.75</v>
      </c>
      <c r="K603" s="3">
        <v>143.4</v>
      </c>
    </row>
    <row r="604" spans="1:11" x14ac:dyDescent="0.25">
      <c r="A604">
        <v>452363</v>
      </c>
      <c r="B604" t="s">
        <v>93</v>
      </c>
      <c r="C604" s="3">
        <v>15.89</v>
      </c>
      <c r="D604" s="3">
        <v>14.98</v>
      </c>
      <c r="E604" s="3">
        <v>0</v>
      </c>
      <c r="F604">
        <v>1</v>
      </c>
      <c r="G604" t="s">
        <v>15</v>
      </c>
      <c r="H604" s="4">
        <v>46006</v>
      </c>
      <c r="I604" t="s">
        <v>13</v>
      </c>
      <c r="J604">
        <v>2.75</v>
      </c>
      <c r="K604" s="3">
        <v>82.61</v>
      </c>
    </row>
    <row r="605" spans="1:11" x14ac:dyDescent="0.25">
      <c r="A605">
        <v>452363</v>
      </c>
      <c r="B605" t="s">
        <v>93</v>
      </c>
      <c r="C605" s="3">
        <v>15.89</v>
      </c>
      <c r="D605" s="3">
        <v>14.98</v>
      </c>
      <c r="E605" s="3">
        <v>0</v>
      </c>
      <c r="F605">
        <v>1</v>
      </c>
      <c r="G605" t="s">
        <v>15</v>
      </c>
      <c r="H605" s="4">
        <v>46006</v>
      </c>
      <c r="I605" t="s">
        <v>21</v>
      </c>
      <c r="J605">
        <v>4.5</v>
      </c>
      <c r="K605" s="3">
        <v>172.08</v>
      </c>
    </row>
    <row r="606" spans="1:11" x14ac:dyDescent="0.25">
      <c r="A606">
        <v>452363</v>
      </c>
      <c r="B606" t="s">
        <v>93</v>
      </c>
      <c r="C606" s="3">
        <v>15.89</v>
      </c>
      <c r="D606" s="3">
        <v>14.98</v>
      </c>
      <c r="E606" s="3">
        <v>0</v>
      </c>
      <c r="F606">
        <v>1</v>
      </c>
      <c r="G606" t="s">
        <v>15</v>
      </c>
      <c r="H606" s="4">
        <v>46007</v>
      </c>
      <c r="I606" t="s">
        <v>13</v>
      </c>
      <c r="J606">
        <v>2.25</v>
      </c>
      <c r="K606" s="3">
        <v>67.59</v>
      </c>
    </row>
    <row r="607" spans="1:11" x14ac:dyDescent="0.25">
      <c r="A607">
        <v>452363</v>
      </c>
      <c r="B607" t="s">
        <v>93</v>
      </c>
      <c r="C607" s="3">
        <v>15.89</v>
      </c>
      <c r="D607" s="3">
        <v>14.98</v>
      </c>
      <c r="E607" s="3">
        <v>0</v>
      </c>
      <c r="F607">
        <v>1</v>
      </c>
      <c r="G607" t="s">
        <v>15</v>
      </c>
      <c r="H607" s="4">
        <v>46007</v>
      </c>
      <c r="I607" t="s">
        <v>21</v>
      </c>
      <c r="J607">
        <v>4.25</v>
      </c>
      <c r="K607" s="3">
        <v>162.52000000000001</v>
      </c>
    </row>
    <row r="608" spans="1:11" x14ac:dyDescent="0.25">
      <c r="A608">
        <v>452363</v>
      </c>
      <c r="B608" t="s">
        <v>93</v>
      </c>
      <c r="C608" s="3">
        <v>15.89</v>
      </c>
      <c r="D608" s="3">
        <v>14.98</v>
      </c>
      <c r="E608" s="3">
        <v>0</v>
      </c>
      <c r="F608">
        <v>1</v>
      </c>
      <c r="G608" t="s">
        <v>15</v>
      </c>
      <c r="H608" s="4">
        <v>46008</v>
      </c>
      <c r="I608" t="s">
        <v>13</v>
      </c>
      <c r="J608">
        <v>2.25</v>
      </c>
      <c r="K608" s="3">
        <v>67.59</v>
      </c>
    </row>
    <row r="609" spans="1:11" x14ac:dyDescent="0.25">
      <c r="A609">
        <v>452363</v>
      </c>
      <c r="B609" t="s">
        <v>93</v>
      </c>
      <c r="C609" s="3">
        <v>15.89</v>
      </c>
      <c r="D609" s="3">
        <v>14.98</v>
      </c>
      <c r="E609" s="3">
        <v>0</v>
      </c>
      <c r="F609">
        <v>1</v>
      </c>
      <c r="G609" t="s">
        <v>15</v>
      </c>
      <c r="H609" s="4">
        <v>46008</v>
      </c>
      <c r="I609" t="s">
        <v>21</v>
      </c>
      <c r="J609">
        <v>5</v>
      </c>
      <c r="K609" s="3">
        <v>191.2</v>
      </c>
    </row>
    <row r="610" spans="1:11" x14ac:dyDescent="0.25">
      <c r="A610">
        <v>452363</v>
      </c>
      <c r="B610" t="s">
        <v>93</v>
      </c>
      <c r="C610" s="3">
        <v>15.89</v>
      </c>
      <c r="D610" s="3">
        <v>14.98</v>
      </c>
      <c r="E610" s="3">
        <v>0</v>
      </c>
      <c r="F610">
        <v>1</v>
      </c>
      <c r="G610" t="s">
        <v>15</v>
      </c>
      <c r="H610" s="4">
        <v>46009</v>
      </c>
      <c r="I610" t="s">
        <v>13</v>
      </c>
      <c r="J610">
        <v>2</v>
      </c>
      <c r="K610" s="3">
        <v>60.08</v>
      </c>
    </row>
    <row r="611" spans="1:11" x14ac:dyDescent="0.25">
      <c r="A611">
        <v>452363</v>
      </c>
      <c r="B611" t="s">
        <v>93</v>
      </c>
      <c r="C611" s="3">
        <v>15.89</v>
      </c>
      <c r="D611" s="3">
        <v>14.98</v>
      </c>
      <c r="E611" s="3">
        <v>0</v>
      </c>
      <c r="F611">
        <v>1</v>
      </c>
      <c r="G611" t="s">
        <v>15</v>
      </c>
      <c r="H611" s="4">
        <v>46009</v>
      </c>
      <c r="I611" t="s">
        <v>21</v>
      </c>
      <c r="J611">
        <v>5.25</v>
      </c>
      <c r="K611" s="3">
        <v>200.76</v>
      </c>
    </row>
    <row r="612" spans="1:11" x14ac:dyDescent="0.25">
      <c r="A612">
        <v>452363</v>
      </c>
      <c r="B612" t="s">
        <v>93</v>
      </c>
      <c r="C612" s="3">
        <v>15.89</v>
      </c>
      <c r="D612" s="3">
        <v>14.98</v>
      </c>
      <c r="E612" s="3">
        <v>0</v>
      </c>
      <c r="F612">
        <v>1</v>
      </c>
      <c r="G612" t="s">
        <v>15</v>
      </c>
      <c r="H612" s="4">
        <v>46010</v>
      </c>
      <c r="I612" t="s">
        <v>13</v>
      </c>
      <c r="J612">
        <v>2.25</v>
      </c>
      <c r="K612" s="3">
        <v>67.59</v>
      </c>
    </row>
    <row r="613" spans="1:11" x14ac:dyDescent="0.25">
      <c r="A613">
        <v>452363</v>
      </c>
      <c r="B613" t="s">
        <v>93</v>
      </c>
      <c r="C613" s="3">
        <v>15.89</v>
      </c>
      <c r="D613" s="3">
        <v>14.98</v>
      </c>
      <c r="E613" s="3">
        <v>0</v>
      </c>
      <c r="F613">
        <v>1</v>
      </c>
      <c r="G613" t="s">
        <v>15</v>
      </c>
      <c r="H613" s="4">
        <v>46010</v>
      </c>
      <c r="I613" t="s">
        <v>21</v>
      </c>
      <c r="J613">
        <v>3.75</v>
      </c>
      <c r="K613" s="3">
        <v>143.4</v>
      </c>
    </row>
    <row r="614" spans="1:11" x14ac:dyDescent="0.25">
      <c r="A614">
        <v>452659</v>
      </c>
      <c r="B614" t="s">
        <v>94</v>
      </c>
      <c r="C614" s="3">
        <v>15.89</v>
      </c>
      <c r="D614" s="3">
        <v>14.98</v>
      </c>
      <c r="E614" s="3">
        <v>0</v>
      </c>
      <c r="F614">
        <v>8</v>
      </c>
      <c r="G614" t="s">
        <v>15</v>
      </c>
      <c r="H614" s="4">
        <v>46006</v>
      </c>
      <c r="I614" t="s">
        <v>13</v>
      </c>
      <c r="J614">
        <v>2.75</v>
      </c>
      <c r="K614" s="3">
        <v>82.61</v>
      </c>
    </row>
    <row r="615" spans="1:11" x14ac:dyDescent="0.25">
      <c r="A615">
        <v>452659</v>
      </c>
      <c r="B615" t="s">
        <v>94</v>
      </c>
      <c r="C615" s="3">
        <v>15.89</v>
      </c>
      <c r="D615" s="3">
        <v>14.98</v>
      </c>
      <c r="E615" s="3">
        <v>0</v>
      </c>
      <c r="F615">
        <v>8</v>
      </c>
      <c r="G615" t="s">
        <v>15</v>
      </c>
      <c r="H615" s="4">
        <v>46006</v>
      </c>
      <c r="I615" t="s">
        <v>21</v>
      </c>
      <c r="J615">
        <v>4.25</v>
      </c>
      <c r="K615" s="3">
        <v>162.52000000000001</v>
      </c>
    </row>
    <row r="616" spans="1:11" x14ac:dyDescent="0.25">
      <c r="A616">
        <v>452659</v>
      </c>
      <c r="B616" t="s">
        <v>94</v>
      </c>
      <c r="C616" s="3">
        <v>15.89</v>
      </c>
      <c r="D616" s="3">
        <v>14.98</v>
      </c>
      <c r="E616" s="3">
        <v>0</v>
      </c>
      <c r="F616">
        <v>8</v>
      </c>
      <c r="G616" t="s">
        <v>15</v>
      </c>
      <c r="H616" s="4">
        <v>46007</v>
      </c>
      <c r="I616" t="s">
        <v>13</v>
      </c>
      <c r="J616">
        <v>3.5</v>
      </c>
      <c r="K616" s="3">
        <v>105.14</v>
      </c>
    </row>
    <row r="617" spans="1:11" x14ac:dyDescent="0.25">
      <c r="A617">
        <v>452659</v>
      </c>
      <c r="B617" t="s">
        <v>94</v>
      </c>
      <c r="C617" s="3">
        <v>15.89</v>
      </c>
      <c r="D617" s="3">
        <v>14.98</v>
      </c>
      <c r="E617" s="3">
        <v>0</v>
      </c>
      <c r="F617">
        <v>8</v>
      </c>
      <c r="G617" t="s">
        <v>15</v>
      </c>
      <c r="H617" s="4">
        <v>46007</v>
      </c>
      <c r="I617" t="s">
        <v>21</v>
      </c>
      <c r="J617">
        <v>4</v>
      </c>
      <c r="K617" s="3">
        <v>152.96</v>
      </c>
    </row>
    <row r="618" spans="1:11" x14ac:dyDescent="0.25">
      <c r="A618">
        <v>452659</v>
      </c>
      <c r="B618" t="s">
        <v>94</v>
      </c>
      <c r="C618" s="3">
        <v>15.89</v>
      </c>
      <c r="D618" s="3">
        <v>14.98</v>
      </c>
      <c r="E618" s="3">
        <v>0</v>
      </c>
      <c r="F618">
        <v>8</v>
      </c>
      <c r="G618" t="s">
        <v>15</v>
      </c>
      <c r="H618" s="4">
        <v>46008</v>
      </c>
      <c r="I618" t="s">
        <v>13</v>
      </c>
      <c r="J618">
        <v>3.5</v>
      </c>
      <c r="K618" s="3">
        <v>105.14</v>
      </c>
    </row>
    <row r="619" spans="1:11" x14ac:dyDescent="0.25">
      <c r="A619">
        <v>452659</v>
      </c>
      <c r="B619" t="s">
        <v>94</v>
      </c>
      <c r="C619" s="3">
        <v>15.89</v>
      </c>
      <c r="D619" s="3">
        <v>14.98</v>
      </c>
      <c r="E619" s="3">
        <v>0</v>
      </c>
      <c r="F619">
        <v>8</v>
      </c>
      <c r="G619" t="s">
        <v>15</v>
      </c>
      <c r="H619" s="4">
        <v>46008</v>
      </c>
      <c r="I619" t="s">
        <v>21</v>
      </c>
      <c r="J619">
        <v>4.5</v>
      </c>
      <c r="K619" s="3">
        <v>172.08</v>
      </c>
    </row>
    <row r="620" spans="1:11" x14ac:dyDescent="0.25">
      <c r="A620">
        <v>452659</v>
      </c>
      <c r="B620" t="s">
        <v>94</v>
      </c>
      <c r="C620" s="3">
        <v>15.89</v>
      </c>
      <c r="D620" s="3">
        <v>14.98</v>
      </c>
      <c r="E620" s="3">
        <v>0</v>
      </c>
      <c r="F620">
        <v>8</v>
      </c>
      <c r="G620" t="s">
        <v>15</v>
      </c>
      <c r="H620" s="4">
        <v>46009</v>
      </c>
      <c r="I620" t="s">
        <v>13</v>
      </c>
      <c r="J620">
        <v>3.75</v>
      </c>
      <c r="K620" s="3">
        <v>112.65</v>
      </c>
    </row>
    <row r="621" spans="1:11" x14ac:dyDescent="0.25">
      <c r="A621">
        <v>452659</v>
      </c>
      <c r="B621" t="s">
        <v>94</v>
      </c>
      <c r="C621" s="3">
        <v>15.89</v>
      </c>
      <c r="D621" s="3">
        <v>14.98</v>
      </c>
      <c r="E621" s="3">
        <v>0</v>
      </c>
      <c r="F621">
        <v>8</v>
      </c>
      <c r="G621" t="s">
        <v>15</v>
      </c>
      <c r="H621" s="4">
        <v>46009</v>
      </c>
      <c r="I621" t="s">
        <v>21</v>
      </c>
      <c r="J621">
        <v>2.25</v>
      </c>
      <c r="K621" s="3">
        <v>86.04</v>
      </c>
    </row>
    <row r="622" spans="1:11" x14ac:dyDescent="0.25">
      <c r="A622">
        <v>452963</v>
      </c>
      <c r="B622" t="s">
        <v>95</v>
      </c>
      <c r="C622" s="3">
        <v>15.89</v>
      </c>
      <c r="D622" s="3">
        <v>14.98</v>
      </c>
      <c r="E622" s="3">
        <v>0</v>
      </c>
      <c r="F622">
        <v>7</v>
      </c>
      <c r="G622" t="s">
        <v>15</v>
      </c>
      <c r="H622" s="4">
        <v>46006</v>
      </c>
      <c r="I622" t="s">
        <v>13</v>
      </c>
      <c r="J622">
        <v>8</v>
      </c>
      <c r="K622" s="3">
        <v>240.32</v>
      </c>
    </row>
    <row r="623" spans="1:11" x14ac:dyDescent="0.25">
      <c r="A623">
        <v>452963</v>
      </c>
      <c r="B623" t="s">
        <v>95</v>
      </c>
      <c r="C623" s="3">
        <v>15.89</v>
      </c>
      <c r="D623" s="3">
        <v>14.98</v>
      </c>
      <c r="E623" s="3">
        <v>0</v>
      </c>
      <c r="F623">
        <v>7</v>
      </c>
      <c r="G623" t="s">
        <v>15</v>
      </c>
      <c r="H623" s="4">
        <v>46007</v>
      </c>
      <c r="I623" t="s">
        <v>13</v>
      </c>
      <c r="J623">
        <v>8</v>
      </c>
      <c r="K623" s="3">
        <v>240.32</v>
      </c>
    </row>
    <row r="624" spans="1:11" x14ac:dyDescent="0.25">
      <c r="A624">
        <v>452963</v>
      </c>
      <c r="B624" t="s">
        <v>95</v>
      </c>
      <c r="C624" s="3">
        <v>15.89</v>
      </c>
      <c r="D624" s="3">
        <v>14.98</v>
      </c>
      <c r="E624" s="3">
        <v>0</v>
      </c>
      <c r="F624">
        <v>7</v>
      </c>
      <c r="G624" t="s">
        <v>15</v>
      </c>
      <c r="H624" s="4">
        <v>46008</v>
      </c>
      <c r="I624" t="s">
        <v>13</v>
      </c>
      <c r="J624">
        <v>8</v>
      </c>
      <c r="K624" s="3">
        <v>240.32</v>
      </c>
    </row>
    <row r="625" spans="1:11" x14ac:dyDescent="0.25">
      <c r="A625">
        <v>452963</v>
      </c>
      <c r="B625" t="s">
        <v>95</v>
      </c>
      <c r="C625" s="3">
        <v>15.89</v>
      </c>
      <c r="D625" s="3">
        <v>14.98</v>
      </c>
      <c r="E625" s="3">
        <v>0</v>
      </c>
      <c r="F625">
        <v>7</v>
      </c>
      <c r="G625" t="s">
        <v>15</v>
      </c>
      <c r="H625" s="4">
        <v>46009</v>
      </c>
      <c r="I625" t="s">
        <v>13</v>
      </c>
      <c r="J625">
        <v>7</v>
      </c>
      <c r="K625" s="3">
        <v>210.28</v>
      </c>
    </row>
    <row r="626" spans="1:11" x14ac:dyDescent="0.25">
      <c r="A626">
        <v>452963</v>
      </c>
      <c r="B626" t="s">
        <v>95</v>
      </c>
      <c r="C626" s="3">
        <v>15.89</v>
      </c>
      <c r="D626" s="3">
        <v>14.98</v>
      </c>
      <c r="E626" s="3">
        <v>0</v>
      </c>
      <c r="F626">
        <v>7</v>
      </c>
      <c r="G626" t="s">
        <v>15</v>
      </c>
      <c r="H626" s="4">
        <v>46010</v>
      </c>
      <c r="I626" t="s">
        <v>13</v>
      </c>
      <c r="J626">
        <v>8</v>
      </c>
      <c r="K626" s="3">
        <v>240.32</v>
      </c>
    </row>
    <row r="627" spans="1:11" x14ac:dyDescent="0.25">
      <c r="A627">
        <v>452963</v>
      </c>
      <c r="B627" t="s">
        <v>95</v>
      </c>
      <c r="C627" s="3">
        <v>15.89</v>
      </c>
      <c r="D627" s="3">
        <v>14.98</v>
      </c>
      <c r="E627" s="3">
        <v>0</v>
      </c>
      <c r="F627">
        <v>7</v>
      </c>
      <c r="G627" t="s">
        <v>15</v>
      </c>
      <c r="H627" s="4">
        <v>46011</v>
      </c>
      <c r="I627" t="s">
        <v>13</v>
      </c>
      <c r="J627">
        <v>1</v>
      </c>
      <c r="K627" s="3">
        <v>30.04</v>
      </c>
    </row>
    <row r="628" spans="1:11" x14ac:dyDescent="0.25">
      <c r="A628">
        <v>452963</v>
      </c>
      <c r="B628" t="s">
        <v>95</v>
      </c>
      <c r="C628" s="3">
        <v>15.89</v>
      </c>
      <c r="D628" s="3">
        <v>14.98</v>
      </c>
      <c r="E628" s="3">
        <v>0</v>
      </c>
      <c r="F628">
        <v>7</v>
      </c>
      <c r="G628" t="s">
        <v>15</v>
      </c>
      <c r="H628" s="4">
        <v>46011</v>
      </c>
      <c r="I628" t="s">
        <v>24</v>
      </c>
      <c r="J628">
        <v>4.25</v>
      </c>
      <c r="K628" s="3">
        <v>155.30000000000001</v>
      </c>
    </row>
    <row r="629" spans="1:11" x14ac:dyDescent="0.25">
      <c r="A629">
        <v>453422</v>
      </c>
      <c r="B629" t="s">
        <v>96</v>
      </c>
      <c r="C629" s="3">
        <v>15.89</v>
      </c>
      <c r="D629" s="3">
        <v>14.98</v>
      </c>
      <c r="E629" s="3">
        <v>0</v>
      </c>
      <c r="F629">
        <v>6</v>
      </c>
      <c r="G629" t="s">
        <v>15</v>
      </c>
      <c r="H629" s="4">
        <v>46006</v>
      </c>
      <c r="I629" t="s">
        <v>13</v>
      </c>
      <c r="J629">
        <v>3.75</v>
      </c>
      <c r="K629" s="3">
        <v>112.65</v>
      </c>
    </row>
    <row r="630" spans="1:11" x14ac:dyDescent="0.25">
      <c r="A630">
        <v>453422</v>
      </c>
      <c r="B630" t="s">
        <v>96</v>
      </c>
      <c r="C630" s="3">
        <v>15.89</v>
      </c>
      <c r="D630" s="3">
        <v>14.98</v>
      </c>
      <c r="E630" s="3">
        <v>0</v>
      </c>
      <c r="F630">
        <v>6</v>
      </c>
      <c r="G630" t="s">
        <v>15</v>
      </c>
      <c r="H630" s="4">
        <v>46006</v>
      </c>
      <c r="I630" t="s">
        <v>21</v>
      </c>
      <c r="J630">
        <v>4.5</v>
      </c>
      <c r="K630" s="3">
        <v>172.08</v>
      </c>
    </row>
    <row r="631" spans="1:11" x14ac:dyDescent="0.25">
      <c r="A631">
        <v>453422</v>
      </c>
      <c r="B631" t="s">
        <v>96</v>
      </c>
      <c r="C631" s="3">
        <v>15.89</v>
      </c>
      <c r="D631" s="3">
        <v>14.98</v>
      </c>
      <c r="E631" s="3">
        <v>0</v>
      </c>
      <c r="F631">
        <v>6</v>
      </c>
      <c r="G631" t="s">
        <v>15</v>
      </c>
      <c r="H631" s="4">
        <v>46007</v>
      </c>
      <c r="I631" t="s">
        <v>13</v>
      </c>
      <c r="J631">
        <v>2.75</v>
      </c>
      <c r="K631" s="3">
        <v>82.61</v>
      </c>
    </row>
    <row r="632" spans="1:11" x14ac:dyDescent="0.25">
      <c r="A632">
        <v>453422</v>
      </c>
      <c r="B632" t="s">
        <v>96</v>
      </c>
      <c r="C632" s="3">
        <v>15.89</v>
      </c>
      <c r="D632" s="3">
        <v>14.98</v>
      </c>
      <c r="E632" s="3">
        <v>0</v>
      </c>
      <c r="F632">
        <v>6</v>
      </c>
      <c r="G632" t="s">
        <v>15</v>
      </c>
      <c r="H632" s="4">
        <v>46007</v>
      </c>
      <c r="I632" t="s">
        <v>21</v>
      </c>
      <c r="J632">
        <v>4.25</v>
      </c>
      <c r="K632" s="3">
        <v>162.52000000000001</v>
      </c>
    </row>
    <row r="633" spans="1:11" x14ac:dyDescent="0.25">
      <c r="A633">
        <v>453422</v>
      </c>
      <c r="B633" t="s">
        <v>96</v>
      </c>
      <c r="C633" s="3">
        <v>15.89</v>
      </c>
      <c r="D633" s="3">
        <v>14.98</v>
      </c>
      <c r="E633" s="3">
        <v>0</v>
      </c>
      <c r="F633">
        <v>6</v>
      </c>
      <c r="G633" t="s">
        <v>15</v>
      </c>
      <c r="H633" s="4">
        <v>46008</v>
      </c>
      <c r="I633" t="s">
        <v>13</v>
      </c>
      <c r="J633">
        <v>2.75</v>
      </c>
      <c r="K633" s="3">
        <v>82.61</v>
      </c>
    </row>
    <row r="634" spans="1:11" x14ac:dyDescent="0.25">
      <c r="A634">
        <v>453422</v>
      </c>
      <c r="B634" t="s">
        <v>96</v>
      </c>
      <c r="C634" s="3">
        <v>15.89</v>
      </c>
      <c r="D634" s="3">
        <v>14.98</v>
      </c>
      <c r="E634" s="3">
        <v>0</v>
      </c>
      <c r="F634">
        <v>6</v>
      </c>
      <c r="G634" t="s">
        <v>15</v>
      </c>
      <c r="H634" s="4">
        <v>46008</v>
      </c>
      <c r="I634" t="s">
        <v>21</v>
      </c>
      <c r="J634">
        <v>4</v>
      </c>
      <c r="K634" s="3">
        <v>152.96</v>
      </c>
    </row>
    <row r="635" spans="1:11" x14ac:dyDescent="0.25">
      <c r="A635">
        <v>453422</v>
      </c>
      <c r="B635" t="s">
        <v>96</v>
      </c>
      <c r="C635" s="3">
        <v>15.89</v>
      </c>
      <c r="D635" s="3">
        <v>14.98</v>
      </c>
      <c r="E635" s="3">
        <v>0</v>
      </c>
      <c r="F635">
        <v>6</v>
      </c>
      <c r="G635" t="s">
        <v>15</v>
      </c>
      <c r="H635" s="4">
        <v>46009</v>
      </c>
      <c r="I635" t="s">
        <v>13</v>
      </c>
      <c r="J635">
        <v>2.75</v>
      </c>
      <c r="K635" s="3">
        <v>82.61</v>
      </c>
    </row>
    <row r="636" spans="1:11" x14ac:dyDescent="0.25">
      <c r="A636">
        <v>453422</v>
      </c>
      <c r="B636" t="s">
        <v>96</v>
      </c>
      <c r="C636" s="3">
        <v>15.89</v>
      </c>
      <c r="D636" s="3">
        <v>14.98</v>
      </c>
      <c r="E636" s="3">
        <v>0</v>
      </c>
      <c r="F636">
        <v>6</v>
      </c>
      <c r="G636" t="s">
        <v>15</v>
      </c>
      <c r="H636" s="4">
        <v>46009</v>
      </c>
      <c r="I636" t="s">
        <v>21</v>
      </c>
      <c r="J636">
        <v>4</v>
      </c>
      <c r="K636" s="3">
        <v>152.96</v>
      </c>
    </row>
    <row r="637" spans="1:11" x14ac:dyDescent="0.25">
      <c r="A637">
        <v>453422</v>
      </c>
      <c r="B637" t="s">
        <v>96</v>
      </c>
      <c r="C637" s="3">
        <v>15.89</v>
      </c>
      <c r="D637" s="3">
        <v>14.98</v>
      </c>
      <c r="E637" s="3">
        <v>0</v>
      </c>
      <c r="F637">
        <v>6</v>
      </c>
      <c r="G637" t="s">
        <v>15</v>
      </c>
      <c r="H637" s="4">
        <v>46010</v>
      </c>
      <c r="I637" t="s">
        <v>13</v>
      </c>
      <c r="J637">
        <v>2.75</v>
      </c>
      <c r="K637" s="3">
        <v>82.61</v>
      </c>
    </row>
    <row r="638" spans="1:11" x14ac:dyDescent="0.25">
      <c r="A638">
        <v>453422</v>
      </c>
      <c r="B638" t="s">
        <v>96</v>
      </c>
      <c r="C638" s="3">
        <v>15.89</v>
      </c>
      <c r="D638" s="3">
        <v>14.98</v>
      </c>
      <c r="E638" s="3">
        <v>0</v>
      </c>
      <c r="F638">
        <v>6</v>
      </c>
      <c r="G638" t="s">
        <v>15</v>
      </c>
      <c r="H638" s="4">
        <v>46010</v>
      </c>
      <c r="I638" t="s">
        <v>21</v>
      </c>
      <c r="J638">
        <v>2.75</v>
      </c>
      <c r="K638" s="3">
        <v>105.16</v>
      </c>
    </row>
    <row r="639" spans="1:11" x14ac:dyDescent="0.25">
      <c r="A639">
        <v>454135</v>
      </c>
      <c r="B639" t="s">
        <v>97</v>
      </c>
      <c r="C639" s="3">
        <v>15.89</v>
      </c>
      <c r="D639" s="3">
        <v>14.98</v>
      </c>
      <c r="E639" s="3">
        <v>0</v>
      </c>
      <c r="F639">
        <v>5</v>
      </c>
      <c r="G639" t="s">
        <v>15</v>
      </c>
      <c r="H639" s="4">
        <v>46011</v>
      </c>
      <c r="I639" t="s">
        <v>24</v>
      </c>
      <c r="J639">
        <v>4.5</v>
      </c>
      <c r="K639" s="3">
        <v>164.43</v>
      </c>
    </row>
    <row r="640" spans="1:11" x14ac:dyDescent="0.25">
      <c r="A640">
        <v>454283</v>
      </c>
      <c r="B640" t="s">
        <v>98</v>
      </c>
      <c r="C640" s="3">
        <v>15.89</v>
      </c>
      <c r="D640" s="3">
        <v>14.98</v>
      </c>
      <c r="E640" s="3">
        <v>0</v>
      </c>
      <c r="F640">
        <v>5</v>
      </c>
      <c r="G640" t="s">
        <v>15</v>
      </c>
      <c r="H640" s="4">
        <v>46006</v>
      </c>
      <c r="I640" t="s">
        <v>13</v>
      </c>
      <c r="J640">
        <v>2.75</v>
      </c>
      <c r="K640" s="3">
        <v>82.61</v>
      </c>
    </row>
    <row r="641" spans="1:11" x14ac:dyDescent="0.25">
      <c r="A641">
        <v>454283</v>
      </c>
      <c r="B641" t="s">
        <v>98</v>
      </c>
      <c r="C641" s="3">
        <v>15.89</v>
      </c>
      <c r="D641" s="3">
        <v>14.98</v>
      </c>
      <c r="E641" s="3">
        <v>0</v>
      </c>
      <c r="F641">
        <v>5</v>
      </c>
      <c r="G641" t="s">
        <v>15</v>
      </c>
      <c r="H641" s="4">
        <v>46006</v>
      </c>
      <c r="I641" t="s">
        <v>21</v>
      </c>
      <c r="J641">
        <v>5</v>
      </c>
      <c r="K641" s="3">
        <v>191.2</v>
      </c>
    </row>
    <row r="642" spans="1:11" x14ac:dyDescent="0.25">
      <c r="A642">
        <v>454283</v>
      </c>
      <c r="B642" t="s">
        <v>98</v>
      </c>
      <c r="C642" s="3">
        <v>15.89</v>
      </c>
      <c r="D642" s="3">
        <v>14.98</v>
      </c>
      <c r="E642" s="3">
        <v>0</v>
      </c>
      <c r="F642">
        <v>5</v>
      </c>
      <c r="G642" t="s">
        <v>15</v>
      </c>
      <c r="H642" s="4">
        <v>46007</v>
      </c>
      <c r="I642" t="s">
        <v>13</v>
      </c>
      <c r="J642">
        <v>2.75</v>
      </c>
      <c r="K642" s="3">
        <v>82.61</v>
      </c>
    </row>
    <row r="643" spans="1:11" x14ac:dyDescent="0.25">
      <c r="A643">
        <v>454283</v>
      </c>
      <c r="B643" t="s">
        <v>98</v>
      </c>
      <c r="C643" s="3">
        <v>15.89</v>
      </c>
      <c r="D643" s="3">
        <v>14.98</v>
      </c>
      <c r="E643" s="3">
        <v>0</v>
      </c>
      <c r="F643">
        <v>5</v>
      </c>
      <c r="G643" t="s">
        <v>15</v>
      </c>
      <c r="H643" s="4">
        <v>46007</v>
      </c>
      <c r="I643" t="s">
        <v>21</v>
      </c>
      <c r="J643">
        <v>4.25</v>
      </c>
      <c r="K643" s="3">
        <v>162.52000000000001</v>
      </c>
    </row>
    <row r="644" spans="1:11" x14ac:dyDescent="0.25">
      <c r="A644">
        <v>454283</v>
      </c>
      <c r="B644" t="s">
        <v>98</v>
      </c>
      <c r="C644" s="3">
        <v>15.89</v>
      </c>
      <c r="D644" s="3">
        <v>14.98</v>
      </c>
      <c r="E644" s="3">
        <v>0</v>
      </c>
      <c r="F644">
        <v>5</v>
      </c>
      <c r="G644" t="s">
        <v>15</v>
      </c>
      <c r="H644" s="4">
        <v>46008</v>
      </c>
      <c r="I644" t="s">
        <v>13</v>
      </c>
      <c r="J644">
        <v>2.75</v>
      </c>
      <c r="K644" s="3">
        <v>82.61</v>
      </c>
    </row>
    <row r="645" spans="1:11" x14ac:dyDescent="0.25">
      <c r="A645">
        <v>454283</v>
      </c>
      <c r="B645" t="s">
        <v>98</v>
      </c>
      <c r="C645" s="3">
        <v>15.89</v>
      </c>
      <c r="D645" s="3">
        <v>14.98</v>
      </c>
      <c r="E645" s="3">
        <v>0</v>
      </c>
      <c r="F645">
        <v>5</v>
      </c>
      <c r="G645" t="s">
        <v>15</v>
      </c>
      <c r="H645" s="4">
        <v>46008</v>
      </c>
      <c r="I645" t="s">
        <v>21</v>
      </c>
      <c r="J645">
        <v>5.25</v>
      </c>
      <c r="K645" s="3">
        <v>200.76</v>
      </c>
    </row>
    <row r="646" spans="1:11" x14ac:dyDescent="0.25">
      <c r="A646">
        <v>454283</v>
      </c>
      <c r="B646" t="s">
        <v>98</v>
      </c>
      <c r="C646" s="3">
        <v>15.89</v>
      </c>
      <c r="D646" s="3">
        <v>14.98</v>
      </c>
      <c r="E646" s="3">
        <v>0</v>
      </c>
      <c r="F646">
        <v>5</v>
      </c>
      <c r="G646" t="s">
        <v>15</v>
      </c>
      <c r="H646" s="4">
        <v>46009</v>
      </c>
      <c r="I646" t="s">
        <v>13</v>
      </c>
      <c r="J646">
        <v>2.75</v>
      </c>
      <c r="K646" s="3">
        <v>82.61</v>
      </c>
    </row>
    <row r="647" spans="1:11" x14ac:dyDescent="0.25">
      <c r="A647">
        <v>454283</v>
      </c>
      <c r="B647" t="s">
        <v>98</v>
      </c>
      <c r="C647" s="3">
        <v>15.89</v>
      </c>
      <c r="D647" s="3">
        <v>14.98</v>
      </c>
      <c r="E647" s="3">
        <v>0</v>
      </c>
      <c r="F647">
        <v>5</v>
      </c>
      <c r="G647" t="s">
        <v>15</v>
      </c>
      <c r="H647" s="4">
        <v>46009</v>
      </c>
      <c r="I647" t="s">
        <v>21</v>
      </c>
      <c r="J647">
        <v>4.75</v>
      </c>
      <c r="K647" s="3">
        <v>181.64</v>
      </c>
    </row>
    <row r="648" spans="1:11" x14ac:dyDescent="0.25">
      <c r="A648">
        <v>454283</v>
      </c>
      <c r="B648" t="s">
        <v>98</v>
      </c>
      <c r="C648" s="3">
        <v>15.89</v>
      </c>
      <c r="D648" s="3">
        <v>14.98</v>
      </c>
      <c r="E648" s="3">
        <v>0</v>
      </c>
      <c r="F648">
        <v>5</v>
      </c>
      <c r="G648" t="s">
        <v>15</v>
      </c>
      <c r="H648" s="4">
        <v>46010</v>
      </c>
      <c r="I648" t="s">
        <v>13</v>
      </c>
      <c r="J648">
        <v>2.75</v>
      </c>
      <c r="K648" s="3">
        <v>82.61</v>
      </c>
    </row>
    <row r="649" spans="1:11" x14ac:dyDescent="0.25">
      <c r="A649">
        <v>454283</v>
      </c>
      <c r="B649" t="s">
        <v>98</v>
      </c>
      <c r="C649" s="3">
        <v>15.89</v>
      </c>
      <c r="D649" s="3">
        <v>14.98</v>
      </c>
      <c r="E649" s="3">
        <v>0</v>
      </c>
      <c r="F649">
        <v>5</v>
      </c>
      <c r="G649" t="s">
        <v>15</v>
      </c>
      <c r="H649" s="4">
        <v>46010</v>
      </c>
      <c r="I649" t="s">
        <v>21</v>
      </c>
      <c r="J649">
        <v>3.75</v>
      </c>
      <c r="K649" s="3">
        <v>143.4</v>
      </c>
    </row>
    <row r="650" spans="1:11" x14ac:dyDescent="0.25">
      <c r="A650">
        <v>454297</v>
      </c>
      <c r="B650" t="s">
        <v>99</v>
      </c>
      <c r="C650" s="3">
        <v>15.89</v>
      </c>
      <c r="D650" s="3">
        <v>14.98</v>
      </c>
      <c r="E650" s="3">
        <v>0</v>
      </c>
      <c r="F650">
        <v>5</v>
      </c>
      <c r="G650" t="s">
        <v>15</v>
      </c>
      <c r="H650" s="4">
        <v>46006</v>
      </c>
      <c r="I650" t="s">
        <v>13</v>
      </c>
      <c r="J650">
        <v>3</v>
      </c>
      <c r="K650" s="3">
        <v>90.12</v>
      </c>
    </row>
    <row r="651" spans="1:11" x14ac:dyDescent="0.25">
      <c r="A651">
        <v>454297</v>
      </c>
      <c r="B651" t="s">
        <v>99</v>
      </c>
      <c r="C651" s="3">
        <v>15.89</v>
      </c>
      <c r="D651" s="3">
        <v>14.98</v>
      </c>
      <c r="E651" s="3">
        <v>0</v>
      </c>
      <c r="F651">
        <v>5</v>
      </c>
      <c r="G651" t="s">
        <v>15</v>
      </c>
      <c r="H651" s="4">
        <v>46006</v>
      </c>
      <c r="I651" t="s">
        <v>21</v>
      </c>
      <c r="J651">
        <v>5</v>
      </c>
      <c r="K651" s="3">
        <v>191.2</v>
      </c>
    </row>
    <row r="652" spans="1:11" x14ac:dyDescent="0.25">
      <c r="A652">
        <v>454297</v>
      </c>
      <c r="B652" t="s">
        <v>99</v>
      </c>
      <c r="C652" s="3">
        <v>15.89</v>
      </c>
      <c r="D652" s="3">
        <v>14.98</v>
      </c>
      <c r="E652" s="3">
        <v>0</v>
      </c>
      <c r="F652">
        <v>5</v>
      </c>
      <c r="G652" t="s">
        <v>15</v>
      </c>
      <c r="H652" s="4">
        <v>46007</v>
      </c>
      <c r="I652" t="s">
        <v>13</v>
      </c>
      <c r="J652">
        <v>2.75</v>
      </c>
      <c r="K652" s="3">
        <v>82.61</v>
      </c>
    </row>
    <row r="653" spans="1:11" x14ac:dyDescent="0.25">
      <c r="A653">
        <v>454297</v>
      </c>
      <c r="B653" t="s">
        <v>99</v>
      </c>
      <c r="C653" s="3">
        <v>15.89</v>
      </c>
      <c r="D653" s="3">
        <v>14.98</v>
      </c>
      <c r="E653" s="3">
        <v>0</v>
      </c>
      <c r="F653">
        <v>5</v>
      </c>
      <c r="G653" t="s">
        <v>15</v>
      </c>
      <c r="H653" s="4">
        <v>46007</v>
      </c>
      <c r="I653" t="s">
        <v>21</v>
      </c>
      <c r="J653">
        <v>4.25</v>
      </c>
      <c r="K653" s="3">
        <v>162.52000000000001</v>
      </c>
    </row>
    <row r="654" spans="1:11" x14ac:dyDescent="0.25">
      <c r="A654">
        <v>454297</v>
      </c>
      <c r="B654" t="s">
        <v>99</v>
      </c>
      <c r="C654" s="3">
        <v>15.89</v>
      </c>
      <c r="D654" s="3">
        <v>14.98</v>
      </c>
      <c r="E654" s="3">
        <v>0</v>
      </c>
      <c r="F654">
        <v>5</v>
      </c>
      <c r="G654" t="s">
        <v>15</v>
      </c>
      <c r="H654" s="4">
        <v>46008</v>
      </c>
      <c r="I654" t="s">
        <v>13</v>
      </c>
      <c r="J654">
        <v>2.75</v>
      </c>
      <c r="K654" s="3">
        <v>82.61</v>
      </c>
    </row>
    <row r="655" spans="1:11" x14ac:dyDescent="0.25">
      <c r="A655">
        <v>454297</v>
      </c>
      <c r="B655" t="s">
        <v>99</v>
      </c>
      <c r="C655" s="3">
        <v>15.89</v>
      </c>
      <c r="D655" s="3">
        <v>14.98</v>
      </c>
      <c r="E655" s="3">
        <v>0</v>
      </c>
      <c r="F655">
        <v>5</v>
      </c>
      <c r="G655" t="s">
        <v>15</v>
      </c>
      <c r="H655" s="4">
        <v>46008</v>
      </c>
      <c r="I655" t="s">
        <v>21</v>
      </c>
      <c r="J655">
        <v>5.25</v>
      </c>
      <c r="K655" s="3">
        <v>200.76</v>
      </c>
    </row>
    <row r="656" spans="1:11" x14ac:dyDescent="0.25">
      <c r="A656">
        <v>454297</v>
      </c>
      <c r="B656" t="s">
        <v>99</v>
      </c>
      <c r="C656" s="3">
        <v>15.89</v>
      </c>
      <c r="D656" s="3">
        <v>14.98</v>
      </c>
      <c r="E656" s="3">
        <v>0</v>
      </c>
      <c r="F656">
        <v>5</v>
      </c>
      <c r="G656" t="s">
        <v>15</v>
      </c>
      <c r="H656" s="4">
        <v>46009</v>
      </c>
      <c r="I656" t="s">
        <v>13</v>
      </c>
      <c r="J656">
        <v>2.75</v>
      </c>
      <c r="K656" s="3">
        <v>82.61</v>
      </c>
    </row>
    <row r="657" spans="1:11" x14ac:dyDescent="0.25">
      <c r="A657">
        <v>454297</v>
      </c>
      <c r="B657" t="s">
        <v>99</v>
      </c>
      <c r="C657" s="3">
        <v>15.89</v>
      </c>
      <c r="D657" s="3">
        <v>14.98</v>
      </c>
      <c r="E657" s="3">
        <v>0</v>
      </c>
      <c r="F657">
        <v>5</v>
      </c>
      <c r="G657" t="s">
        <v>15</v>
      </c>
      <c r="H657" s="4">
        <v>46009</v>
      </c>
      <c r="I657" t="s">
        <v>21</v>
      </c>
      <c r="J657">
        <v>4.75</v>
      </c>
      <c r="K657" s="3">
        <v>181.64</v>
      </c>
    </row>
    <row r="658" spans="1:11" x14ac:dyDescent="0.25">
      <c r="A658">
        <v>454297</v>
      </c>
      <c r="B658" t="s">
        <v>99</v>
      </c>
      <c r="C658" s="3">
        <v>15.89</v>
      </c>
      <c r="D658" s="3">
        <v>14.98</v>
      </c>
      <c r="E658" s="3">
        <v>0</v>
      </c>
      <c r="F658">
        <v>5</v>
      </c>
      <c r="G658" t="s">
        <v>15</v>
      </c>
      <c r="H658" s="4">
        <v>46010</v>
      </c>
      <c r="I658" t="s">
        <v>13</v>
      </c>
      <c r="J658">
        <v>2.75</v>
      </c>
      <c r="K658" s="3">
        <v>82.61</v>
      </c>
    </row>
    <row r="659" spans="1:11" x14ac:dyDescent="0.25">
      <c r="A659">
        <v>454297</v>
      </c>
      <c r="B659" t="s">
        <v>99</v>
      </c>
      <c r="C659" s="3">
        <v>15.89</v>
      </c>
      <c r="D659" s="3">
        <v>14.98</v>
      </c>
      <c r="E659" s="3">
        <v>0</v>
      </c>
      <c r="F659">
        <v>5</v>
      </c>
      <c r="G659" t="s">
        <v>15</v>
      </c>
      <c r="H659" s="4">
        <v>46010</v>
      </c>
      <c r="I659" t="s">
        <v>21</v>
      </c>
      <c r="J659">
        <v>3.75</v>
      </c>
      <c r="K659" s="3">
        <v>143.4</v>
      </c>
    </row>
    <row r="660" spans="1:11" x14ac:dyDescent="0.25">
      <c r="A660">
        <v>454524</v>
      </c>
      <c r="B660" t="s">
        <v>100</v>
      </c>
      <c r="C660" s="3">
        <v>15.89</v>
      </c>
      <c r="D660" s="3">
        <v>14.98</v>
      </c>
      <c r="E660" s="3">
        <v>0</v>
      </c>
      <c r="F660">
        <v>4</v>
      </c>
      <c r="G660" t="s">
        <v>15</v>
      </c>
      <c r="H660" s="4">
        <v>46006</v>
      </c>
      <c r="I660" t="s">
        <v>13</v>
      </c>
      <c r="J660">
        <v>8</v>
      </c>
      <c r="K660" s="3">
        <v>240.32</v>
      </c>
    </row>
    <row r="661" spans="1:11" x14ac:dyDescent="0.25">
      <c r="A661">
        <v>454524</v>
      </c>
      <c r="B661" t="s">
        <v>100</v>
      </c>
      <c r="C661" s="3">
        <v>15.89</v>
      </c>
      <c r="D661" s="3">
        <v>14.98</v>
      </c>
      <c r="E661" s="3">
        <v>0</v>
      </c>
      <c r="F661">
        <v>4</v>
      </c>
      <c r="G661" t="s">
        <v>15</v>
      </c>
      <c r="H661" s="4">
        <v>46007</v>
      </c>
      <c r="I661" t="s">
        <v>13</v>
      </c>
      <c r="J661">
        <v>8</v>
      </c>
      <c r="K661" s="3">
        <v>240.32</v>
      </c>
    </row>
    <row r="662" spans="1:11" x14ac:dyDescent="0.25">
      <c r="A662">
        <v>454524</v>
      </c>
      <c r="B662" t="s">
        <v>100</v>
      </c>
      <c r="C662" s="3">
        <v>15.89</v>
      </c>
      <c r="D662" s="3">
        <v>14.98</v>
      </c>
      <c r="E662" s="3">
        <v>0</v>
      </c>
      <c r="F662">
        <v>4</v>
      </c>
      <c r="G662" t="s">
        <v>15</v>
      </c>
      <c r="H662" s="4">
        <v>46008</v>
      </c>
      <c r="I662" t="s">
        <v>13</v>
      </c>
      <c r="J662">
        <v>8</v>
      </c>
      <c r="K662" s="3">
        <v>240.32</v>
      </c>
    </row>
    <row r="663" spans="1:11" x14ac:dyDescent="0.25">
      <c r="A663">
        <v>454524</v>
      </c>
      <c r="B663" t="s">
        <v>100</v>
      </c>
      <c r="C663" s="3">
        <v>15.89</v>
      </c>
      <c r="D663" s="3">
        <v>14.98</v>
      </c>
      <c r="E663" s="3">
        <v>0</v>
      </c>
      <c r="F663">
        <v>4</v>
      </c>
      <c r="G663" t="s">
        <v>15</v>
      </c>
      <c r="H663" s="4">
        <v>46009</v>
      </c>
      <c r="I663" t="s">
        <v>13</v>
      </c>
      <c r="J663">
        <v>8</v>
      </c>
      <c r="K663" s="3">
        <v>240.32</v>
      </c>
    </row>
    <row r="664" spans="1:11" x14ac:dyDescent="0.25">
      <c r="A664">
        <v>454524</v>
      </c>
      <c r="B664" t="s">
        <v>100</v>
      </c>
      <c r="C664" s="3">
        <v>15.89</v>
      </c>
      <c r="D664" s="3">
        <v>14.98</v>
      </c>
      <c r="E664" s="3">
        <v>0</v>
      </c>
      <c r="F664">
        <v>4</v>
      </c>
      <c r="G664" t="s">
        <v>15</v>
      </c>
      <c r="H664" s="4">
        <v>46010</v>
      </c>
      <c r="I664" t="s">
        <v>13</v>
      </c>
      <c r="J664">
        <v>8</v>
      </c>
      <c r="K664" s="3">
        <v>240.32</v>
      </c>
    </row>
    <row r="665" spans="1:11" x14ac:dyDescent="0.25">
      <c r="A665">
        <v>437659</v>
      </c>
      <c r="B665" t="s">
        <v>101</v>
      </c>
      <c r="C665" s="3">
        <v>19.14</v>
      </c>
      <c r="D665" s="3">
        <v>18.04</v>
      </c>
      <c r="E665" s="3">
        <v>0</v>
      </c>
      <c r="F665">
        <v>246</v>
      </c>
      <c r="G665" t="s">
        <v>12</v>
      </c>
      <c r="H665" s="4">
        <v>46006</v>
      </c>
      <c r="I665" t="s">
        <v>13</v>
      </c>
      <c r="J665">
        <v>7.5</v>
      </c>
      <c r="K665" s="3">
        <v>259.27999999999997</v>
      </c>
    </row>
    <row r="666" spans="1:11" x14ac:dyDescent="0.25">
      <c r="A666">
        <v>437659</v>
      </c>
      <c r="B666" t="s">
        <v>101</v>
      </c>
      <c r="C666" s="3">
        <v>19.14</v>
      </c>
      <c r="D666" s="3">
        <v>18.04</v>
      </c>
      <c r="E666" s="3">
        <v>0</v>
      </c>
      <c r="F666">
        <v>246</v>
      </c>
      <c r="G666" t="s">
        <v>12</v>
      </c>
      <c r="H666" s="4">
        <v>46006</v>
      </c>
      <c r="I666" t="s">
        <v>21</v>
      </c>
      <c r="J666">
        <v>1.75</v>
      </c>
      <c r="K666" s="3">
        <v>77.11</v>
      </c>
    </row>
    <row r="667" spans="1:11" x14ac:dyDescent="0.25">
      <c r="A667">
        <v>437659</v>
      </c>
      <c r="B667" t="s">
        <v>101</v>
      </c>
      <c r="C667" s="3">
        <v>19.14</v>
      </c>
      <c r="D667" s="3">
        <v>18.04</v>
      </c>
      <c r="E667" s="3">
        <v>0</v>
      </c>
      <c r="F667">
        <v>246</v>
      </c>
      <c r="G667" t="s">
        <v>12</v>
      </c>
      <c r="H667" s="4">
        <v>46007</v>
      </c>
      <c r="I667" t="s">
        <v>13</v>
      </c>
      <c r="J667">
        <v>7.75</v>
      </c>
      <c r="K667" s="3">
        <v>267.92</v>
      </c>
    </row>
    <row r="668" spans="1:11" x14ac:dyDescent="0.25">
      <c r="A668">
        <v>437659</v>
      </c>
      <c r="B668" t="s">
        <v>101</v>
      </c>
      <c r="C668" s="3">
        <v>19.14</v>
      </c>
      <c r="D668" s="3">
        <v>18.04</v>
      </c>
      <c r="E668" s="3">
        <v>0</v>
      </c>
      <c r="F668">
        <v>246</v>
      </c>
      <c r="G668" t="s">
        <v>12</v>
      </c>
      <c r="H668" s="4">
        <v>46007</v>
      </c>
      <c r="I668" t="s">
        <v>21</v>
      </c>
      <c r="J668">
        <v>1.5</v>
      </c>
      <c r="K668" s="3">
        <v>66.09</v>
      </c>
    </row>
    <row r="669" spans="1:11" x14ac:dyDescent="0.25">
      <c r="A669">
        <v>437659</v>
      </c>
      <c r="B669" t="s">
        <v>101</v>
      </c>
      <c r="C669" s="3">
        <v>19.14</v>
      </c>
      <c r="D669" s="3">
        <v>18.04</v>
      </c>
      <c r="E669" s="3">
        <v>0</v>
      </c>
      <c r="F669">
        <v>246</v>
      </c>
      <c r="G669" t="s">
        <v>12</v>
      </c>
      <c r="H669" s="4">
        <v>46008</v>
      </c>
      <c r="I669" t="s">
        <v>13</v>
      </c>
      <c r="J669">
        <v>2.25</v>
      </c>
      <c r="K669" s="3">
        <v>77.78</v>
      </c>
    </row>
    <row r="670" spans="1:11" x14ac:dyDescent="0.25">
      <c r="A670">
        <v>437659</v>
      </c>
      <c r="B670" t="s">
        <v>101</v>
      </c>
      <c r="C670" s="3">
        <v>19.14</v>
      </c>
      <c r="D670" s="3">
        <v>18.04</v>
      </c>
      <c r="E670" s="3">
        <v>0</v>
      </c>
      <c r="F670">
        <v>246</v>
      </c>
      <c r="G670" t="s">
        <v>12</v>
      </c>
      <c r="H670" s="4">
        <v>46008</v>
      </c>
      <c r="I670" t="s">
        <v>21</v>
      </c>
      <c r="J670">
        <v>1.25</v>
      </c>
      <c r="K670" s="3">
        <v>55.08</v>
      </c>
    </row>
    <row r="671" spans="1:11" x14ac:dyDescent="0.25">
      <c r="A671">
        <v>437659</v>
      </c>
      <c r="B671" t="s">
        <v>101</v>
      </c>
      <c r="C671" s="3">
        <v>19.14</v>
      </c>
      <c r="D671" s="3">
        <v>18.04</v>
      </c>
      <c r="E671" s="3">
        <v>0</v>
      </c>
      <c r="F671">
        <v>246</v>
      </c>
      <c r="G671" t="s">
        <v>12</v>
      </c>
      <c r="H671" s="4">
        <v>46008</v>
      </c>
      <c r="I671" t="s">
        <v>23</v>
      </c>
      <c r="J671">
        <v>5.5</v>
      </c>
      <c r="K671" s="3">
        <v>179.19</v>
      </c>
    </row>
    <row r="672" spans="1:11" x14ac:dyDescent="0.25">
      <c r="A672">
        <v>437659</v>
      </c>
      <c r="B672" t="s">
        <v>101</v>
      </c>
      <c r="C672" s="3">
        <v>19.14</v>
      </c>
      <c r="D672" s="3">
        <v>18.04</v>
      </c>
      <c r="E672" s="3">
        <v>0</v>
      </c>
      <c r="F672">
        <v>246</v>
      </c>
      <c r="G672" t="s">
        <v>12</v>
      </c>
      <c r="H672" s="4">
        <v>46009</v>
      </c>
      <c r="I672" t="s">
        <v>13</v>
      </c>
      <c r="J672">
        <v>8</v>
      </c>
      <c r="K672" s="3">
        <v>276.56</v>
      </c>
    </row>
    <row r="673" spans="1:11" x14ac:dyDescent="0.25">
      <c r="A673">
        <v>437659</v>
      </c>
      <c r="B673" t="s">
        <v>101</v>
      </c>
      <c r="C673" s="3">
        <v>19.14</v>
      </c>
      <c r="D673" s="3">
        <v>18.04</v>
      </c>
      <c r="E673" s="3">
        <v>0</v>
      </c>
      <c r="F673">
        <v>246</v>
      </c>
      <c r="G673" t="s">
        <v>12</v>
      </c>
      <c r="H673" s="4">
        <v>46009</v>
      </c>
      <c r="I673" t="s">
        <v>21</v>
      </c>
      <c r="J673">
        <v>1.25</v>
      </c>
      <c r="K673" s="3">
        <v>55.08</v>
      </c>
    </row>
    <row r="674" spans="1:11" x14ac:dyDescent="0.25">
      <c r="A674">
        <v>437659</v>
      </c>
      <c r="B674" t="s">
        <v>101</v>
      </c>
      <c r="C674" s="3">
        <v>19.14</v>
      </c>
      <c r="D674" s="3">
        <v>18.04</v>
      </c>
      <c r="E674" s="3">
        <v>0</v>
      </c>
      <c r="F674">
        <v>246</v>
      </c>
      <c r="G674" t="s">
        <v>12</v>
      </c>
      <c r="H674" s="4">
        <v>46010</v>
      </c>
      <c r="I674" t="s">
        <v>13</v>
      </c>
      <c r="J674">
        <v>8</v>
      </c>
      <c r="K674" s="3">
        <v>276.56</v>
      </c>
    </row>
    <row r="675" spans="1:11" x14ac:dyDescent="0.25">
      <c r="A675">
        <v>437659</v>
      </c>
      <c r="B675" t="s">
        <v>101</v>
      </c>
      <c r="C675" s="3">
        <v>19.14</v>
      </c>
      <c r="D675" s="3">
        <v>18.04</v>
      </c>
      <c r="E675" s="3">
        <v>0</v>
      </c>
      <c r="F675">
        <v>246</v>
      </c>
      <c r="G675" t="s">
        <v>12</v>
      </c>
      <c r="H675" s="4">
        <v>46010</v>
      </c>
      <c r="I675" t="s">
        <v>21</v>
      </c>
      <c r="J675">
        <v>0.75</v>
      </c>
      <c r="K675" s="3">
        <v>33.049999999999997</v>
      </c>
    </row>
    <row r="676" spans="1:11" x14ac:dyDescent="0.25">
      <c r="A676">
        <v>425707</v>
      </c>
      <c r="B676" t="s">
        <v>102</v>
      </c>
      <c r="C676" s="3">
        <v>16.91</v>
      </c>
      <c r="D676" s="3">
        <v>15.94</v>
      </c>
      <c r="E676" s="3">
        <v>0</v>
      </c>
      <c r="F676">
        <v>63</v>
      </c>
      <c r="G676" t="s">
        <v>19</v>
      </c>
      <c r="H676" s="4">
        <v>46006</v>
      </c>
      <c r="I676" t="s">
        <v>13</v>
      </c>
      <c r="J676">
        <v>6.5</v>
      </c>
      <c r="K676" s="3">
        <v>207.03</v>
      </c>
    </row>
    <row r="677" spans="1:11" x14ac:dyDescent="0.25">
      <c r="A677">
        <v>425707</v>
      </c>
      <c r="B677" t="s">
        <v>102</v>
      </c>
      <c r="C677" s="3">
        <v>16.91</v>
      </c>
      <c r="D677" s="3">
        <v>15.94</v>
      </c>
      <c r="E677" s="3">
        <v>0</v>
      </c>
      <c r="F677">
        <v>63</v>
      </c>
      <c r="G677" t="s">
        <v>19</v>
      </c>
      <c r="H677" s="4">
        <v>46007</v>
      </c>
      <c r="I677" t="s">
        <v>13</v>
      </c>
      <c r="J677">
        <v>8.5</v>
      </c>
      <c r="K677" s="3">
        <v>270.73</v>
      </c>
    </row>
    <row r="678" spans="1:11" x14ac:dyDescent="0.25">
      <c r="A678">
        <v>425707</v>
      </c>
      <c r="B678" t="s">
        <v>102</v>
      </c>
      <c r="C678" s="3">
        <v>16.91</v>
      </c>
      <c r="D678" s="3">
        <v>15.94</v>
      </c>
      <c r="E678" s="3">
        <v>0</v>
      </c>
      <c r="F678">
        <v>63</v>
      </c>
      <c r="G678" t="s">
        <v>19</v>
      </c>
      <c r="H678" s="4">
        <v>46008</v>
      </c>
      <c r="I678" t="s">
        <v>13</v>
      </c>
      <c r="J678">
        <v>9</v>
      </c>
      <c r="K678" s="3">
        <v>286.64999999999998</v>
      </c>
    </row>
    <row r="679" spans="1:11" x14ac:dyDescent="0.25">
      <c r="A679">
        <v>425707</v>
      </c>
      <c r="B679" t="s">
        <v>102</v>
      </c>
      <c r="C679" s="3">
        <v>16.91</v>
      </c>
      <c r="D679" s="3">
        <v>15.94</v>
      </c>
      <c r="E679" s="3">
        <v>0</v>
      </c>
      <c r="F679">
        <v>63</v>
      </c>
      <c r="G679" t="s">
        <v>19</v>
      </c>
      <c r="H679" s="4">
        <v>46009</v>
      </c>
      <c r="I679" t="s">
        <v>13</v>
      </c>
      <c r="J679">
        <v>5.25</v>
      </c>
      <c r="K679" s="3">
        <v>167.21</v>
      </c>
    </row>
    <row r="680" spans="1:11" x14ac:dyDescent="0.25">
      <c r="A680">
        <v>425707</v>
      </c>
      <c r="B680" t="s">
        <v>102</v>
      </c>
      <c r="C680" s="3">
        <v>16.91</v>
      </c>
      <c r="D680" s="3">
        <v>15.94</v>
      </c>
      <c r="E680" s="3">
        <v>0</v>
      </c>
      <c r="F680">
        <v>63</v>
      </c>
      <c r="G680" t="s">
        <v>19</v>
      </c>
      <c r="H680" s="4">
        <v>46009</v>
      </c>
      <c r="I680" t="s">
        <v>21</v>
      </c>
      <c r="J680">
        <v>4.75</v>
      </c>
      <c r="K680" s="3">
        <v>192.47</v>
      </c>
    </row>
    <row r="681" spans="1:11" x14ac:dyDescent="0.25">
      <c r="A681">
        <v>425707</v>
      </c>
      <c r="B681" t="s">
        <v>102</v>
      </c>
      <c r="C681" s="3">
        <v>16.91</v>
      </c>
      <c r="D681" s="3">
        <v>15.94</v>
      </c>
      <c r="E681" s="3">
        <v>0</v>
      </c>
      <c r="F681">
        <v>63</v>
      </c>
      <c r="G681" t="s">
        <v>19</v>
      </c>
      <c r="H681" s="4">
        <v>46010</v>
      </c>
      <c r="I681" t="s">
        <v>13</v>
      </c>
      <c r="J681">
        <v>2.5</v>
      </c>
      <c r="K681" s="3">
        <v>79.63</v>
      </c>
    </row>
    <row r="682" spans="1:11" x14ac:dyDescent="0.25">
      <c r="A682">
        <v>425707</v>
      </c>
      <c r="B682" t="s">
        <v>102</v>
      </c>
      <c r="C682" s="3">
        <v>16.91</v>
      </c>
      <c r="D682" s="3">
        <v>15.94</v>
      </c>
      <c r="E682" s="3">
        <v>0</v>
      </c>
      <c r="F682">
        <v>63</v>
      </c>
      <c r="G682" t="s">
        <v>19</v>
      </c>
      <c r="H682" s="4">
        <v>46010</v>
      </c>
      <c r="I682" t="s">
        <v>21</v>
      </c>
      <c r="J682">
        <v>3.75</v>
      </c>
      <c r="K682" s="3">
        <v>151.94999999999999</v>
      </c>
    </row>
    <row r="683" spans="1:11" x14ac:dyDescent="0.25">
      <c r="A683">
        <v>425707</v>
      </c>
      <c r="B683" t="s">
        <v>102</v>
      </c>
      <c r="C683" s="3">
        <v>16.91</v>
      </c>
      <c r="D683" s="3">
        <v>15.94</v>
      </c>
      <c r="E683" s="3">
        <v>0</v>
      </c>
      <c r="F683">
        <v>63</v>
      </c>
      <c r="G683" t="s">
        <v>19</v>
      </c>
      <c r="H683" s="4">
        <v>46011</v>
      </c>
      <c r="I683" t="s">
        <v>24</v>
      </c>
      <c r="J683">
        <v>2.5</v>
      </c>
      <c r="K683" s="3">
        <v>96.08</v>
      </c>
    </row>
    <row r="684" spans="1:11" x14ac:dyDescent="0.25">
      <c r="A684">
        <v>425707</v>
      </c>
      <c r="B684" t="s">
        <v>102</v>
      </c>
      <c r="C684" s="3">
        <v>16.91</v>
      </c>
      <c r="D684" s="3">
        <v>15.94</v>
      </c>
      <c r="E684" s="3">
        <v>0</v>
      </c>
      <c r="F684">
        <v>63</v>
      </c>
      <c r="G684" t="s">
        <v>19</v>
      </c>
      <c r="H684" s="4">
        <v>46011</v>
      </c>
      <c r="I684" t="s">
        <v>25</v>
      </c>
      <c r="J684">
        <v>1.5</v>
      </c>
      <c r="K684" s="3">
        <v>64.05</v>
      </c>
    </row>
    <row r="685" spans="1:11" x14ac:dyDescent="0.25">
      <c r="A685">
        <v>326167</v>
      </c>
      <c r="B685" t="s">
        <v>103</v>
      </c>
      <c r="C685" s="3">
        <v>17.16</v>
      </c>
      <c r="D685" s="3">
        <v>16.170000000000002</v>
      </c>
      <c r="E685" s="3">
        <v>0</v>
      </c>
      <c r="F685">
        <v>112</v>
      </c>
      <c r="G685" t="s">
        <v>19</v>
      </c>
      <c r="H685" s="4">
        <v>46006</v>
      </c>
      <c r="I685" t="s">
        <v>13</v>
      </c>
      <c r="J685">
        <v>7</v>
      </c>
      <c r="K685" s="3">
        <v>225.96</v>
      </c>
    </row>
    <row r="686" spans="1:11" x14ac:dyDescent="0.25">
      <c r="A686">
        <v>326167</v>
      </c>
      <c r="B686" t="s">
        <v>103</v>
      </c>
      <c r="C686" s="3">
        <v>17.16</v>
      </c>
      <c r="D686" s="3">
        <v>16.170000000000002</v>
      </c>
      <c r="E686" s="3">
        <v>0</v>
      </c>
      <c r="F686">
        <v>112</v>
      </c>
      <c r="G686" t="s">
        <v>19</v>
      </c>
      <c r="H686" s="4">
        <v>46006</v>
      </c>
      <c r="I686" t="s">
        <v>22</v>
      </c>
      <c r="J686">
        <v>1</v>
      </c>
      <c r="K686" s="3">
        <v>41.61</v>
      </c>
    </row>
    <row r="687" spans="1:11" x14ac:dyDescent="0.25">
      <c r="A687">
        <v>326167</v>
      </c>
      <c r="B687" t="s">
        <v>103</v>
      </c>
      <c r="C687" s="3">
        <v>17.16</v>
      </c>
      <c r="D687" s="3">
        <v>16.170000000000002</v>
      </c>
      <c r="E687" s="3">
        <v>0</v>
      </c>
      <c r="F687">
        <v>112</v>
      </c>
      <c r="G687" t="s">
        <v>19</v>
      </c>
      <c r="H687" s="4">
        <v>46007</v>
      </c>
      <c r="I687" t="s">
        <v>13</v>
      </c>
      <c r="J687">
        <v>6.75</v>
      </c>
      <c r="K687" s="3">
        <v>217.89</v>
      </c>
    </row>
    <row r="688" spans="1:11" x14ac:dyDescent="0.25">
      <c r="A688">
        <v>326167</v>
      </c>
      <c r="B688" t="s">
        <v>103</v>
      </c>
      <c r="C688" s="3">
        <v>17.16</v>
      </c>
      <c r="D688" s="3">
        <v>16.170000000000002</v>
      </c>
      <c r="E688" s="3">
        <v>0</v>
      </c>
      <c r="F688">
        <v>112</v>
      </c>
      <c r="G688" t="s">
        <v>19</v>
      </c>
      <c r="H688" s="4">
        <v>46007</v>
      </c>
      <c r="I688" t="s">
        <v>22</v>
      </c>
      <c r="J688">
        <v>1</v>
      </c>
      <c r="K688" s="3">
        <v>41.61</v>
      </c>
    </row>
    <row r="689" spans="1:11" x14ac:dyDescent="0.25">
      <c r="A689">
        <v>326167</v>
      </c>
      <c r="B689" t="s">
        <v>103</v>
      </c>
      <c r="C689" s="3">
        <v>17.16</v>
      </c>
      <c r="D689" s="3">
        <v>16.170000000000002</v>
      </c>
      <c r="E689" s="3">
        <v>0</v>
      </c>
      <c r="F689">
        <v>112</v>
      </c>
      <c r="G689" t="s">
        <v>19</v>
      </c>
      <c r="H689" s="4">
        <v>46008</v>
      </c>
      <c r="I689" t="s">
        <v>13</v>
      </c>
      <c r="J689">
        <v>7</v>
      </c>
      <c r="K689" s="3">
        <v>225.96</v>
      </c>
    </row>
    <row r="690" spans="1:11" x14ac:dyDescent="0.25">
      <c r="A690">
        <v>326167</v>
      </c>
      <c r="B690" t="s">
        <v>103</v>
      </c>
      <c r="C690" s="3">
        <v>17.16</v>
      </c>
      <c r="D690" s="3">
        <v>16.170000000000002</v>
      </c>
      <c r="E690" s="3">
        <v>0</v>
      </c>
      <c r="F690">
        <v>112</v>
      </c>
      <c r="G690" t="s">
        <v>19</v>
      </c>
      <c r="H690" s="4">
        <v>46008</v>
      </c>
      <c r="I690" t="s">
        <v>22</v>
      </c>
      <c r="J690">
        <v>1</v>
      </c>
      <c r="K690" s="3">
        <v>41.61</v>
      </c>
    </row>
    <row r="691" spans="1:11" x14ac:dyDescent="0.25">
      <c r="A691">
        <v>326167</v>
      </c>
      <c r="B691" t="s">
        <v>103</v>
      </c>
      <c r="C691" s="3">
        <v>17.16</v>
      </c>
      <c r="D691" s="3">
        <v>16.170000000000002</v>
      </c>
      <c r="E691" s="3">
        <v>0</v>
      </c>
      <c r="F691">
        <v>112</v>
      </c>
      <c r="G691" t="s">
        <v>19</v>
      </c>
      <c r="H691" s="4">
        <v>46009</v>
      </c>
      <c r="I691" t="s">
        <v>13</v>
      </c>
      <c r="J691">
        <v>7.5</v>
      </c>
      <c r="K691" s="3">
        <v>242.1</v>
      </c>
    </row>
    <row r="692" spans="1:11" x14ac:dyDescent="0.25">
      <c r="A692">
        <v>326167</v>
      </c>
      <c r="B692" t="s">
        <v>103</v>
      </c>
      <c r="C692" s="3">
        <v>17.16</v>
      </c>
      <c r="D692" s="3">
        <v>16.170000000000002</v>
      </c>
      <c r="E692" s="3">
        <v>0</v>
      </c>
      <c r="F692">
        <v>112</v>
      </c>
      <c r="G692" t="s">
        <v>19</v>
      </c>
      <c r="H692" s="4">
        <v>46009</v>
      </c>
      <c r="I692" t="s">
        <v>22</v>
      </c>
      <c r="J692">
        <v>1</v>
      </c>
      <c r="K692" s="3">
        <v>41.61</v>
      </c>
    </row>
    <row r="693" spans="1:11" x14ac:dyDescent="0.25">
      <c r="A693">
        <v>326167</v>
      </c>
      <c r="B693" t="s">
        <v>103</v>
      </c>
      <c r="C693" s="3">
        <v>17.16</v>
      </c>
      <c r="D693" s="3">
        <v>16.170000000000002</v>
      </c>
      <c r="E693" s="3">
        <v>0</v>
      </c>
      <c r="F693">
        <v>112</v>
      </c>
      <c r="G693" t="s">
        <v>19</v>
      </c>
      <c r="H693" s="4">
        <v>46010</v>
      </c>
      <c r="I693" t="s">
        <v>13</v>
      </c>
      <c r="J693">
        <v>5.75</v>
      </c>
      <c r="K693" s="3">
        <v>185.61</v>
      </c>
    </row>
    <row r="694" spans="1:11" x14ac:dyDescent="0.25">
      <c r="A694">
        <v>326167</v>
      </c>
      <c r="B694" t="s">
        <v>103</v>
      </c>
      <c r="C694" s="3">
        <v>17.16</v>
      </c>
      <c r="D694" s="3">
        <v>16.170000000000002</v>
      </c>
      <c r="E694" s="3">
        <v>0</v>
      </c>
      <c r="F694">
        <v>112</v>
      </c>
      <c r="G694" t="s">
        <v>19</v>
      </c>
      <c r="H694" s="4">
        <v>46010</v>
      </c>
      <c r="I694" t="s">
        <v>22</v>
      </c>
      <c r="J694">
        <v>1</v>
      </c>
      <c r="K694" s="3">
        <v>41.61</v>
      </c>
    </row>
    <row r="695" spans="1:11" x14ac:dyDescent="0.25">
      <c r="A695">
        <v>328031</v>
      </c>
      <c r="B695" t="s">
        <v>104</v>
      </c>
      <c r="C695" s="3">
        <v>15.89</v>
      </c>
      <c r="D695" s="3">
        <v>14.98</v>
      </c>
      <c r="E695" s="3">
        <v>0</v>
      </c>
      <c r="F695">
        <v>22</v>
      </c>
      <c r="G695" t="s">
        <v>15</v>
      </c>
      <c r="H695" s="4">
        <v>46006</v>
      </c>
      <c r="I695" t="s">
        <v>13</v>
      </c>
      <c r="J695">
        <v>8</v>
      </c>
      <c r="K695" s="3">
        <v>240.32</v>
      </c>
    </row>
    <row r="696" spans="1:11" x14ac:dyDescent="0.25">
      <c r="A696">
        <v>328031</v>
      </c>
      <c r="B696" t="s">
        <v>104</v>
      </c>
      <c r="C696" s="3">
        <v>15.89</v>
      </c>
      <c r="D696" s="3">
        <v>14.98</v>
      </c>
      <c r="E696" s="3">
        <v>0</v>
      </c>
      <c r="F696">
        <v>22</v>
      </c>
      <c r="G696" t="s">
        <v>15</v>
      </c>
      <c r="H696" s="4">
        <v>46006</v>
      </c>
      <c r="I696" t="s">
        <v>21</v>
      </c>
      <c r="J696">
        <v>0.75</v>
      </c>
      <c r="K696" s="3">
        <v>28.68</v>
      </c>
    </row>
    <row r="697" spans="1:11" x14ac:dyDescent="0.25">
      <c r="A697">
        <v>328031</v>
      </c>
      <c r="B697" t="s">
        <v>104</v>
      </c>
      <c r="C697" s="3">
        <v>15.89</v>
      </c>
      <c r="D697" s="3">
        <v>14.98</v>
      </c>
      <c r="E697" s="3">
        <v>0</v>
      </c>
      <c r="F697">
        <v>22</v>
      </c>
      <c r="G697" t="s">
        <v>15</v>
      </c>
      <c r="H697" s="4">
        <v>46007</v>
      </c>
      <c r="I697" t="s">
        <v>13</v>
      </c>
      <c r="J697">
        <v>8</v>
      </c>
      <c r="K697" s="3">
        <v>240.32</v>
      </c>
    </row>
    <row r="698" spans="1:11" x14ac:dyDescent="0.25">
      <c r="A698">
        <v>328031</v>
      </c>
      <c r="B698" t="s">
        <v>104</v>
      </c>
      <c r="C698" s="3">
        <v>15.89</v>
      </c>
      <c r="D698" s="3">
        <v>14.98</v>
      </c>
      <c r="E698" s="3">
        <v>0</v>
      </c>
      <c r="F698">
        <v>22</v>
      </c>
      <c r="G698" t="s">
        <v>15</v>
      </c>
      <c r="H698" s="4">
        <v>46007</v>
      </c>
      <c r="I698" t="s">
        <v>21</v>
      </c>
      <c r="J698">
        <v>0.25</v>
      </c>
      <c r="K698" s="3">
        <v>9.56</v>
      </c>
    </row>
    <row r="699" spans="1:11" x14ac:dyDescent="0.25">
      <c r="A699">
        <v>328031</v>
      </c>
      <c r="B699" t="s">
        <v>104</v>
      </c>
      <c r="C699" s="3">
        <v>15.89</v>
      </c>
      <c r="D699" s="3">
        <v>14.98</v>
      </c>
      <c r="E699" s="3">
        <v>0</v>
      </c>
      <c r="F699">
        <v>22</v>
      </c>
      <c r="G699" t="s">
        <v>15</v>
      </c>
      <c r="H699" s="4">
        <v>46008</v>
      </c>
      <c r="I699" t="s">
        <v>13</v>
      </c>
      <c r="J699">
        <v>7.75</v>
      </c>
      <c r="K699" s="3">
        <v>232.81</v>
      </c>
    </row>
    <row r="700" spans="1:11" x14ac:dyDescent="0.25">
      <c r="A700">
        <v>328031</v>
      </c>
      <c r="B700" t="s">
        <v>104</v>
      </c>
      <c r="C700" s="3">
        <v>15.89</v>
      </c>
      <c r="D700" s="3">
        <v>14.98</v>
      </c>
      <c r="E700" s="3">
        <v>0</v>
      </c>
      <c r="F700">
        <v>22</v>
      </c>
      <c r="G700" t="s">
        <v>15</v>
      </c>
      <c r="H700" s="4">
        <v>46009</v>
      </c>
      <c r="I700" t="s">
        <v>13</v>
      </c>
      <c r="J700">
        <v>6.75</v>
      </c>
      <c r="K700" s="3">
        <v>202.77</v>
      </c>
    </row>
    <row r="701" spans="1:11" x14ac:dyDescent="0.25">
      <c r="A701">
        <v>328031</v>
      </c>
      <c r="B701" t="s">
        <v>104</v>
      </c>
      <c r="C701" s="3">
        <v>15.89</v>
      </c>
      <c r="D701" s="3">
        <v>14.98</v>
      </c>
      <c r="E701" s="3">
        <v>0</v>
      </c>
      <c r="F701">
        <v>22</v>
      </c>
      <c r="G701" t="s">
        <v>15</v>
      </c>
      <c r="H701" s="4">
        <v>46010</v>
      </c>
      <c r="I701" t="s">
        <v>13</v>
      </c>
      <c r="J701">
        <v>1.5</v>
      </c>
      <c r="K701" s="3">
        <v>45.06</v>
      </c>
    </row>
    <row r="702" spans="1:11" x14ac:dyDescent="0.25">
      <c r="A702">
        <v>349359</v>
      </c>
      <c r="B702" t="s">
        <v>105</v>
      </c>
      <c r="C702" s="3">
        <v>16.3</v>
      </c>
      <c r="D702" s="3">
        <v>15.36</v>
      </c>
      <c r="E702" s="3">
        <v>0</v>
      </c>
      <c r="F702">
        <v>143</v>
      </c>
      <c r="G702" t="s">
        <v>19</v>
      </c>
      <c r="H702" s="4">
        <v>46006</v>
      </c>
      <c r="I702" t="s">
        <v>13</v>
      </c>
      <c r="J702">
        <v>8</v>
      </c>
      <c r="K702" s="3">
        <v>246.48</v>
      </c>
    </row>
    <row r="703" spans="1:11" x14ac:dyDescent="0.25">
      <c r="A703">
        <v>349359</v>
      </c>
      <c r="B703" t="s">
        <v>105</v>
      </c>
      <c r="C703" s="3">
        <v>16.3</v>
      </c>
      <c r="D703" s="3">
        <v>15.36</v>
      </c>
      <c r="E703" s="3">
        <v>0</v>
      </c>
      <c r="F703">
        <v>143</v>
      </c>
      <c r="G703" t="s">
        <v>19</v>
      </c>
      <c r="H703" s="4">
        <v>46007</v>
      </c>
      <c r="I703" t="s">
        <v>13</v>
      </c>
      <c r="J703">
        <v>7.25</v>
      </c>
      <c r="K703" s="3">
        <v>223.37</v>
      </c>
    </row>
    <row r="704" spans="1:11" x14ac:dyDescent="0.25">
      <c r="A704">
        <v>349359</v>
      </c>
      <c r="B704" t="s">
        <v>105</v>
      </c>
      <c r="C704" s="3">
        <v>16.3</v>
      </c>
      <c r="D704" s="3">
        <v>15.36</v>
      </c>
      <c r="E704" s="3">
        <v>0</v>
      </c>
      <c r="F704">
        <v>143</v>
      </c>
      <c r="G704" t="s">
        <v>19</v>
      </c>
      <c r="H704" s="4">
        <v>46008</v>
      </c>
      <c r="I704" t="s">
        <v>13</v>
      </c>
      <c r="J704">
        <v>7.75</v>
      </c>
      <c r="K704" s="3">
        <v>238.78</v>
      </c>
    </row>
    <row r="705" spans="1:11" x14ac:dyDescent="0.25">
      <c r="A705">
        <v>349359</v>
      </c>
      <c r="B705" t="s">
        <v>105</v>
      </c>
      <c r="C705" s="3">
        <v>16.3</v>
      </c>
      <c r="D705" s="3">
        <v>15.36</v>
      </c>
      <c r="E705" s="3">
        <v>0</v>
      </c>
      <c r="F705">
        <v>143</v>
      </c>
      <c r="G705" t="s">
        <v>19</v>
      </c>
      <c r="H705" s="4">
        <v>46008</v>
      </c>
      <c r="I705" t="s">
        <v>23</v>
      </c>
      <c r="J705">
        <v>0.25</v>
      </c>
      <c r="K705" s="3">
        <v>7.2</v>
      </c>
    </row>
    <row r="706" spans="1:11" x14ac:dyDescent="0.25">
      <c r="A706">
        <v>349359</v>
      </c>
      <c r="B706" t="s">
        <v>105</v>
      </c>
      <c r="C706" s="3">
        <v>16.3</v>
      </c>
      <c r="D706" s="3">
        <v>15.36</v>
      </c>
      <c r="E706" s="3">
        <v>0</v>
      </c>
      <c r="F706">
        <v>143</v>
      </c>
      <c r="G706" t="s">
        <v>19</v>
      </c>
      <c r="H706" s="4">
        <v>46009</v>
      </c>
      <c r="I706" t="s">
        <v>13</v>
      </c>
      <c r="J706">
        <v>9</v>
      </c>
      <c r="K706" s="3">
        <v>277.29000000000002</v>
      </c>
    </row>
    <row r="707" spans="1:11" x14ac:dyDescent="0.25">
      <c r="A707">
        <v>349359</v>
      </c>
      <c r="B707" t="s">
        <v>105</v>
      </c>
      <c r="C707" s="3">
        <v>16.3</v>
      </c>
      <c r="D707" s="3">
        <v>15.36</v>
      </c>
      <c r="E707" s="3">
        <v>0</v>
      </c>
      <c r="F707">
        <v>143</v>
      </c>
      <c r="G707" t="s">
        <v>19</v>
      </c>
      <c r="H707" s="4">
        <v>46010</v>
      </c>
      <c r="I707" t="s">
        <v>13</v>
      </c>
      <c r="J707">
        <v>8</v>
      </c>
      <c r="K707" s="3">
        <v>246.48</v>
      </c>
    </row>
    <row r="708" spans="1:11" x14ac:dyDescent="0.25">
      <c r="A708">
        <v>349359</v>
      </c>
      <c r="B708" t="s">
        <v>105</v>
      </c>
      <c r="C708" s="3">
        <v>16.3</v>
      </c>
      <c r="D708" s="3">
        <v>15.36</v>
      </c>
      <c r="E708" s="3">
        <v>0</v>
      </c>
      <c r="F708">
        <v>143</v>
      </c>
      <c r="G708" t="s">
        <v>19</v>
      </c>
      <c r="H708" s="4">
        <v>46011</v>
      </c>
      <c r="I708" t="s">
        <v>24</v>
      </c>
      <c r="J708">
        <v>5</v>
      </c>
      <c r="K708" s="3">
        <v>185.15</v>
      </c>
    </row>
    <row r="709" spans="1:11" x14ac:dyDescent="0.25">
      <c r="A709">
        <v>349489</v>
      </c>
      <c r="B709" t="s">
        <v>106</v>
      </c>
      <c r="C709" s="3">
        <v>15.89</v>
      </c>
      <c r="D709" s="3">
        <v>14.98</v>
      </c>
      <c r="E709" s="3">
        <v>0</v>
      </c>
      <c r="F709">
        <v>48</v>
      </c>
      <c r="G709" t="s">
        <v>15</v>
      </c>
      <c r="H709" s="4">
        <v>46006</v>
      </c>
      <c r="I709" t="s">
        <v>13</v>
      </c>
      <c r="J709">
        <v>9.5</v>
      </c>
      <c r="K709" s="3">
        <v>285.38</v>
      </c>
    </row>
    <row r="710" spans="1:11" x14ac:dyDescent="0.25">
      <c r="A710">
        <v>349489</v>
      </c>
      <c r="B710" t="s">
        <v>106</v>
      </c>
      <c r="C710" s="3">
        <v>15.89</v>
      </c>
      <c r="D710" s="3">
        <v>14.98</v>
      </c>
      <c r="E710" s="3">
        <v>0</v>
      </c>
      <c r="F710">
        <v>48</v>
      </c>
      <c r="G710" t="s">
        <v>15</v>
      </c>
      <c r="H710" s="4">
        <v>46006</v>
      </c>
      <c r="I710" t="s">
        <v>21</v>
      </c>
      <c r="J710">
        <v>0.25</v>
      </c>
      <c r="K710" s="3">
        <v>9.56</v>
      </c>
    </row>
    <row r="711" spans="1:11" x14ac:dyDescent="0.25">
      <c r="A711">
        <v>349489</v>
      </c>
      <c r="B711" t="s">
        <v>106</v>
      </c>
      <c r="C711" s="3">
        <v>15.89</v>
      </c>
      <c r="D711" s="3">
        <v>14.98</v>
      </c>
      <c r="E711" s="3">
        <v>0</v>
      </c>
      <c r="F711">
        <v>48</v>
      </c>
      <c r="G711" t="s">
        <v>15</v>
      </c>
      <c r="H711" s="4">
        <v>46007</v>
      </c>
      <c r="I711" t="s">
        <v>13</v>
      </c>
      <c r="J711">
        <v>9.5</v>
      </c>
      <c r="K711" s="3">
        <v>285.38</v>
      </c>
    </row>
    <row r="712" spans="1:11" x14ac:dyDescent="0.25">
      <c r="A712">
        <v>349489</v>
      </c>
      <c r="B712" t="s">
        <v>106</v>
      </c>
      <c r="C712" s="3">
        <v>15.89</v>
      </c>
      <c r="D712" s="3">
        <v>14.98</v>
      </c>
      <c r="E712" s="3">
        <v>0</v>
      </c>
      <c r="F712">
        <v>48</v>
      </c>
      <c r="G712" t="s">
        <v>15</v>
      </c>
      <c r="H712" s="4">
        <v>46007</v>
      </c>
      <c r="I712" t="s">
        <v>21</v>
      </c>
      <c r="J712">
        <v>0.25</v>
      </c>
      <c r="K712" s="3">
        <v>9.56</v>
      </c>
    </row>
    <row r="713" spans="1:11" x14ac:dyDescent="0.25">
      <c r="A713">
        <v>349489</v>
      </c>
      <c r="B713" t="s">
        <v>106</v>
      </c>
      <c r="C713" s="3">
        <v>15.89</v>
      </c>
      <c r="D713" s="3">
        <v>14.98</v>
      </c>
      <c r="E713" s="3">
        <v>0</v>
      </c>
      <c r="F713">
        <v>48</v>
      </c>
      <c r="G713" t="s">
        <v>15</v>
      </c>
      <c r="H713" s="4">
        <v>46008</v>
      </c>
      <c r="I713" t="s">
        <v>13</v>
      </c>
      <c r="J713">
        <v>9.5</v>
      </c>
      <c r="K713" s="3">
        <v>285.38</v>
      </c>
    </row>
    <row r="714" spans="1:11" x14ac:dyDescent="0.25">
      <c r="A714">
        <v>349489</v>
      </c>
      <c r="B714" t="s">
        <v>106</v>
      </c>
      <c r="C714" s="3">
        <v>15.89</v>
      </c>
      <c r="D714" s="3">
        <v>14.98</v>
      </c>
      <c r="E714" s="3">
        <v>0</v>
      </c>
      <c r="F714">
        <v>48</v>
      </c>
      <c r="G714" t="s">
        <v>15</v>
      </c>
      <c r="H714" s="4">
        <v>46009</v>
      </c>
      <c r="I714" t="s">
        <v>13</v>
      </c>
      <c r="J714">
        <v>1.75</v>
      </c>
      <c r="K714" s="3">
        <v>52.57</v>
      </c>
    </row>
    <row r="715" spans="1:11" x14ac:dyDescent="0.25">
      <c r="A715">
        <v>349489</v>
      </c>
      <c r="B715" t="s">
        <v>106</v>
      </c>
      <c r="C715" s="3">
        <v>15.89</v>
      </c>
      <c r="D715" s="3">
        <v>14.98</v>
      </c>
      <c r="E715" s="3">
        <v>0</v>
      </c>
      <c r="F715">
        <v>48</v>
      </c>
      <c r="G715" t="s">
        <v>15</v>
      </c>
      <c r="H715" s="4">
        <v>46009</v>
      </c>
      <c r="I715" t="s">
        <v>23</v>
      </c>
      <c r="J715">
        <v>7.75</v>
      </c>
      <c r="K715" s="3">
        <v>220.26</v>
      </c>
    </row>
    <row r="716" spans="1:11" x14ac:dyDescent="0.25">
      <c r="A716">
        <v>349489</v>
      </c>
      <c r="B716" t="s">
        <v>106</v>
      </c>
      <c r="C716" s="3">
        <v>15.89</v>
      </c>
      <c r="D716" s="3">
        <v>14.98</v>
      </c>
      <c r="E716" s="3">
        <v>0</v>
      </c>
      <c r="F716">
        <v>48</v>
      </c>
      <c r="G716" t="s">
        <v>15</v>
      </c>
      <c r="H716" s="4">
        <v>46010</v>
      </c>
      <c r="I716" t="s">
        <v>13</v>
      </c>
      <c r="J716">
        <v>9.25</v>
      </c>
      <c r="K716" s="3">
        <v>277.87</v>
      </c>
    </row>
    <row r="717" spans="1:11" x14ac:dyDescent="0.25">
      <c r="A717">
        <v>349489</v>
      </c>
      <c r="B717" t="s">
        <v>106</v>
      </c>
      <c r="C717" s="3">
        <v>15.89</v>
      </c>
      <c r="D717" s="3">
        <v>14.98</v>
      </c>
      <c r="E717" s="3">
        <v>0</v>
      </c>
      <c r="F717">
        <v>48</v>
      </c>
      <c r="G717" t="s">
        <v>15</v>
      </c>
      <c r="H717" s="4">
        <v>46011</v>
      </c>
      <c r="I717" t="s">
        <v>24</v>
      </c>
      <c r="J717">
        <v>4.75</v>
      </c>
      <c r="K717" s="3">
        <v>173.57</v>
      </c>
    </row>
    <row r="718" spans="1:11" x14ac:dyDescent="0.25">
      <c r="A718">
        <v>374814</v>
      </c>
      <c r="B718" t="s">
        <v>107</v>
      </c>
      <c r="C718" s="3">
        <v>17.87</v>
      </c>
      <c r="D718" s="3">
        <v>16.84</v>
      </c>
      <c r="E718" s="3">
        <v>0</v>
      </c>
      <c r="F718">
        <v>310</v>
      </c>
      <c r="G718" t="s">
        <v>12</v>
      </c>
      <c r="H718" s="4">
        <v>46006</v>
      </c>
      <c r="I718" t="s">
        <v>13</v>
      </c>
      <c r="J718">
        <v>6</v>
      </c>
      <c r="K718" s="3">
        <v>194.82</v>
      </c>
    </row>
    <row r="719" spans="1:11" x14ac:dyDescent="0.25">
      <c r="A719">
        <v>374814</v>
      </c>
      <c r="B719" t="s">
        <v>107</v>
      </c>
      <c r="C719" s="3">
        <v>17.87</v>
      </c>
      <c r="D719" s="3">
        <v>16.84</v>
      </c>
      <c r="E719" s="3">
        <v>0</v>
      </c>
      <c r="F719">
        <v>310</v>
      </c>
      <c r="G719" t="s">
        <v>12</v>
      </c>
      <c r="H719" s="4">
        <v>46006</v>
      </c>
      <c r="I719" t="s">
        <v>22</v>
      </c>
      <c r="J719">
        <v>1</v>
      </c>
      <c r="K719" s="3">
        <v>41.86</v>
      </c>
    </row>
    <row r="720" spans="1:11" x14ac:dyDescent="0.25">
      <c r="A720">
        <v>374814</v>
      </c>
      <c r="B720" t="s">
        <v>107</v>
      </c>
      <c r="C720" s="3">
        <v>17.87</v>
      </c>
      <c r="D720" s="3">
        <v>16.84</v>
      </c>
      <c r="E720" s="3">
        <v>0</v>
      </c>
      <c r="F720">
        <v>310</v>
      </c>
      <c r="G720" t="s">
        <v>12</v>
      </c>
      <c r="H720" s="4">
        <v>46007</v>
      </c>
      <c r="I720" t="s">
        <v>13</v>
      </c>
      <c r="J720">
        <v>6.25</v>
      </c>
      <c r="K720" s="3">
        <v>202.94</v>
      </c>
    </row>
    <row r="721" spans="1:11" x14ac:dyDescent="0.25">
      <c r="A721">
        <v>374814</v>
      </c>
      <c r="B721" t="s">
        <v>107</v>
      </c>
      <c r="C721" s="3">
        <v>17.87</v>
      </c>
      <c r="D721" s="3">
        <v>16.84</v>
      </c>
      <c r="E721" s="3">
        <v>0</v>
      </c>
      <c r="F721">
        <v>310</v>
      </c>
      <c r="G721" t="s">
        <v>12</v>
      </c>
      <c r="H721" s="4">
        <v>46007</v>
      </c>
      <c r="I721" t="s">
        <v>22</v>
      </c>
      <c r="J721">
        <v>1</v>
      </c>
      <c r="K721" s="3">
        <v>41.86</v>
      </c>
    </row>
    <row r="722" spans="1:11" x14ac:dyDescent="0.25">
      <c r="A722">
        <v>374814</v>
      </c>
      <c r="B722" t="s">
        <v>107</v>
      </c>
      <c r="C722" s="3">
        <v>17.87</v>
      </c>
      <c r="D722" s="3">
        <v>16.84</v>
      </c>
      <c r="E722" s="3">
        <v>0</v>
      </c>
      <c r="F722">
        <v>310</v>
      </c>
      <c r="G722" t="s">
        <v>12</v>
      </c>
      <c r="H722" s="4">
        <v>46008</v>
      </c>
      <c r="I722" t="s">
        <v>13</v>
      </c>
      <c r="J722">
        <v>6</v>
      </c>
      <c r="K722" s="3">
        <v>194.82</v>
      </c>
    </row>
    <row r="723" spans="1:11" x14ac:dyDescent="0.25">
      <c r="A723">
        <v>374814</v>
      </c>
      <c r="B723" t="s">
        <v>107</v>
      </c>
      <c r="C723" s="3">
        <v>17.87</v>
      </c>
      <c r="D723" s="3">
        <v>16.84</v>
      </c>
      <c r="E723" s="3">
        <v>0</v>
      </c>
      <c r="F723">
        <v>310</v>
      </c>
      <c r="G723" t="s">
        <v>12</v>
      </c>
      <c r="H723" s="4">
        <v>46008</v>
      </c>
      <c r="I723" t="s">
        <v>22</v>
      </c>
      <c r="J723">
        <v>1</v>
      </c>
      <c r="K723" s="3">
        <v>41.86</v>
      </c>
    </row>
    <row r="724" spans="1:11" x14ac:dyDescent="0.25">
      <c r="A724">
        <v>374814</v>
      </c>
      <c r="B724" t="s">
        <v>107</v>
      </c>
      <c r="C724" s="3">
        <v>17.87</v>
      </c>
      <c r="D724" s="3">
        <v>16.84</v>
      </c>
      <c r="E724" s="3">
        <v>0</v>
      </c>
      <c r="F724">
        <v>310</v>
      </c>
      <c r="G724" t="s">
        <v>12</v>
      </c>
      <c r="H724" s="4">
        <v>46009</v>
      </c>
      <c r="I724" t="s">
        <v>13</v>
      </c>
      <c r="J724">
        <v>6.25</v>
      </c>
      <c r="K724" s="3">
        <v>202.94</v>
      </c>
    </row>
    <row r="725" spans="1:11" x14ac:dyDescent="0.25">
      <c r="A725">
        <v>374814</v>
      </c>
      <c r="B725" t="s">
        <v>107</v>
      </c>
      <c r="C725" s="3">
        <v>17.87</v>
      </c>
      <c r="D725" s="3">
        <v>16.84</v>
      </c>
      <c r="E725" s="3">
        <v>0</v>
      </c>
      <c r="F725">
        <v>310</v>
      </c>
      <c r="G725" t="s">
        <v>12</v>
      </c>
      <c r="H725" s="4">
        <v>46009</v>
      </c>
      <c r="I725" t="s">
        <v>21</v>
      </c>
      <c r="J725">
        <v>4.25</v>
      </c>
      <c r="K725" s="3">
        <v>175.65</v>
      </c>
    </row>
    <row r="726" spans="1:11" x14ac:dyDescent="0.25">
      <c r="A726">
        <v>374814</v>
      </c>
      <c r="B726" t="s">
        <v>107</v>
      </c>
      <c r="C726" s="3">
        <v>17.87</v>
      </c>
      <c r="D726" s="3">
        <v>16.84</v>
      </c>
      <c r="E726" s="3">
        <v>0</v>
      </c>
      <c r="F726">
        <v>310</v>
      </c>
      <c r="G726" t="s">
        <v>12</v>
      </c>
      <c r="H726" s="4">
        <v>46010</v>
      </c>
      <c r="I726" t="s">
        <v>13</v>
      </c>
      <c r="J726">
        <v>6.25</v>
      </c>
      <c r="K726" s="3">
        <v>202.94</v>
      </c>
    </row>
    <row r="727" spans="1:11" x14ac:dyDescent="0.25">
      <c r="A727">
        <v>374814</v>
      </c>
      <c r="B727" t="s">
        <v>107</v>
      </c>
      <c r="C727" s="3">
        <v>17.87</v>
      </c>
      <c r="D727" s="3">
        <v>16.84</v>
      </c>
      <c r="E727" s="3">
        <v>0</v>
      </c>
      <c r="F727">
        <v>310</v>
      </c>
      <c r="G727" t="s">
        <v>12</v>
      </c>
      <c r="H727" s="4">
        <v>46010</v>
      </c>
      <c r="I727" t="s">
        <v>22</v>
      </c>
      <c r="J727">
        <v>1</v>
      </c>
      <c r="K727" s="3">
        <v>41.86</v>
      </c>
    </row>
    <row r="728" spans="1:11" x14ac:dyDescent="0.25">
      <c r="A728">
        <v>374814</v>
      </c>
      <c r="B728" t="s">
        <v>107</v>
      </c>
      <c r="C728" s="3">
        <v>17.87</v>
      </c>
      <c r="D728" s="3">
        <v>16.84</v>
      </c>
      <c r="E728" s="3">
        <v>0</v>
      </c>
      <c r="F728">
        <v>310</v>
      </c>
      <c r="G728" t="s">
        <v>12</v>
      </c>
      <c r="H728" s="4">
        <v>46011</v>
      </c>
      <c r="I728" t="s">
        <v>13</v>
      </c>
      <c r="J728">
        <v>1</v>
      </c>
      <c r="K728" s="3">
        <v>32.47</v>
      </c>
    </row>
    <row r="729" spans="1:11" x14ac:dyDescent="0.25">
      <c r="A729">
        <v>374814</v>
      </c>
      <c r="B729" t="s">
        <v>107</v>
      </c>
      <c r="C729" s="3">
        <v>17.87</v>
      </c>
      <c r="D729" s="3">
        <v>16.84</v>
      </c>
      <c r="E729" s="3">
        <v>0</v>
      </c>
      <c r="F729">
        <v>310</v>
      </c>
      <c r="G729" t="s">
        <v>12</v>
      </c>
      <c r="H729" s="4">
        <v>46011</v>
      </c>
      <c r="I729" t="s">
        <v>24</v>
      </c>
      <c r="J729">
        <v>5.25</v>
      </c>
      <c r="K729" s="3">
        <v>205.28</v>
      </c>
    </row>
    <row r="730" spans="1:11" x14ac:dyDescent="0.25">
      <c r="A730">
        <v>374814</v>
      </c>
      <c r="B730" t="s">
        <v>107</v>
      </c>
      <c r="C730" s="3">
        <v>17.87</v>
      </c>
      <c r="D730" s="3">
        <v>16.84</v>
      </c>
      <c r="E730" s="3">
        <v>0</v>
      </c>
      <c r="F730">
        <v>310</v>
      </c>
      <c r="G730" t="s">
        <v>12</v>
      </c>
      <c r="H730" s="4">
        <v>46011</v>
      </c>
      <c r="I730" t="s">
        <v>25</v>
      </c>
      <c r="J730">
        <v>1.75</v>
      </c>
      <c r="K730" s="3">
        <v>76.02</v>
      </c>
    </row>
    <row r="731" spans="1:11" x14ac:dyDescent="0.25">
      <c r="A731">
        <v>374909</v>
      </c>
      <c r="B731" t="s">
        <v>108</v>
      </c>
      <c r="C731" s="3">
        <v>17.43</v>
      </c>
      <c r="D731" s="3">
        <v>16.420000000000002</v>
      </c>
      <c r="E731" s="3">
        <v>0</v>
      </c>
      <c r="F731">
        <v>320</v>
      </c>
      <c r="G731" t="s">
        <v>12</v>
      </c>
      <c r="H731" s="4">
        <v>46006</v>
      </c>
      <c r="I731" t="s">
        <v>13</v>
      </c>
      <c r="J731">
        <v>9</v>
      </c>
      <c r="K731" s="3">
        <v>285.66000000000003</v>
      </c>
    </row>
    <row r="732" spans="1:11" x14ac:dyDescent="0.25">
      <c r="A732">
        <v>374909</v>
      </c>
      <c r="B732" t="s">
        <v>108</v>
      </c>
      <c r="C732" s="3">
        <v>17.43</v>
      </c>
      <c r="D732" s="3">
        <v>16.420000000000002</v>
      </c>
      <c r="E732" s="3">
        <v>0</v>
      </c>
      <c r="F732">
        <v>320</v>
      </c>
      <c r="G732" t="s">
        <v>12</v>
      </c>
      <c r="H732" s="4">
        <v>46007</v>
      </c>
      <c r="I732" t="s">
        <v>13</v>
      </c>
      <c r="J732">
        <v>9</v>
      </c>
      <c r="K732" s="3">
        <v>285.66000000000003</v>
      </c>
    </row>
    <row r="733" spans="1:11" x14ac:dyDescent="0.25">
      <c r="A733">
        <v>374909</v>
      </c>
      <c r="B733" t="s">
        <v>108</v>
      </c>
      <c r="C733" s="3">
        <v>17.43</v>
      </c>
      <c r="D733" s="3">
        <v>16.420000000000002</v>
      </c>
      <c r="E733" s="3">
        <v>0</v>
      </c>
      <c r="F733">
        <v>320</v>
      </c>
      <c r="G733" t="s">
        <v>12</v>
      </c>
      <c r="H733" s="4">
        <v>46008</v>
      </c>
      <c r="I733" t="s">
        <v>13</v>
      </c>
      <c r="J733">
        <v>3</v>
      </c>
      <c r="K733" s="3">
        <v>95.22</v>
      </c>
    </row>
    <row r="734" spans="1:11" x14ac:dyDescent="0.25">
      <c r="A734">
        <v>374909</v>
      </c>
      <c r="B734" t="s">
        <v>108</v>
      </c>
      <c r="C734" s="3">
        <v>17.43</v>
      </c>
      <c r="D734" s="3">
        <v>16.420000000000002</v>
      </c>
      <c r="E734" s="3">
        <v>0</v>
      </c>
      <c r="F734">
        <v>320</v>
      </c>
      <c r="G734" t="s">
        <v>12</v>
      </c>
      <c r="H734" s="4">
        <v>46008</v>
      </c>
      <c r="I734" t="s">
        <v>23</v>
      </c>
      <c r="J734">
        <v>6</v>
      </c>
      <c r="K734" s="3">
        <v>177.9</v>
      </c>
    </row>
    <row r="735" spans="1:11" x14ac:dyDescent="0.25">
      <c r="A735">
        <v>374909</v>
      </c>
      <c r="B735" t="s">
        <v>108</v>
      </c>
      <c r="C735" s="3">
        <v>17.43</v>
      </c>
      <c r="D735" s="3">
        <v>16.420000000000002</v>
      </c>
      <c r="E735" s="3">
        <v>0</v>
      </c>
      <c r="F735">
        <v>320</v>
      </c>
      <c r="G735" t="s">
        <v>12</v>
      </c>
      <c r="H735" s="4">
        <v>46009</v>
      </c>
      <c r="I735" t="s">
        <v>13</v>
      </c>
      <c r="J735">
        <v>10.5</v>
      </c>
      <c r="K735" s="3">
        <v>333.27</v>
      </c>
    </row>
    <row r="736" spans="1:11" x14ac:dyDescent="0.25">
      <c r="A736">
        <v>374909</v>
      </c>
      <c r="B736" t="s">
        <v>108</v>
      </c>
      <c r="C736" s="3">
        <v>17.43</v>
      </c>
      <c r="D736" s="3">
        <v>16.420000000000002</v>
      </c>
      <c r="E736" s="3">
        <v>0</v>
      </c>
      <c r="F736">
        <v>320</v>
      </c>
      <c r="G736" t="s">
        <v>12</v>
      </c>
      <c r="H736" s="4">
        <v>46010</v>
      </c>
      <c r="I736" t="s">
        <v>13</v>
      </c>
      <c r="J736">
        <v>8.5</v>
      </c>
      <c r="K736" s="3">
        <v>269.79000000000002</v>
      </c>
    </row>
    <row r="737" spans="1:11" x14ac:dyDescent="0.25">
      <c r="A737">
        <v>374909</v>
      </c>
      <c r="B737" t="s">
        <v>108</v>
      </c>
      <c r="C737" s="3">
        <v>17.43</v>
      </c>
      <c r="D737" s="3">
        <v>16.420000000000002</v>
      </c>
      <c r="E737" s="3">
        <v>0</v>
      </c>
      <c r="F737">
        <v>320</v>
      </c>
      <c r="G737" t="s">
        <v>12</v>
      </c>
      <c r="H737" s="4">
        <v>46011</v>
      </c>
      <c r="I737" t="s">
        <v>24</v>
      </c>
      <c r="J737">
        <v>5</v>
      </c>
      <c r="K737" s="3">
        <v>190.6</v>
      </c>
    </row>
    <row r="738" spans="1:11" x14ac:dyDescent="0.25">
      <c r="A738">
        <v>379213</v>
      </c>
      <c r="B738" t="s">
        <v>109</v>
      </c>
      <c r="C738" s="3">
        <v>16.98</v>
      </c>
      <c r="D738" s="3">
        <v>16</v>
      </c>
      <c r="E738" s="3">
        <v>0</v>
      </c>
      <c r="F738">
        <v>146</v>
      </c>
      <c r="G738" t="s">
        <v>19</v>
      </c>
      <c r="H738" s="4">
        <v>46006</v>
      </c>
      <c r="I738" t="s">
        <v>13</v>
      </c>
      <c r="J738">
        <v>7</v>
      </c>
      <c r="K738" s="3">
        <v>223.79</v>
      </c>
    </row>
    <row r="739" spans="1:11" x14ac:dyDescent="0.25">
      <c r="A739">
        <v>379213</v>
      </c>
      <c r="B739" t="s">
        <v>109</v>
      </c>
      <c r="C739" s="3">
        <v>16.98</v>
      </c>
      <c r="D739" s="3">
        <v>16</v>
      </c>
      <c r="E739" s="3">
        <v>0</v>
      </c>
      <c r="F739">
        <v>146</v>
      </c>
      <c r="G739" t="s">
        <v>19</v>
      </c>
      <c r="H739" s="4">
        <v>46006</v>
      </c>
      <c r="I739" t="s">
        <v>22</v>
      </c>
      <c r="J739">
        <v>1</v>
      </c>
      <c r="K739" s="3">
        <v>41.2</v>
      </c>
    </row>
    <row r="740" spans="1:11" x14ac:dyDescent="0.25">
      <c r="A740">
        <v>379213</v>
      </c>
      <c r="B740" t="s">
        <v>109</v>
      </c>
      <c r="C740" s="3">
        <v>16.98</v>
      </c>
      <c r="D740" s="3">
        <v>16</v>
      </c>
      <c r="E740" s="3">
        <v>0</v>
      </c>
      <c r="F740">
        <v>146</v>
      </c>
      <c r="G740" t="s">
        <v>19</v>
      </c>
      <c r="H740" s="4">
        <v>46007</v>
      </c>
      <c r="I740" t="s">
        <v>13</v>
      </c>
      <c r="J740">
        <v>7</v>
      </c>
      <c r="K740" s="3">
        <v>223.79</v>
      </c>
    </row>
    <row r="741" spans="1:11" x14ac:dyDescent="0.25">
      <c r="A741">
        <v>379213</v>
      </c>
      <c r="B741" t="s">
        <v>109</v>
      </c>
      <c r="C741" s="3">
        <v>16.98</v>
      </c>
      <c r="D741" s="3">
        <v>16</v>
      </c>
      <c r="E741" s="3">
        <v>0</v>
      </c>
      <c r="F741">
        <v>146</v>
      </c>
      <c r="G741" t="s">
        <v>19</v>
      </c>
      <c r="H741" s="4">
        <v>46007</v>
      </c>
      <c r="I741" t="s">
        <v>22</v>
      </c>
      <c r="J741">
        <v>1</v>
      </c>
      <c r="K741" s="3">
        <v>41.2</v>
      </c>
    </row>
    <row r="742" spans="1:11" x14ac:dyDescent="0.25">
      <c r="A742">
        <v>379213</v>
      </c>
      <c r="B742" t="s">
        <v>109</v>
      </c>
      <c r="C742" s="3">
        <v>16.98</v>
      </c>
      <c r="D742" s="3">
        <v>16</v>
      </c>
      <c r="E742" s="3">
        <v>0</v>
      </c>
      <c r="F742">
        <v>146</v>
      </c>
      <c r="G742" t="s">
        <v>19</v>
      </c>
      <c r="H742" s="4">
        <v>46008</v>
      </c>
      <c r="I742" t="s">
        <v>13</v>
      </c>
      <c r="J742">
        <v>6</v>
      </c>
      <c r="K742" s="3">
        <v>191.82</v>
      </c>
    </row>
    <row r="743" spans="1:11" x14ac:dyDescent="0.25">
      <c r="A743">
        <v>379213</v>
      </c>
      <c r="B743" t="s">
        <v>109</v>
      </c>
      <c r="C743" s="3">
        <v>16.98</v>
      </c>
      <c r="D743" s="3">
        <v>16</v>
      </c>
      <c r="E743" s="3">
        <v>0</v>
      </c>
      <c r="F743">
        <v>146</v>
      </c>
      <c r="G743" t="s">
        <v>19</v>
      </c>
      <c r="H743" s="4">
        <v>46008</v>
      </c>
      <c r="I743" t="s">
        <v>22</v>
      </c>
      <c r="J743">
        <v>1</v>
      </c>
      <c r="K743" s="3">
        <v>41.2</v>
      </c>
    </row>
    <row r="744" spans="1:11" x14ac:dyDescent="0.25">
      <c r="A744">
        <v>379213</v>
      </c>
      <c r="B744" t="s">
        <v>109</v>
      </c>
      <c r="C744" s="3">
        <v>16.98</v>
      </c>
      <c r="D744" s="3">
        <v>16</v>
      </c>
      <c r="E744" s="3">
        <v>0</v>
      </c>
      <c r="F744">
        <v>146</v>
      </c>
      <c r="G744" t="s">
        <v>19</v>
      </c>
      <c r="H744" s="4">
        <v>46008</v>
      </c>
      <c r="I744" t="s">
        <v>23</v>
      </c>
      <c r="J744">
        <v>1</v>
      </c>
      <c r="K744" s="3">
        <v>30</v>
      </c>
    </row>
    <row r="745" spans="1:11" x14ac:dyDescent="0.25">
      <c r="A745">
        <v>379213</v>
      </c>
      <c r="B745" t="s">
        <v>109</v>
      </c>
      <c r="C745" s="3">
        <v>16.98</v>
      </c>
      <c r="D745" s="3">
        <v>16</v>
      </c>
      <c r="E745" s="3">
        <v>0</v>
      </c>
      <c r="F745">
        <v>146</v>
      </c>
      <c r="G745" t="s">
        <v>19</v>
      </c>
      <c r="H745" s="4">
        <v>46009</v>
      </c>
      <c r="I745" t="s">
        <v>13</v>
      </c>
      <c r="J745">
        <v>8</v>
      </c>
      <c r="K745" s="3">
        <v>255.76</v>
      </c>
    </row>
    <row r="746" spans="1:11" x14ac:dyDescent="0.25">
      <c r="A746">
        <v>379213</v>
      </c>
      <c r="B746" t="s">
        <v>109</v>
      </c>
      <c r="C746" s="3">
        <v>16.98</v>
      </c>
      <c r="D746" s="3">
        <v>16</v>
      </c>
      <c r="E746" s="3">
        <v>0</v>
      </c>
      <c r="F746">
        <v>146</v>
      </c>
      <c r="G746" t="s">
        <v>19</v>
      </c>
      <c r="H746" s="4">
        <v>46009</v>
      </c>
      <c r="I746" t="s">
        <v>22</v>
      </c>
      <c r="J746">
        <v>1</v>
      </c>
      <c r="K746" s="3">
        <v>41.2</v>
      </c>
    </row>
    <row r="747" spans="1:11" x14ac:dyDescent="0.25">
      <c r="A747">
        <v>379213</v>
      </c>
      <c r="B747" t="s">
        <v>109</v>
      </c>
      <c r="C747" s="3">
        <v>16.98</v>
      </c>
      <c r="D747" s="3">
        <v>16</v>
      </c>
      <c r="E747" s="3">
        <v>0</v>
      </c>
      <c r="F747">
        <v>146</v>
      </c>
      <c r="G747" t="s">
        <v>19</v>
      </c>
      <c r="H747" s="4">
        <v>46010</v>
      </c>
      <c r="I747" t="s">
        <v>13</v>
      </c>
      <c r="J747">
        <v>7</v>
      </c>
      <c r="K747" s="3">
        <v>223.79</v>
      </c>
    </row>
    <row r="748" spans="1:11" x14ac:dyDescent="0.25">
      <c r="A748">
        <v>379213</v>
      </c>
      <c r="B748" t="s">
        <v>109</v>
      </c>
      <c r="C748" s="3">
        <v>16.98</v>
      </c>
      <c r="D748" s="3">
        <v>16</v>
      </c>
      <c r="E748" s="3">
        <v>0</v>
      </c>
      <c r="F748">
        <v>146</v>
      </c>
      <c r="G748" t="s">
        <v>19</v>
      </c>
      <c r="H748" s="4">
        <v>46010</v>
      </c>
      <c r="I748" t="s">
        <v>22</v>
      </c>
      <c r="J748">
        <v>1</v>
      </c>
      <c r="K748" s="3">
        <v>41.2</v>
      </c>
    </row>
    <row r="749" spans="1:11" x14ac:dyDescent="0.25">
      <c r="A749">
        <v>403842</v>
      </c>
      <c r="B749" t="s">
        <v>110</v>
      </c>
      <c r="C749" s="3">
        <v>16.09</v>
      </c>
      <c r="D749" s="3">
        <v>15.17</v>
      </c>
      <c r="E749" s="3">
        <v>0</v>
      </c>
      <c r="F749">
        <v>92</v>
      </c>
      <c r="G749" t="s">
        <v>19</v>
      </c>
      <c r="H749" s="4">
        <v>46006</v>
      </c>
      <c r="I749" t="s">
        <v>13</v>
      </c>
      <c r="J749">
        <v>9.5</v>
      </c>
      <c r="K749" s="3">
        <v>289.27999999999997</v>
      </c>
    </row>
    <row r="750" spans="1:11" x14ac:dyDescent="0.25">
      <c r="A750">
        <v>403842</v>
      </c>
      <c r="B750" t="s">
        <v>110</v>
      </c>
      <c r="C750" s="3">
        <v>16.09</v>
      </c>
      <c r="D750" s="3">
        <v>15.17</v>
      </c>
      <c r="E750" s="3">
        <v>0</v>
      </c>
      <c r="F750">
        <v>92</v>
      </c>
      <c r="G750" t="s">
        <v>19</v>
      </c>
      <c r="H750" s="4">
        <v>46006</v>
      </c>
      <c r="I750" t="s">
        <v>21</v>
      </c>
      <c r="J750">
        <v>0.5</v>
      </c>
      <c r="K750" s="3">
        <v>19.350000000000001</v>
      </c>
    </row>
    <row r="751" spans="1:11" x14ac:dyDescent="0.25">
      <c r="A751">
        <v>403842</v>
      </c>
      <c r="B751" t="s">
        <v>110</v>
      </c>
      <c r="C751" s="3">
        <v>16.09</v>
      </c>
      <c r="D751" s="3">
        <v>15.17</v>
      </c>
      <c r="E751" s="3">
        <v>0</v>
      </c>
      <c r="F751">
        <v>92</v>
      </c>
      <c r="G751" t="s">
        <v>19</v>
      </c>
      <c r="H751" s="4">
        <v>46007</v>
      </c>
      <c r="I751" t="s">
        <v>13</v>
      </c>
      <c r="J751">
        <v>9.25</v>
      </c>
      <c r="K751" s="3">
        <v>281.66000000000003</v>
      </c>
    </row>
    <row r="752" spans="1:11" x14ac:dyDescent="0.25">
      <c r="A752">
        <v>403842</v>
      </c>
      <c r="B752" t="s">
        <v>110</v>
      </c>
      <c r="C752" s="3">
        <v>16.09</v>
      </c>
      <c r="D752" s="3">
        <v>15.17</v>
      </c>
      <c r="E752" s="3">
        <v>0</v>
      </c>
      <c r="F752">
        <v>92</v>
      </c>
      <c r="G752" t="s">
        <v>19</v>
      </c>
      <c r="H752" s="4">
        <v>46007</v>
      </c>
      <c r="I752" t="s">
        <v>21</v>
      </c>
      <c r="J752">
        <v>0.25</v>
      </c>
      <c r="K752" s="3">
        <v>9.67</v>
      </c>
    </row>
    <row r="753" spans="1:11" x14ac:dyDescent="0.25">
      <c r="A753">
        <v>403842</v>
      </c>
      <c r="B753" t="s">
        <v>110</v>
      </c>
      <c r="C753" s="3">
        <v>16.09</v>
      </c>
      <c r="D753" s="3">
        <v>15.17</v>
      </c>
      <c r="E753" s="3">
        <v>0</v>
      </c>
      <c r="F753">
        <v>92</v>
      </c>
      <c r="G753" t="s">
        <v>19</v>
      </c>
      <c r="H753" s="4">
        <v>46008</v>
      </c>
      <c r="I753" t="s">
        <v>13</v>
      </c>
      <c r="J753">
        <v>1.75</v>
      </c>
      <c r="K753" s="3">
        <v>53.29</v>
      </c>
    </row>
    <row r="754" spans="1:11" x14ac:dyDescent="0.25">
      <c r="A754">
        <v>403842</v>
      </c>
      <c r="B754" t="s">
        <v>110</v>
      </c>
      <c r="C754" s="3">
        <v>16.09</v>
      </c>
      <c r="D754" s="3">
        <v>15.17</v>
      </c>
      <c r="E754" s="3">
        <v>0</v>
      </c>
      <c r="F754">
        <v>92</v>
      </c>
      <c r="G754" t="s">
        <v>19</v>
      </c>
      <c r="H754" s="4">
        <v>46008</v>
      </c>
      <c r="I754" t="s">
        <v>23</v>
      </c>
      <c r="J754">
        <v>7.75</v>
      </c>
      <c r="K754" s="3">
        <v>220.49</v>
      </c>
    </row>
    <row r="755" spans="1:11" x14ac:dyDescent="0.25">
      <c r="A755">
        <v>403842</v>
      </c>
      <c r="B755" t="s">
        <v>110</v>
      </c>
      <c r="C755" s="3">
        <v>16.09</v>
      </c>
      <c r="D755" s="3">
        <v>15.17</v>
      </c>
      <c r="E755" s="3">
        <v>0</v>
      </c>
      <c r="F755">
        <v>92</v>
      </c>
      <c r="G755" t="s">
        <v>19</v>
      </c>
      <c r="H755" s="4">
        <v>46009</v>
      </c>
      <c r="I755" t="s">
        <v>13</v>
      </c>
      <c r="J755">
        <v>9.5</v>
      </c>
      <c r="K755" s="3">
        <v>289.27999999999997</v>
      </c>
    </row>
    <row r="756" spans="1:11" x14ac:dyDescent="0.25">
      <c r="A756">
        <v>403842</v>
      </c>
      <c r="B756" t="s">
        <v>110</v>
      </c>
      <c r="C756" s="3">
        <v>16.09</v>
      </c>
      <c r="D756" s="3">
        <v>15.17</v>
      </c>
      <c r="E756" s="3">
        <v>0</v>
      </c>
      <c r="F756">
        <v>92</v>
      </c>
      <c r="G756" t="s">
        <v>19</v>
      </c>
      <c r="H756" s="4">
        <v>46010</v>
      </c>
      <c r="I756" t="s">
        <v>13</v>
      </c>
      <c r="J756">
        <v>9.25</v>
      </c>
      <c r="K756" s="3">
        <v>281.66000000000003</v>
      </c>
    </row>
    <row r="757" spans="1:11" x14ac:dyDescent="0.25">
      <c r="A757">
        <v>403842</v>
      </c>
      <c r="B757" t="s">
        <v>110</v>
      </c>
      <c r="C757" s="3">
        <v>16.09</v>
      </c>
      <c r="D757" s="3">
        <v>15.17</v>
      </c>
      <c r="E757" s="3">
        <v>0</v>
      </c>
      <c r="F757">
        <v>92</v>
      </c>
      <c r="G757" t="s">
        <v>19</v>
      </c>
      <c r="H757" s="4">
        <v>46011</v>
      </c>
      <c r="I757" t="s">
        <v>24</v>
      </c>
      <c r="J757">
        <v>4.75</v>
      </c>
      <c r="K757" s="3">
        <v>173.76</v>
      </c>
    </row>
    <row r="758" spans="1:11" x14ac:dyDescent="0.25">
      <c r="A758">
        <v>407071</v>
      </c>
      <c r="B758" t="s">
        <v>111</v>
      </c>
      <c r="C758" s="3">
        <v>15.89</v>
      </c>
      <c r="D758" s="3">
        <v>14.98</v>
      </c>
      <c r="E758" s="3">
        <v>0</v>
      </c>
      <c r="F758">
        <v>1</v>
      </c>
      <c r="G758" t="s">
        <v>15</v>
      </c>
      <c r="H758" s="4">
        <v>46006</v>
      </c>
      <c r="I758" t="s">
        <v>13</v>
      </c>
      <c r="J758">
        <v>8.25</v>
      </c>
      <c r="K758" s="3">
        <v>247.83</v>
      </c>
    </row>
    <row r="759" spans="1:11" x14ac:dyDescent="0.25">
      <c r="A759">
        <v>407071</v>
      </c>
      <c r="B759" t="s">
        <v>111</v>
      </c>
      <c r="C759" s="3">
        <v>15.89</v>
      </c>
      <c r="D759" s="3">
        <v>14.98</v>
      </c>
      <c r="E759" s="3">
        <v>0</v>
      </c>
      <c r="F759">
        <v>1</v>
      </c>
      <c r="G759" t="s">
        <v>15</v>
      </c>
      <c r="H759" s="4">
        <v>46007</v>
      </c>
      <c r="I759" t="s">
        <v>13</v>
      </c>
      <c r="J759">
        <v>9.25</v>
      </c>
      <c r="K759" s="3">
        <v>277.87</v>
      </c>
    </row>
    <row r="760" spans="1:11" x14ac:dyDescent="0.25">
      <c r="A760">
        <v>407071</v>
      </c>
      <c r="B760" t="s">
        <v>111</v>
      </c>
      <c r="C760" s="3">
        <v>15.89</v>
      </c>
      <c r="D760" s="3">
        <v>14.98</v>
      </c>
      <c r="E760" s="3">
        <v>0</v>
      </c>
      <c r="F760">
        <v>1</v>
      </c>
      <c r="G760" t="s">
        <v>15</v>
      </c>
      <c r="H760" s="4">
        <v>46008</v>
      </c>
      <c r="I760" t="s">
        <v>13</v>
      </c>
      <c r="J760">
        <v>4.5</v>
      </c>
      <c r="K760" s="3">
        <v>135.18</v>
      </c>
    </row>
    <row r="761" spans="1:11" x14ac:dyDescent="0.25">
      <c r="A761">
        <v>407071</v>
      </c>
      <c r="B761" t="s">
        <v>111</v>
      </c>
      <c r="C761" s="3">
        <v>15.89</v>
      </c>
      <c r="D761" s="3">
        <v>14.98</v>
      </c>
      <c r="E761" s="3">
        <v>0</v>
      </c>
      <c r="F761">
        <v>1</v>
      </c>
      <c r="G761" t="s">
        <v>15</v>
      </c>
      <c r="H761" s="4">
        <v>46008</v>
      </c>
      <c r="I761" t="s">
        <v>23</v>
      </c>
      <c r="J761">
        <v>4.25</v>
      </c>
      <c r="K761" s="3">
        <v>120.79</v>
      </c>
    </row>
    <row r="762" spans="1:11" x14ac:dyDescent="0.25">
      <c r="A762">
        <v>407071</v>
      </c>
      <c r="B762" t="s">
        <v>111</v>
      </c>
      <c r="C762" s="3">
        <v>15.89</v>
      </c>
      <c r="D762" s="3">
        <v>14.98</v>
      </c>
      <c r="E762" s="3">
        <v>0</v>
      </c>
      <c r="F762">
        <v>1</v>
      </c>
      <c r="G762" t="s">
        <v>15</v>
      </c>
      <c r="H762" s="4">
        <v>46009</v>
      </c>
      <c r="I762" t="s">
        <v>13</v>
      </c>
      <c r="J762">
        <v>9</v>
      </c>
      <c r="K762" s="3">
        <v>270.36</v>
      </c>
    </row>
    <row r="763" spans="1:11" x14ac:dyDescent="0.25">
      <c r="A763">
        <v>407071</v>
      </c>
      <c r="B763" t="s">
        <v>111</v>
      </c>
      <c r="C763" s="3">
        <v>15.89</v>
      </c>
      <c r="D763" s="3">
        <v>14.98</v>
      </c>
      <c r="E763" s="3">
        <v>0</v>
      </c>
      <c r="F763">
        <v>1</v>
      </c>
      <c r="G763" t="s">
        <v>15</v>
      </c>
      <c r="H763" s="4">
        <v>46010</v>
      </c>
      <c r="I763" t="s">
        <v>13</v>
      </c>
      <c r="J763">
        <v>9</v>
      </c>
      <c r="K763" s="3">
        <v>270.36</v>
      </c>
    </row>
    <row r="764" spans="1:11" x14ac:dyDescent="0.25">
      <c r="A764">
        <v>414172</v>
      </c>
      <c r="B764" t="s">
        <v>112</v>
      </c>
      <c r="C764" s="3">
        <v>16.91</v>
      </c>
      <c r="D764" s="3">
        <v>15.94</v>
      </c>
      <c r="E764" s="3">
        <v>0</v>
      </c>
      <c r="F764">
        <v>22</v>
      </c>
      <c r="G764" t="s">
        <v>15</v>
      </c>
      <c r="H764" s="4">
        <v>46006</v>
      </c>
      <c r="I764" t="s">
        <v>13</v>
      </c>
      <c r="J764">
        <v>10.5</v>
      </c>
      <c r="K764" s="3">
        <v>333.69</v>
      </c>
    </row>
    <row r="765" spans="1:11" x14ac:dyDescent="0.25">
      <c r="A765">
        <v>414172</v>
      </c>
      <c r="B765" t="s">
        <v>112</v>
      </c>
      <c r="C765" s="3">
        <v>16.91</v>
      </c>
      <c r="D765" s="3">
        <v>15.94</v>
      </c>
      <c r="E765" s="3">
        <v>0</v>
      </c>
      <c r="F765">
        <v>22</v>
      </c>
      <c r="G765" t="s">
        <v>15</v>
      </c>
      <c r="H765" s="4">
        <v>46007</v>
      </c>
      <c r="I765" t="s">
        <v>13</v>
      </c>
      <c r="J765">
        <v>9.25</v>
      </c>
      <c r="K765" s="3">
        <v>293.97000000000003</v>
      </c>
    </row>
    <row r="766" spans="1:11" x14ac:dyDescent="0.25">
      <c r="A766">
        <v>414172</v>
      </c>
      <c r="B766" t="s">
        <v>112</v>
      </c>
      <c r="C766" s="3">
        <v>16.91</v>
      </c>
      <c r="D766" s="3">
        <v>15.94</v>
      </c>
      <c r="E766" s="3">
        <v>0</v>
      </c>
      <c r="F766">
        <v>22</v>
      </c>
      <c r="G766" t="s">
        <v>15</v>
      </c>
      <c r="H766" s="4">
        <v>46008</v>
      </c>
      <c r="I766" t="s">
        <v>13</v>
      </c>
      <c r="J766">
        <v>9.75</v>
      </c>
      <c r="K766" s="3">
        <v>309.86</v>
      </c>
    </row>
    <row r="767" spans="1:11" x14ac:dyDescent="0.25">
      <c r="A767">
        <v>414172</v>
      </c>
      <c r="B767" t="s">
        <v>112</v>
      </c>
      <c r="C767" s="3">
        <v>16.91</v>
      </c>
      <c r="D767" s="3">
        <v>15.94</v>
      </c>
      <c r="E767" s="3">
        <v>0</v>
      </c>
      <c r="F767">
        <v>22</v>
      </c>
      <c r="G767" t="s">
        <v>15</v>
      </c>
      <c r="H767" s="4">
        <v>46008</v>
      </c>
      <c r="I767" t="s">
        <v>23</v>
      </c>
      <c r="J767">
        <v>0.75</v>
      </c>
      <c r="K767" s="3">
        <v>22.68</v>
      </c>
    </row>
    <row r="768" spans="1:11" x14ac:dyDescent="0.25">
      <c r="A768">
        <v>414172</v>
      </c>
      <c r="B768" t="s">
        <v>112</v>
      </c>
      <c r="C768" s="3">
        <v>16.91</v>
      </c>
      <c r="D768" s="3">
        <v>15.94</v>
      </c>
      <c r="E768" s="3">
        <v>0</v>
      </c>
      <c r="F768">
        <v>22</v>
      </c>
      <c r="G768" t="s">
        <v>15</v>
      </c>
      <c r="H768" s="4">
        <v>46009</v>
      </c>
      <c r="I768" t="s">
        <v>23</v>
      </c>
      <c r="J768">
        <v>9.5</v>
      </c>
      <c r="K768" s="3">
        <v>287.27999999999997</v>
      </c>
    </row>
    <row r="769" spans="1:11" x14ac:dyDescent="0.25">
      <c r="A769">
        <v>414172</v>
      </c>
      <c r="B769" t="s">
        <v>112</v>
      </c>
      <c r="C769" s="3">
        <v>16.91</v>
      </c>
      <c r="D769" s="3">
        <v>15.94</v>
      </c>
      <c r="E769" s="3">
        <v>0</v>
      </c>
      <c r="F769">
        <v>22</v>
      </c>
      <c r="G769" t="s">
        <v>15</v>
      </c>
      <c r="H769" s="4">
        <v>46010</v>
      </c>
      <c r="I769" t="s">
        <v>13</v>
      </c>
      <c r="J769">
        <v>10.5</v>
      </c>
      <c r="K769" s="3">
        <v>333.69</v>
      </c>
    </row>
    <row r="770" spans="1:11" x14ac:dyDescent="0.25">
      <c r="A770">
        <v>414770</v>
      </c>
      <c r="B770" t="s">
        <v>113</v>
      </c>
      <c r="C770" s="3">
        <v>15.89</v>
      </c>
      <c r="D770" s="3">
        <v>14.98</v>
      </c>
      <c r="E770" s="3">
        <v>0</v>
      </c>
      <c r="F770">
        <v>72</v>
      </c>
      <c r="G770" t="s">
        <v>19</v>
      </c>
      <c r="H770" s="4">
        <v>46006</v>
      </c>
      <c r="I770" t="s">
        <v>13</v>
      </c>
      <c r="J770">
        <v>9.25</v>
      </c>
      <c r="K770" s="3">
        <v>278.52</v>
      </c>
    </row>
    <row r="771" spans="1:11" x14ac:dyDescent="0.25">
      <c r="A771">
        <v>414770</v>
      </c>
      <c r="B771" t="s">
        <v>113</v>
      </c>
      <c r="C771" s="3">
        <v>15.89</v>
      </c>
      <c r="D771" s="3">
        <v>14.98</v>
      </c>
      <c r="E771" s="3">
        <v>0</v>
      </c>
      <c r="F771">
        <v>72</v>
      </c>
      <c r="G771" t="s">
        <v>19</v>
      </c>
      <c r="H771" s="4">
        <v>46006</v>
      </c>
      <c r="I771" t="s">
        <v>21</v>
      </c>
      <c r="J771">
        <v>0.5</v>
      </c>
      <c r="K771" s="3">
        <v>19.13</v>
      </c>
    </row>
    <row r="772" spans="1:11" x14ac:dyDescent="0.25">
      <c r="A772">
        <v>414770</v>
      </c>
      <c r="B772" t="s">
        <v>113</v>
      </c>
      <c r="C772" s="3">
        <v>15.89</v>
      </c>
      <c r="D772" s="3">
        <v>14.98</v>
      </c>
      <c r="E772" s="3">
        <v>0</v>
      </c>
      <c r="F772">
        <v>72</v>
      </c>
      <c r="G772" t="s">
        <v>19</v>
      </c>
      <c r="H772" s="4">
        <v>46007</v>
      </c>
      <c r="I772" t="s">
        <v>13</v>
      </c>
      <c r="J772">
        <v>9.25</v>
      </c>
      <c r="K772" s="3">
        <v>278.52</v>
      </c>
    </row>
    <row r="773" spans="1:11" x14ac:dyDescent="0.25">
      <c r="A773">
        <v>414770</v>
      </c>
      <c r="B773" t="s">
        <v>113</v>
      </c>
      <c r="C773" s="3">
        <v>15.89</v>
      </c>
      <c r="D773" s="3">
        <v>14.98</v>
      </c>
      <c r="E773" s="3">
        <v>0</v>
      </c>
      <c r="F773">
        <v>72</v>
      </c>
      <c r="G773" t="s">
        <v>19</v>
      </c>
      <c r="H773" s="4">
        <v>46007</v>
      </c>
      <c r="I773" t="s">
        <v>21</v>
      </c>
      <c r="J773">
        <v>0.5</v>
      </c>
      <c r="K773" s="3">
        <v>19.13</v>
      </c>
    </row>
    <row r="774" spans="1:11" x14ac:dyDescent="0.25">
      <c r="A774">
        <v>414770</v>
      </c>
      <c r="B774" t="s">
        <v>113</v>
      </c>
      <c r="C774" s="3">
        <v>15.89</v>
      </c>
      <c r="D774" s="3">
        <v>14.98</v>
      </c>
      <c r="E774" s="3">
        <v>0</v>
      </c>
      <c r="F774">
        <v>72</v>
      </c>
      <c r="G774" t="s">
        <v>19</v>
      </c>
      <c r="H774" s="4">
        <v>46008</v>
      </c>
      <c r="I774" t="s">
        <v>13</v>
      </c>
      <c r="J774">
        <v>3</v>
      </c>
      <c r="K774" s="3">
        <v>90.33</v>
      </c>
    </row>
    <row r="775" spans="1:11" x14ac:dyDescent="0.25">
      <c r="A775">
        <v>414770</v>
      </c>
      <c r="B775" t="s">
        <v>113</v>
      </c>
      <c r="C775" s="3">
        <v>15.89</v>
      </c>
      <c r="D775" s="3">
        <v>14.98</v>
      </c>
      <c r="E775" s="3">
        <v>0</v>
      </c>
      <c r="F775">
        <v>72</v>
      </c>
      <c r="G775" t="s">
        <v>19</v>
      </c>
      <c r="H775" s="4">
        <v>46008</v>
      </c>
      <c r="I775" t="s">
        <v>23</v>
      </c>
      <c r="J775">
        <v>6.5</v>
      </c>
      <c r="K775" s="3">
        <v>182.52</v>
      </c>
    </row>
    <row r="776" spans="1:11" x14ac:dyDescent="0.25">
      <c r="A776">
        <v>414770</v>
      </c>
      <c r="B776" t="s">
        <v>113</v>
      </c>
      <c r="C776" s="3">
        <v>15.89</v>
      </c>
      <c r="D776" s="3">
        <v>14.98</v>
      </c>
      <c r="E776" s="3">
        <v>0</v>
      </c>
      <c r="F776">
        <v>72</v>
      </c>
      <c r="G776" t="s">
        <v>19</v>
      </c>
      <c r="H776" s="4">
        <v>46009</v>
      </c>
      <c r="I776" t="s">
        <v>13</v>
      </c>
      <c r="J776">
        <v>9.5</v>
      </c>
      <c r="K776" s="3">
        <v>286.05</v>
      </c>
    </row>
    <row r="777" spans="1:11" x14ac:dyDescent="0.25">
      <c r="A777">
        <v>414770</v>
      </c>
      <c r="B777" t="s">
        <v>113</v>
      </c>
      <c r="C777" s="3">
        <v>15.89</v>
      </c>
      <c r="D777" s="3">
        <v>14.98</v>
      </c>
      <c r="E777" s="3">
        <v>0</v>
      </c>
      <c r="F777">
        <v>72</v>
      </c>
      <c r="G777" t="s">
        <v>19</v>
      </c>
      <c r="H777" s="4">
        <v>46010</v>
      </c>
      <c r="I777" t="s">
        <v>13</v>
      </c>
      <c r="J777">
        <v>8</v>
      </c>
      <c r="K777" s="3">
        <v>240.88</v>
      </c>
    </row>
    <row r="778" spans="1:11" x14ac:dyDescent="0.25">
      <c r="A778">
        <v>414835</v>
      </c>
      <c r="B778" t="s">
        <v>114</v>
      </c>
      <c r="C778" s="3">
        <v>15.89</v>
      </c>
      <c r="D778" s="3">
        <v>14.98</v>
      </c>
      <c r="E778" s="3">
        <v>0</v>
      </c>
      <c r="F778">
        <v>72</v>
      </c>
      <c r="G778" t="s">
        <v>19</v>
      </c>
      <c r="H778" s="4">
        <v>46006</v>
      </c>
      <c r="I778" t="s">
        <v>13</v>
      </c>
      <c r="J778">
        <v>9.5</v>
      </c>
      <c r="K778" s="3">
        <v>286.05</v>
      </c>
    </row>
    <row r="779" spans="1:11" x14ac:dyDescent="0.25">
      <c r="A779">
        <v>414835</v>
      </c>
      <c r="B779" t="s">
        <v>114</v>
      </c>
      <c r="C779" s="3">
        <v>15.89</v>
      </c>
      <c r="D779" s="3">
        <v>14.98</v>
      </c>
      <c r="E779" s="3">
        <v>0</v>
      </c>
      <c r="F779">
        <v>72</v>
      </c>
      <c r="G779" t="s">
        <v>19</v>
      </c>
      <c r="H779" s="4">
        <v>46006</v>
      </c>
      <c r="I779" t="s">
        <v>21</v>
      </c>
      <c r="J779">
        <v>0.5</v>
      </c>
      <c r="K779" s="3">
        <v>19.13</v>
      </c>
    </row>
    <row r="780" spans="1:11" x14ac:dyDescent="0.25">
      <c r="A780">
        <v>414835</v>
      </c>
      <c r="B780" t="s">
        <v>114</v>
      </c>
      <c r="C780" s="3">
        <v>15.89</v>
      </c>
      <c r="D780" s="3">
        <v>14.98</v>
      </c>
      <c r="E780" s="3">
        <v>0</v>
      </c>
      <c r="F780">
        <v>72</v>
      </c>
      <c r="G780" t="s">
        <v>19</v>
      </c>
      <c r="H780" s="4">
        <v>46007</v>
      </c>
      <c r="I780" t="s">
        <v>13</v>
      </c>
      <c r="J780">
        <v>9.25</v>
      </c>
      <c r="K780" s="3">
        <v>278.52</v>
      </c>
    </row>
    <row r="781" spans="1:11" x14ac:dyDescent="0.25">
      <c r="A781">
        <v>414835</v>
      </c>
      <c r="B781" t="s">
        <v>114</v>
      </c>
      <c r="C781" s="3">
        <v>15.89</v>
      </c>
      <c r="D781" s="3">
        <v>14.98</v>
      </c>
      <c r="E781" s="3">
        <v>0</v>
      </c>
      <c r="F781">
        <v>72</v>
      </c>
      <c r="G781" t="s">
        <v>19</v>
      </c>
      <c r="H781" s="4">
        <v>46007</v>
      </c>
      <c r="I781" t="s">
        <v>21</v>
      </c>
      <c r="J781">
        <v>0.25</v>
      </c>
      <c r="K781" s="3">
        <v>9.56</v>
      </c>
    </row>
    <row r="782" spans="1:11" x14ac:dyDescent="0.25">
      <c r="A782">
        <v>414835</v>
      </c>
      <c r="B782" t="s">
        <v>114</v>
      </c>
      <c r="C782" s="3">
        <v>15.89</v>
      </c>
      <c r="D782" s="3">
        <v>14.98</v>
      </c>
      <c r="E782" s="3">
        <v>0</v>
      </c>
      <c r="F782">
        <v>72</v>
      </c>
      <c r="G782" t="s">
        <v>19</v>
      </c>
      <c r="H782" s="4">
        <v>46008</v>
      </c>
      <c r="I782" t="s">
        <v>13</v>
      </c>
      <c r="J782">
        <v>3</v>
      </c>
      <c r="K782" s="3">
        <v>90.33</v>
      </c>
    </row>
    <row r="783" spans="1:11" x14ac:dyDescent="0.25">
      <c r="A783">
        <v>414835</v>
      </c>
      <c r="B783" t="s">
        <v>114</v>
      </c>
      <c r="C783" s="3">
        <v>15.89</v>
      </c>
      <c r="D783" s="3">
        <v>14.98</v>
      </c>
      <c r="E783" s="3">
        <v>0</v>
      </c>
      <c r="F783">
        <v>72</v>
      </c>
      <c r="G783" t="s">
        <v>19</v>
      </c>
      <c r="H783" s="4">
        <v>46008</v>
      </c>
      <c r="I783" t="s">
        <v>23</v>
      </c>
      <c r="J783">
        <v>6.5</v>
      </c>
      <c r="K783" s="3">
        <v>182.52</v>
      </c>
    </row>
    <row r="784" spans="1:11" x14ac:dyDescent="0.25">
      <c r="A784">
        <v>414835</v>
      </c>
      <c r="B784" t="s">
        <v>114</v>
      </c>
      <c r="C784" s="3">
        <v>15.89</v>
      </c>
      <c r="D784" s="3">
        <v>14.98</v>
      </c>
      <c r="E784" s="3">
        <v>0</v>
      </c>
      <c r="F784">
        <v>72</v>
      </c>
      <c r="G784" t="s">
        <v>19</v>
      </c>
      <c r="H784" s="4">
        <v>46009</v>
      </c>
      <c r="I784" t="s">
        <v>13</v>
      </c>
      <c r="J784">
        <v>9.5</v>
      </c>
      <c r="K784" s="3">
        <v>286.05</v>
      </c>
    </row>
    <row r="785" spans="1:11" x14ac:dyDescent="0.25">
      <c r="A785">
        <v>414835</v>
      </c>
      <c r="B785" t="s">
        <v>114</v>
      </c>
      <c r="C785" s="3">
        <v>15.89</v>
      </c>
      <c r="D785" s="3">
        <v>14.98</v>
      </c>
      <c r="E785" s="3">
        <v>0</v>
      </c>
      <c r="F785">
        <v>72</v>
      </c>
      <c r="G785" t="s">
        <v>19</v>
      </c>
      <c r="H785" s="4">
        <v>46010</v>
      </c>
      <c r="I785" t="s">
        <v>13</v>
      </c>
      <c r="J785">
        <v>8</v>
      </c>
      <c r="K785" s="3">
        <v>240.88</v>
      </c>
    </row>
    <row r="786" spans="1:11" x14ac:dyDescent="0.25">
      <c r="A786">
        <v>421022</v>
      </c>
      <c r="B786" t="s">
        <v>115</v>
      </c>
      <c r="C786" s="3">
        <v>15.89</v>
      </c>
      <c r="D786" s="3">
        <v>14.98</v>
      </c>
      <c r="E786" s="3">
        <v>0</v>
      </c>
      <c r="F786">
        <v>24</v>
      </c>
      <c r="G786" t="s">
        <v>15</v>
      </c>
      <c r="H786" s="4">
        <v>46006</v>
      </c>
      <c r="I786" t="s">
        <v>13</v>
      </c>
      <c r="J786">
        <v>8</v>
      </c>
      <c r="K786" s="3">
        <v>240.32</v>
      </c>
    </row>
    <row r="787" spans="1:11" x14ac:dyDescent="0.25">
      <c r="A787">
        <v>421022</v>
      </c>
      <c r="B787" t="s">
        <v>115</v>
      </c>
      <c r="C787" s="3">
        <v>15.89</v>
      </c>
      <c r="D787" s="3">
        <v>14.98</v>
      </c>
      <c r="E787" s="3">
        <v>0</v>
      </c>
      <c r="F787">
        <v>24</v>
      </c>
      <c r="G787" t="s">
        <v>15</v>
      </c>
      <c r="H787" s="4">
        <v>46007</v>
      </c>
      <c r="I787" t="s">
        <v>13</v>
      </c>
      <c r="J787">
        <v>8</v>
      </c>
      <c r="K787" s="3">
        <v>240.32</v>
      </c>
    </row>
    <row r="788" spans="1:11" x14ac:dyDescent="0.25">
      <c r="A788">
        <v>421022</v>
      </c>
      <c r="B788" t="s">
        <v>115</v>
      </c>
      <c r="C788" s="3">
        <v>15.89</v>
      </c>
      <c r="D788" s="3">
        <v>14.98</v>
      </c>
      <c r="E788" s="3">
        <v>0</v>
      </c>
      <c r="F788">
        <v>24</v>
      </c>
      <c r="G788" t="s">
        <v>15</v>
      </c>
      <c r="H788" s="4">
        <v>46008</v>
      </c>
      <c r="I788" t="s">
        <v>13</v>
      </c>
      <c r="J788">
        <v>8</v>
      </c>
      <c r="K788" s="3">
        <v>240.32</v>
      </c>
    </row>
    <row r="789" spans="1:11" x14ac:dyDescent="0.25">
      <c r="A789">
        <v>421022</v>
      </c>
      <c r="B789" t="s">
        <v>115</v>
      </c>
      <c r="C789" s="3">
        <v>15.89</v>
      </c>
      <c r="D789" s="3">
        <v>14.98</v>
      </c>
      <c r="E789" s="3">
        <v>0</v>
      </c>
      <c r="F789">
        <v>24</v>
      </c>
      <c r="G789" t="s">
        <v>15</v>
      </c>
      <c r="H789" s="4">
        <v>46009</v>
      </c>
      <c r="I789" t="s">
        <v>13</v>
      </c>
      <c r="J789">
        <v>8</v>
      </c>
      <c r="K789" s="3">
        <v>240.32</v>
      </c>
    </row>
    <row r="790" spans="1:11" x14ac:dyDescent="0.25">
      <c r="A790">
        <v>421022</v>
      </c>
      <c r="B790" t="s">
        <v>115</v>
      </c>
      <c r="C790" s="3">
        <v>15.89</v>
      </c>
      <c r="D790" s="3">
        <v>14.98</v>
      </c>
      <c r="E790" s="3">
        <v>0</v>
      </c>
      <c r="F790">
        <v>24</v>
      </c>
      <c r="G790" t="s">
        <v>15</v>
      </c>
      <c r="H790" s="4">
        <v>46010</v>
      </c>
      <c r="I790" t="s">
        <v>13</v>
      </c>
      <c r="J790">
        <v>8</v>
      </c>
      <c r="K790" s="3">
        <v>240.32</v>
      </c>
    </row>
    <row r="791" spans="1:11" x14ac:dyDescent="0.25">
      <c r="A791">
        <v>422226</v>
      </c>
      <c r="B791" t="s">
        <v>116</v>
      </c>
      <c r="C791" s="3">
        <v>15.89</v>
      </c>
      <c r="D791" s="3">
        <v>14.98</v>
      </c>
      <c r="E791" s="3">
        <v>0</v>
      </c>
      <c r="F791">
        <v>74</v>
      </c>
      <c r="G791" t="s">
        <v>19</v>
      </c>
      <c r="H791" s="4">
        <v>46006</v>
      </c>
      <c r="I791" t="s">
        <v>13</v>
      </c>
      <c r="J791">
        <v>8.75</v>
      </c>
      <c r="K791" s="3">
        <v>263.45999999999998</v>
      </c>
    </row>
    <row r="792" spans="1:11" x14ac:dyDescent="0.25">
      <c r="A792">
        <v>422226</v>
      </c>
      <c r="B792" t="s">
        <v>116</v>
      </c>
      <c r="C792" s="3">
        <v>15.89</v>
      </c>
      <c r="D792" s="3">
        <v>14.98</v>
      </c>
      <c r="E792" s="3">
        <v>0</v>
      </c>
      <c r="F792">
        <v>74</v>
      </c>
      <c r="G792" t="s">
        <v>19</v>
      </c>
      <c r="H792" s="4">
        <v>46007</v>
      </c>
      <c r="I792" t="s">
        <v>13</v>
      </c>
      <c r="J792">
        <v>9</v>
      </c>
      <c r="K792" s="3">
        <v>270.99</v>
      </c>
    </row>
    <row r="793" spans="1:11" x14ac:dyDescent="0.25">
      <c r="A793">
        <v>422226</v>
      </c>
      <c r="B793" t="s">
        <v>116</v>
      </c>
      <c r="C793" s="3">
        <v>15.89</v>
      </c>
      <c r="D793" s="3">
        <v>14.98</v>
      </c>
      <c r="E793" s="3">
        <v>0</v>
      </c>
      <c r="F793">
        <v>74</v>
      </c>
      <c r="G793" t="s">
        <v>19</v>
      </c>
      <c r="H793" s="4">
        <v>46008</v>
      </c>
      <c r="I793" t="s">
        <v>13</v>
      </c>
      <c r="J793">
        <v>4.25</v>
      </c>
      <c r="K793" s="3">
        <v>127.97</v>
      </c>
    </row>
    <row r="794" spans="1:11" x14ac:dyDescent="0.25">
      <c r="A794">
        <v>422226</v>
      </c>
      <c r="B794" t="s">
        <v>116</v>
      </c>
      <c r="C794" s="3">
        <v>15.89</v>
      </c>
      <c r="D794" s="3">
        <v>14.98</v>
      </c>
      <c r="E794" s="3">
        <v>0</v>
      </c>
      <c r="F794">
        <v>74</v>
      </c>
      <c r="G794" t="s">
        <v>19</v>
      </c>
      <c r="H794" s="4">
        <v>46008</v>
      </c>
      <c r="I794" t="s">
        <v>23</v>
      </c>
      <c r="J794">
        <v>4.75</v>
      </c>
      <c r="K794" s="3">
        <v>133.38</v>
      </c>
    </row>
    <row r="795" spans="1:11" x14ac:dyDescent="0.25">
      <c r="A795">
        <v>422226</v>
      </c>
      <c r="B795" t="s">
        <v>116</v>
      </c>
      <c r="C795" s="3">
        <v>15.89</v>
      </c>
      <c r="D795" s="3">
        <v>14.98</v>
      </c>
      <c r="E795" s="3">
        <v>0</v>
      </c>
      <c r="F795">
        <v>74</v>
      </c>
      <c r="G795" t="s">
        <v>19</v>
      </c>
      <c r="H795" s="4">
        <v>46009</v>
      </c>
      <c r="I795" t="s">
        <v>13</v>
      </c>
      <c r="J795">
        <v>9</v>
      </c>
      <c r="K795" s="3">
        <v>270.99</v>
      </c>
    </row>
    <row r="796" spans="1:11" x14ac:dyDescent="0.25">
      <c r="A796">
        <v>422226</v>
      </c>
      <c r="B796" t="s">
        <v>116</v>
      </c>
      <c r="C796" s="3">
        <v>15.89</v>
      </c>
      <c r="D796" s="3">
        <v>14.98</v>
      </c>
      <c r="E796" s="3">
        <v>0</v>
      </c>
      <c r="F796">
        <v>74</v>
      </c>
      <c r="G796" t="s">
        <v>19</v>
      </c>
      <c r="H796" s="4">
        <v>46010</v>
      </c>
      <c r="I796" t="s">
        <v>13</v>
      </c>
      <c r="J796">
        <v>9</v>
      </c>
      <c r="K796" s="3">
        <v>270.99</v>
      </c>
    </row>
    <row r="797" spans="1:11" x14ac:dyDescent="0.25">
      <c r="A797">
        <v>429969</v>
      </c>
      <c r="B797" t="s">
        <v>65</v>
      </c>
      <c r="C797" s="3">
        <v>15.89</v>
      </c>
      <c r="D797" s="3">
        <v>14.98</v>
      </c>
      <c r="E797" s="3">
        <v>0</v>
      </c>
      <c r="F797">
        <v>24</v>
      </c>
      <c r="G797" t="s">
        <v>15</v>
      </c>
      <c r="H797" s="4">
        <v>46008</v>
      </c>
      <c r="I797" t="s">
        <v>13</v>
      </c>
      <c r="J797">
        <v>7.5</v>
      </c>
      <c r="K797" s="3">
        <v>225.3</v>
      </c>
    </row>
    <row r="798" spans="1:11" x14ac:dyDescent="0.25">
      <c r="A798">
        <v>433027</v>
      </c>
      <c r="B798" t="s">
        <v>117</v>
      </c>
      <c r="C798" s="3">
        <v>15.89</v>
      </c>
      <c r="D798" s="3">
        <v>14.98</v>
      </c>
      <c r="E798" s="3">
        <v>0</v>
      </c>
      <c r="F798">
        <v>54</v>
      </c>
      <c r="G798" t="s">
        <v>19</v>
      </c>
      <c r="H798" s="4">
        <v>46006</v>
      </c>
      <c r="I798" t="s">
        <v>13</v>
      </c>
      <c r="J798">
        <v>8</v>
      </c>
      <c r="K798" s="3">
        <v>240.88</v>
      </c>
    </row>
    <row r="799" spans="1:11" x14ac:dyDescent="0.25">
      <c r="A799">
        <v>433027</v>
      </c>
      <c r="B799" t="s">
        <v>117</v>
      </c>
      <c r="C799" s="3">
        <v>15.89</v>
      </c>
      <c r="D799" s="3">
        <v>14.98</v>
      </c>
      <c r="E799" s="3">
        <v>0</v>
      </c>
      <c r="F799">
        <v>54</v>
      </c>
      <c r="G799" t="s">
        <v>19</v>
      </c>
      <c r="H799" s="4">
        <v>46007</v>
      </c>
      <c r="I799" t="s">
        <v>13</v>
      </c>
      <c r="J799">
        <v>9.25</v>
      </c>
      <c r="K799" s="3">
        <v>278.52</v>
      </c>
    </row>
    <row r="800" spans="1:11" x14ac:dyDescent="0.25">
      <c r="A800">
        <v>433027</v>
      </c>
      <c r="B800" t="s">
        <v>117</v>
      </c>
      <c r="C800" s="3">
        <v>15.89</v>
      </c>
      <c r="D800" s="3">
        <v>14.98</v>
      </c>
      <c r="E800" s="3">
        <v>0</v>
      </c>
      <c r="F800">
        <v>54</v>
      </c>
      <c r="G800" t="s">
        <v>19</v>
      </c>
      <c r="H800" s="4">
        <v>46008</v>
      </c>
      <c r="I800" t="s">
        <v>13</v>
      </c>
      <c r="J800">
        <v>3.75</v>
      </c>
      <c r="K800" s="3">
        <v>112.91</v>
      </c>
    </row>
    <row r="801" spans="1:11" x14ac:dyDescent="0.25">
      <c r="A801">
        <v>439647</v>
      </c>
      <c r="B801" t="s">
        <v>118</v>
      </c>
      <c r="C801" s="3">
        <v>15.89</v>
      </c>
      <c r="D801" s="3">
        <v>14.98</v>
      </c>
      <c r="E801" s="3">
        <v>0</v>
      </c>
      <c r="F801">
        <v>33</v>
      </c>
      <c r="G801" t="s">
        <v>15</v>
      </c>
      <c r="H801" s="4">
        <v>46006</v>
      </c>
      <c r="I801" t="s">
        <v>13</v>
      </c>
      <c r="J801">
        <v>7</v>
      </c>
      <c r="K801" s="3">
        <v>210.28</v>
      </c>
    </row>
    <row r="802" spans="1:11" x14ac:dyDescent="0.25">
      <c r="A802">
        <v>439647</v>
      </c>
      <c r="B802" t="s">
        <v>118</v>
      </c>
      <c r="C802" s="3">
        <v>15.89</v>
      </c>
      <c r="D802" s="3">
        <v>14.98</v>
      </c>
      <c r="E802" s="3">
        <v>0</v>
      </c>
      <c r="F802">
        <v>33</v>
      </c>
      <c r="G802" t="s">
        <v>15</v>
      </c>
      <c r="H802" s="4">
        <v>46007</v>
      </c>
      <c r="I802" t="s">
        <v>13</v>
      </c>
      <c r="J802">
        <v>8.25</v>
      </c>
      <c r="K802" s="3">
        <v>247.83</v>
      </c>
    </row>
    <row r="803" spans="1:11" x14ac:dyDescent="0.25">
      <c r="A803">
        <v>439647</v>
      </c>
      <c r="B803" t="s">
        <v>118</v>
      </c>
      <c r="C803" s="3">
        <v>15.89</v>
      </c>
      <c r="D803" s="3">
        <v>14.98</v>
      </c>
      <c r="E803" s="3">
        <v>0</v>
      </c>
      <c r="F803">
        <v>33</v>
      </c>
      <c r="G803" t="s">
        <v>15</v>
      </c>
      <c r="H803" s="4">
        <v>46008</v>
      </c>
      <c r="I803" t="s">
        <v>13</v>
      </c>
      <c r="J803">
        <v>8</v>
      </c>
      <c r="K803" s="3">
        <v>240.32</v>
      </c>
    </row>
    <row r="804" spans="1:11" x14ac:dyDescent="0.25">
      <c r="A804">
        <v>439647</v>
      </c>
      <c r="B804" t="s">
        <v>118</v>
      </c>
      <c r="C804" s="3">
        <v>15.89</v>
      </c>
      <c r="D804" s="3">
        <v>14.98</v>
      </c>
      <c r="E804" s="3">
        <v>0</v>
      </c>
      <c r="F804">
        <v>33</v>
      </c>
      <c r="G804" t="s">
        <v>15</v>
      </c>
      <c r="H804" s="4">
        <v>46009</v>
      </c>
      <c r="I804" t="s">
        <v>13</v>
      </c>
      <c r="J804">
        <v>8.5</v>
      </c>
      <c r="K804" s="3">
        <v>255.34</v>
      </c>
    </row>
    <row r="805" spans="1:11" x14ac:dyDescent="0.25">
      <c r="A805">
        <v>439647</v>
      </c>
      <c r="B805" t="s">
        <v>118</v>
      </c>
      <c r="C805" s="3">
        <v>15.89</v>
      </c>
      <c r="D805" s="3">
        <v>14.98</v>
      </c>
      <c r="E805" s="3">
        <v>0</v>
      </c>
      <c r="F805">
        <v>33</v>
      </c>
      <c r="G805" t="s">
        <v>15</v>
      </c>
      <c r="H805" s="4">
        <v>46009</v>
      </c>
      <c r="I805" t="s">
        <v>21</v>
      </c>
      <c r="J805">
        <v>1.25</v>
      </c>
      <c r="K805" s="3">
        <v>47.8</v>
      </c>
    </row>
    <row r="806" spans="1:11" x14ac:dyDescent="0.25">
      <c r="A806">
        <v>439647</v>
      </c>
      <c r="B806" t="s">
        <v>118</v>
      </c>
      <c r="C806" s="3">
        <v>15.89</v>
      </c>
      <c r="D806" s="3">
        <v>14.98</v>
      </c>
      <c r="E806" s="3">
        <v>0</v>
      </c>
      <c r="F806">
        <v>33</v>
      </c>
      <c r="G806" t="s">
        <v>15</v>
      </c>
      <c r="H806" s="4">
        <v>46010</v>
      </c>
      <c r="I806" t="s">
        <v>13</v>
      </c>
      <c r="J806">
        <v>6.75</v>
      </c>
      <c r="K806" s="3">
        <v>202.77</v>
      </c>
    </row>
    <row r="807" spans="1:11" x14ac:dyDescent="0.25">
      <c r="A807">
        <v>439825</v>
      </c>
      <c r="B807" t="s">
        <v>119</v>
      </c>
      <c r="C807" s="3">
        <v>15.89</v>
      </c>
      <c r="D807" s="3">
        <v>14.98</v>
      </c>
      <c r="E807" s="3">
        <v>0</v>
      </c>
      <c r="F807">
        <v>1</v>
      </c>
      <c r="G807" t="s">
        <v>15</v>
      </c>
      <c r="H807" s="4">
        <v>46006</v>
      </c>
      <c r="I807" t="s">
        <v>13</v>
      </c>
      <c r="J807">
        <v>5</v>
      </c>
      <c r="K807" s="3">
        <v>150.19999999999999</v>
      </c>
    </row>
    <row r="808" spans="1:11" x14ac:dyDescent="0.25">
      <c r="A808">
        <v>439825</v>
      </c>
      <c r="B808" t="s">
        <v>119</v>
      </c>
      <c r="C808" s="3">
        <v>15.89</v>
      </c>
      <c r="D808" s="3">
        <v>14.98</v>
      </c>
      <c r="E808" s="3">
        <v>0</v>
      </c>
      <c r="F808">
        <v>1</v>
      </c>
      <c r="G808" t="s">
        <v>15</v>
      </c>
      <c r="H808" s="4">
        <v>46007</v>
      </c>
      <c r="I808" t="s">
        <v>13</v>
      </c>
      <c r="J808">
        <v>8</v>
      </c>
      <c r="K808" s="3">
        <v>240.32</v>
      </c>
    </row>
    <row r="809" spans="1:11" x14ac:dyDescent="0.25">
      <c r="A809">
        <v>439825</v>
      </c>
      <c r="B809" t="s">
        <v>119</v>
      </c>
      <c r="C809" s="3">
        <v>15.89</v>
      </c>
      <c r="D809" s="3">
        <v>14.98</v>
      </c>
      <c r="E809" s="3">
        <v>0</v>
      </c>
      <c r="F809">
        <v>1</v>
      </c>
      <c r="G809" t="s">
        <v>15</v>
      </c>
      <c r="H809" s="4">
        <v>46008</v>
      </c>
      <c r="I809" t="s">
        <v>13</v>
      </c>
      <c r="J809">
        <v>6.5</v>
      </c>
      <c r="K809" s="3">
        <v>195.26</v>
      </c>
    </row>
    <row r="810" spans="1:11" x14ac:dyDescent="0.25">
      <c r="A810">
        <v>439825</v>
      </c>
      <c r="B810" t="s">
        <v>119</v>
      </c>
      <c r="C810" s="3">
        <v>15.89</v>
      </c>
      <c r="D810" s="3">
        <v>14.98</v>
      </c>
      <c r="E810" s="3">
        <v>0</v>
      </c>
      <c r="F810">
        <v>1</v>
      </c>
      <c r="G810" t="s">
        <v>15</v>
      </c>
      <c r="H810" s="4">
        <v>46009</v>
      </c>
      <c r="I810" t="s">
        <v>13</v>
      </c>
      <c r="J810">
        <v>8</v>
      </c>
      <c r="K810" s="3">
        <v>240.32</v>
      </c>
    </row>
    <row r="811" spans="1:11" x14ac:dyDescent="0.25">
      <c r="A811">
        <v>439825</v>
      </c>
      <c r="B811" t="s">
        <v>119</v>
      </c>
      <c r="C811" s="3">
        <v>15.89</v>
      </c>
      <c r="D811" s="3">
        <v>14.98</v>
      </c>
      <c r="E811" s="3">
        <v>0</v>
      </c>
      <c r="F811">
        <v>1</v>
      </c>
      <c r="G811" t="s">
        <v>15</v>
      </c>
      <c r="H811" s="4">
        <v>46010</v>
      </c>
      <c r="I811" t="s">
        <v>13</v>
      </c>
      <c r="J811">
        <v>7.5</v>
      </c>
      <c r="K811" s="3">
        <v>225.3</v>
      </c>
    </row>
    <row r="812" spans="1:11" x14ac:dyDescent="0.25">
      <c r="A812">
        <v>439825</v>
      </c>
      <c r="B812" t="s">
        <v>119</v>
      </c>
      <c r="C812" s="3">
        <v>15.89</v>
      </c>
      <c r="D812" s="3">
        <v>14.98</v>
      </c>
      <c r="E812" s="3">
        <v>0</v>
      </c>
      <c r="F812">
        <v>1</v>
      </c>
      <c r="G812" t="s">
        <v>15</v>
      </c>
      <c r="H812" s="4">
        <v>46011</v>
      </c>
      <c r="I812" t="s">
        <v>13</v>
      </c>
      <c r="J812">
        <v>5</v>
      </c>
      <c r="K812" s="3">
        <v>150.19999999999999</v>
      </c>
    </row>
    <row r="813" spans="1:11" x14ac:dyDescent="0.25">
      <c r="A813">
        <v>439825</v>
      </c>
      <c r="B813" t="s">
        <v>119</v>
      </c>
      <c r="C813" s="3">
        <v>15.89</v>
      </c>
      <c r="D813" s="3">
        <v>14.98</v>
      </c>
      <c r="E813" s="3">
        <v>0</v>
      </c>
      <c r="F813">
        <v>1</v>
      </c>
      <c r="G813" t="s">
        <v>15</v>
      </c>
      <c r="H813" s="4">
        <v>46011</v>
      </c>
      <c r="I813" t="s">
        <v>24</v>
      </c>
      <c r="J813">
        <v>0.25</v>
      </c>
      <c r="K813" s="3">
        <v>9.14</v>
      </c>
    </row>
    <row r="814" spans="1:11" x14ac:dyDescent="0.25">
      <c r="A814">
        <v>439825</v>
      </c>
      <c r="B814" t="s">
        <v>119</v>
      </c>
      <c r="C814" s="3">
        <v>15.89</v>
      </c>
      <c r="D814" s="3">
        <v>14.98</v>
      </c>
      <c r="E814" s="3">
        <v>0</v>
      </c>
      <c r="F814">
        <v>1</v>
      </c>
      <c r="G814" t="s">
        <v>15</v>
      </c>
      <c r="H814" s="4">
        <v>46011</v>
      </c>
      <c r="I814" t="s">
        <v>25</v>
      </c>
      <c r="J814">
        <v>1</v>
      </c>
      <c r="K814" s="3">
        <v>40.6</v>
      </c>
    </row>
    <row r="815" spans="1:11" x14ac:dyDescent="0.25">
      <c r="A815">
        <v>441264</v>
      </c>
      <c r="B815" t="s">
        <v>120</v>
      </c>
      <c r="C815" s="3">
        <v>16.91</v>
      </c>
      <c r="D815" s="3">
        <v>15.94</v>
      </c>
      <c r="E815" s="3">
        <v>0</v>
      </c>
      <c r="F815">
        <v>30</v>
      </c>
      <c r="G815" t="s">
        <v>15</v>
      </c>
      <c r="H815" s="4">
        <v>46006</v>
      </c>
      <c r="I815" t="s">
        <v>13</v>
      </c>
      <c r="J815">
        <v>7.25</v>
      </c>
      <c r="K815" s="3">
        <v>230.41</v>
      </c>
    </row>
    <row r="816" spans="1:11" x14ac:dyDescent="0.25">
      <c r="A816">
        <v>441264</v>
      </c>
      <c r="B816" t="s">
        <v>120</v>
      </c>
      <c r="C816" s="3">
        <v>16.91</v>
      </c>
      <c r="D816" s="3">
        <v>15.94</v>
      </c>
      <c r="E816" s="3">
        <v>0</v>
      </c>
      <c r="F816">
        <v>30</v>
      </c>
      <c r="G816" t="s">
        <v>15</v>
      </c>
      <c r="H816" s="4">
        <v>46007</v>
      </c>
      <c r="I816" t="s">
        <v>13</v>
      </c>
      <c r="J816">
        <v>7.25</v>
      </c>
      <c r="K816" s="3">
        <v>230.41</v>
      </c>
    </row>
    <row r="817" spans="1:11" x14ac:dyDescent="0.25">
      <c r="A817">
        <v>441264</v>
      </c>
      <c r="B817" t="s">
        <v>120</v>
      </c>
      <c r="C817" s="3">
        <v>16.91</v>
      </c>
      <c r="D817" s="3">
        <v>15.94</v>
      </c>
      <c r="E817" s="3">
        <v>0</v>
      </c>
      <c r="F817">
        <v>30</v>
      </c>
      <c r="G817" t="s">
        <v>15</v>
      </c>
      <c r="H817" s="4">
        <v>46008</v>
      </c>
      <c r="I817" t="s">
        <v>13</v>
      </c>
      <c r="J817">
        <v>7.25</v>
      </c>
      <c r="K817" s="3">
        <v>230.41</v>
      </c>
    </row>
    <row r="818" spans="1:11" x14ac:dyDescent="0.25">
      <c r="A818">
        <v>441264</v>
      </c>
      <c r="B818" t="s">
        <v>120</v>
      </c>
      <c r="C818" s="3">
        <v>16.91</v>
      </c>
      <c r="D818" s="3">
        <v>15.94</v>
      </c>
      <c r="E818" s="3">
        <v>0</v>
      </c>
      <c r="F818">
        <v>30</v>
      </c>
      <c r="G818" t="s">
        <v>15</v>
      </c>
      <c r="H818" s="4">
        <v>46009</v>
      </c>
      <c r="I818" t="s">
        <v>13</v>
      </c>
      <c r="J818">
        <v>9</v>
      </c>
      <c r="K818" s="3">
        <v>286.02</v>
      </c>
    </row>
    <row r="819" spans="1:11" x14ac:dyDescent="0.25">
      <c r="A819">
        <v>441264</v>
      </c>
      <c r="B819" t="s">
        <v>120</v>
      </c>
      <c r="C819" s="3">
        <v>16.91</v>
      </c>
      <c r="D819" s="3">
        <v>15.94</v>
      </c>
      <c r="E819" s="3">
        <v>0</v>
      </c>
      <c r="F819">
        <v>30</v>
      </c>
      <c r="G819" t="s">
        <v>15</v>
      </c>
      <c r="H819" s="4">
        <v>46010</v>
      </c>
      <c r="I819" t="s">
        <v>13</v>
      </c>
      <c r="J819">
        <v>5.5</v>
      </c>
      <c r="K819" s="3">
        <v>174.79</v>
      </c>
    </row>
    <row r="820" spans="1:11" x14ac:dyDescent="0.25">
      <c r="A820">
        <v>441264</v>
      </c>
      <c r="B820" t="s">
        <v>120</v>
      </c>
      <c r="C820" s="3">
        <v>16.91</v>
      </c>
      <c r="D820" s="3">
        <v>15.94</v>
      </c>
      <c r="E820" s="3">
        <v>0</v>
      </c>
      <c r="F820">
        <v>30</v>
      </c>
      <c r="G820" t="s">
        <v>15</v>
      </c>
      <c r="H820" s="4">
        <v>46010</v>
      </c>
      <c r="I820" t="s">
        <v>22</v>
      </c>
      <c r="J820">
        <v>2</v>
      </c>
      <c r="K820" s="3">
        <v>82.08</v>
      </c>
    </row>
    <row r="821" spans="1:11" x14ac:dyDescent="0.25">
      <c r="A821">
        <v>441359</v>
      </c>
      <c r="B821" t="s">
        <v>121</v>
      </c>
      <c r="C821" s="3">
        <v>15.89</v>
      </c>
      <c r="D821" s="3">
        <v>14.98</v>
      </c>
      <c r="E821" s="3">
        <v>0</v>
      </c>
      <c r="F821">
        <v>31</v>
      </c>
      <c r="G821" t="s">
        <v>15</v>
      </c>
      <c r="H821" s="4">
        <v>46006</v>
      </c>
      <c r="I821" t="s">
        <v>13</v>
      </c>
      <c r="J821">
        <v>3</v>
      </c>
      <c r="K821" s="3">
        <v>90.12</v>
      </c>
    </row>
    <row r="822" spans="1:11" x14ac:dyDescent="0.25">
      <c r="A822">
        <v>441359</v>
      </c>
      <c r="B822" t="s">
        <v>121</v>
      </c>
      <c r="C822" s="3">
        <v>15.89</v>
      </c>
      <c r="D822" s="3">
        <v>14.98</v>
      </c>
      <c r="E822" s="3">
        <v>0</v>
      </c>
      <c r="F822">
        <v>31</v>
      </c>
      <c r="G822" t="s">
        <v>15</v>
      </c>
      <c r="H822" s="4">
        <v>46006</v>
      </c>
      <c r="I822" t="s">
        <v>21</v>
      </c>
      <c r="J822">
        <v>5</v>
      </c>
      <c r="K822" s="3">
        <v>191.2</v>
      </c>
    </row>
    <row r="823" spans="1:11" x14ac:dyDescent="0.25">
      <c r="A823">
        <v>441359</v>
      </c>
      <c r="B823" t="s">
        <v>121</v>
      </c>
      <c r="C823" s="3">
        <v>15.89</v>
      </c>
      <c r="D823" s="3">
        <v>14.98</v>
      </c>
      <c r="E823" s="3">
        <v>0</v>
      </c>
      <c r="F823">
        <v>31</v>
      </c>
      <c r="G823" t="s">
        <v>15</v>
      </c>
      <c r="H823" s="4">
        <v>46007</v>
      </c>
      <c r="I823" t="s">
        <v>13</v>
      </c>
      <c r="J823">
        <v>3</v>
      </c>
      <c r="K823" s="3">
        <v>90.12</v>
      </c>
    </row>
    <row r="824" spans="1:11" x14ac:dyDescent="0.25">
      <c r="A824">
        <v>441359</v>
      </c>
      <c r="B824" t="s">
        <v>121</v>
      </c>
      <c r="C824" s="3">
        <v>15.89</v>
      </c>
      <c r="D824" s="3">
        <v>14.98</v>
      </c>
      <c r="E824" s="3">
        <v>0</v>
      </c>
      <c r="F824">
        <v>31</v>
      </c>
      <c r="G824" t="s">
        <v>15</v>
      </c>
      <c r="H824" s="4">
        <v>46007</v>
      </c>
      <c r="I824" t="s">
        <v>21</v>
      </c>
      <c r="J824">
        <v>5</v>
      </c>
      <c r="K824" s="3">
        <v>191.2</v>
      </c>
    </row>
    <row r="825" spans="1:11" x14ac:dyDescent="0.25">
      <c r="A825">
        <v>441359</v>
      </c>
      <c r="B825" t="s">
        <v>121</v>
      </c>
      <c r="C825" s="3">
        <v>15.89</v>
      </c>
      <c r="D825" s="3">
        <v>14.98</v>
      </c>
      <c r="E825" s="3">
        <v>0</v>
      </c>
      <c r="F825">
        <v>31</v>
      </c>
      <c r="G825" t="s">
        <v>15</v>
      </c>
      <c r="H825" s="4">
        <v>46008</v>
      </c>
      <c r="I825" t="s">
        <v>13</v>
      </c>
      <c r="J825">
        <v>3</v>
      </c>
      <c r="K825" s="3">
        <v>90.12</v>
      </c>
    </row>
    <row r="826" spans="1:11" x14ac:dyDescent="0.25">
      <c r="A826">
        <v>441359</v>
      </c>
      <c r="B826" t="s">
        <v>121</v>
      </c>
      <c r="C826" s="3">
        <v>15.89</v>
      </c>
      <c r="D826" s="3">
        <v>14.98</v>
      </c>
      <c r="E826" s="3">
        <v>0</v>
      </c>
      <c r="F826">
        <v>31</v>
      </c>
      <c r="G826" t="s">
        <v>15</v>
      </c>
      <c r="H826" s="4">
        <v>46008</v>
      </c>
      <c r="I826" t="s">
        <v>21</v>
      </c>
      <c r="J826">
        <v>5</v>
      </c>
      <c r="K826" s="3">
        <v>191.2</v>
      </c>
    </row>
    <row r="827" spans="1:11" x14ac:dyDescent="0.25">
      <c r="A827">
        <v>441359</v>
      </c>
      <c r="B827" t="s">
        <v>121</v>
      </c>
      <c r="C827" s="3">
        <v>15.89</v>
      </c>
      <c r="D827" s="3">
        <v>14.98</v>
      </c>
      <c r="E827" s="3">
        <v>0</v>
      </c>
      <c r="F827">
        <v>31</v>
      </c>
      <c r="G827" t="s">
        <v>15</v>
      </c>
      <c r="H827" s="4">
        <v>46009</v>
      </c>
      <c r="I827" t="s">
        <v>13</v>
      </c>
      <c r="J827">
        <v>3</v>
      </c>
      <c r="K827" s="3">
        <v>90.12</v>
      </c>
    </row>
    <row r="828" spans="1:11" x14ac:dyDescent="0.25">
      <c r="A828">
        <v>441359</v>
      </c>
      <c r="B828" t="s">
        <v>121</v>
      </c>
      <c r="C828" s="3">
        <v>15.89</v>
      </c>
      <c r="D828" s="3">
        <v>14.98</v>
      </c>
      <c r="E828" s="3">
        <v>0</v>
      </c>
      <c r="F828">
        <v>31</v>
      </c>
      <c r="G828" t="s">
        <v>15</v>
      </c>
      <c r="H828" s="4">
        <v>46009</v>
      </c>
      <c r="I828" t="s">
        <v>21</v>
      </c>
      <c r="J828">
        <v>5</v>
      </c>
      <c r="K828" s="3">
        <v>191.2</v>
      </c>
    </row>
    <row r="829" spans="1:11" x14ac:dyDescent="0.25">
      <c r="A829">
        <v>441359</v>
      </c>
      <c r="B829" t="s">
        <v>121</v>
      </c>
      <c r="C829" s="3">
        <v>15.89</v>
      </c>
      <c r="D829" s="3">
        <v>14.98</v>
      </c>
      <c r="E829" s="3">
        <v>0</v>
      </c>
      <c r="F829">
        <v>31</v>
      </c>
      <c r="G829" t="s">
        <v>15</v>
      </c>
      <c r="H829" s="4">
        <v>46010</v>
      </c>
      <c r="I829" t="s">
        <v>13</v>
      </c>
      <c r="J829">
        <v>3</v>
      </c>
      <c r="K829" s="3">
        <v>90.12</v>
      </c>
    </row>
    <row r="830" spans="1:11" x14ac:dyDescent="0.25">
      <c r="A830">
        <v>441359</v>
      </c>
      <c r="B830" t="s">
        <v>121</v>
      </c>
      <c r="C830" s="3">
        <v>15.89</v>
      </c>
      <c r="D830" s="3">
        <v>14.98</v>
      </c>
      <c r="E830" s="3">
        <v>0</v>
      </c>
      <c r="F830">
        <v>31</v>
      </c>
      <c r="G830" t="s">
        <v>15</v>
      </c>
      <c r="H830" s="4">
        <v>46010</v>
      </c>
      <c r="I830" t="s">
        <v>21</v>
      </c>
      <c r="J830">
        <v>5</v>
      </c>
      <c r="K830" s="3">
        <v>191.2</v>
      </c>
    </row>
    <row r="831" spans="1:11" x14ac:dyDescent="0.25">
      <c r="A831">
        <v>443620</v>
      </c>
      <c r="B831" t="s">
        <v>122</v>
      </c>
      <c r="C831" s="3">
        <v>15.89</v>
      </c>
      <c r="D831" s="3">
        <v>14.98</v>
      </c>
      <c r="E831" s="3">
        <v>0</v>
      </c>
      <c r="F831">
        <v>26</v>
      </c>
      <c r="G831" t="s">
        <v>15</v>
      </c>
      <c r="H831" s="4">
        <v>46006</v>
      </c>
      <c r="I831" t="s">
        <v>13</v>
      </c>
      <c r="J831">
        <v>7.25</v>
      </c>
      <c r="K831" s="3">
        <v>217.79</v>
      </c>
    </row>
    <row r="832" spans="1:11" x14ac:dyDescent="0.25">
      <c r="A832">
        <v>443620</v>
      </c>
      <c r="B832" t="s">
        <v>122</v>
      </c>
      <c r="C832" s="3">
        <v>15.89</v>
      </c>
      <c r="D832" s="3">
        <v>14.98</v>
      </c>
      <c r="E832" s="3">
        <v>0</v>
      </c>
      <c r="F832">
        <v>26</v>
      </c>
      <c r="G832" t="s">
        <v>15</v>
      </c>
      <c r="H832" s="4">
        <v>46007</v>
      </c>
      <c r="I832" t="s">
        <v>13</v>
      </c>
      <c r="J832">
        <v>9</v>
      </c>
      <c r="K832" s="3">
        <v>270.36</v>
      </c>
    </row>
    <row r="833" spans="1:11" x14ac:dyDescent="0.25">
      <c r="A833">
        <v>443620</v>
      </c>
      <c r="B833" t="s">
        <v>122</v>
      </c>
      <c r="C833" s="3">
        <v>15.89</v>
      </c>
      <c r="D833" s="3">
        <v>14.98</v>
      </c>
      <c r="E833" s="3">
        <v>0</v>
      </c>
      <c r="F833">
        <v>26</v>
      </c>
      <c r="G833" t="s">
        <v>15</v>
      </c>
      <c r="H833" s="4">
        <v>46008</v>
      </c>
      <c r="I833" t="s">
        <v>13</v>
      </c>
      <c r="J833">
        <v>7.25</v>
      </c>
      <c r="K833" s="3">
        <v>217.79</v>
      </c>
    </row>
    <row r="834" spans="1:11" x14ac:dyDescent="0.25">
      <c r="A834">
        <v>443620</v>
      </c>
      <c r="B834" t="s">
        <v>122</v>
      </c>
      <c r="C834" s="3">
        <v>15.89</v>
      </c>
      <c r="D834" s="3">
        <v>14.98</v>
      </c>
      <c r="E834" s="3">
        <v>0</v>
      </c>
      <c r="F834">
        <v>26</v>
      </c>
      <c r="G834" t="s">
        <v>15</v>
      </c>
      <c r="H834" s="4">
        <v>46009</v>
      </c>
      <c r="I834" t="s">
        <v>13</v>
      </c>
      <c r="J834">
        <v>8.5</v>
      </c>
      <c r="K834" s="3">
        <v>255.34</v>
      </c>
    </row>
    <row r="835" spans="1:11" x14ac:dyDescent="0.25">
      <c r="A835">
        <v>443620</v>
      </c>
      <c r="B835" t="s">
        <v>122</v>
      </c>
      <c r="C835" s="3">
        <v>15.89</v>
      </c>
      <c r="D835" s="3">
        <v>14.98</v>
      </c>
      <c r="E835" s="3">
        <v>0</v>
      </c>
      <c r="F835">
        <v>26</v>
      </c>
      <c r="G835" t="s">
        <v>15</v>
      </c>
      <c r="H835" s="4">
        <v>46009</v>
      </c>
      <c r="I835" t="s">
        <v>23</v>
      </c>
      <c r="J835">
        <v>0.5</v>
      </c>
      <c r="K835" s="3">
        <v>14.21</v>
      </c>
    </row>
    <row r="836" spans="1:11" x14ac:dyDescent="0.25">
      <c r="A836">
        <v>443620</v>
      </c>
      <c r="B836" t="s">
        <v>122</v>
      </c>
      <c r="C836" s="3">
        <v>15.89</v>
      </c>
      <c r="D836" s="3">
        <v>14.98</v>
      </c>
      <c r="E836" s="3">
        <v>0</v>
      </c>
      <c r="F836">
        <v>26</v>
      </c>
      <c r="G836" t="s">
        <v>15</v>
      </c>
      <c r="H836" s="4">
        <v>46010</v>
      </c>
      <c r="I836" t="s">
        <v>13</v>
      </c>
      <c r="J836">
        <v>8</v>
      </c>
      <c r="K836" s="3">
        <v>240.32</v>
      </c>
    </row>
    <row r="837" spans="1:11" x14ac:dyDescent="0.25">
      <c r="A837">
        <v>443621</v>
      </c>
      <c r="B837" t="s">
        <v>123</v>
      </c>
      <c r="C837" s="3">
        <v>15.89</v>
      </c>
      <c r="D837" s="3">
        <v>14.98</v>
      </c>
      <c r="E837" s="3">
        <v>0</v>
      </c>
      <c r="F837">
        <v>26</v>
      </c>
      <c r="G837" t="s">
        <v>15</v>
      </c>
      <c r="H837" s="4">
        <v>46006</v>
      </c>
      <c r="I837" t="s">
        <v>13</v>
      </c>
      <c r="J837">
        <v>9.5</v>
      </c>
      <c r="K837" s="3">
        <v>285.38</v>
      </c>
    </row>
    <row r="838" spans="1:11" x14ac:dyDescent="0.25">
      <c r="A838">
        <v>443621</v>
      </c>
      <c r="B838" t="s">
        <v>123</v>
      </c>
      <c r="C838" s="3">
        <v>15.89</v>
      </c>
      <c r="D838" s="3">
        <v>14.98</v>
      </c>
      <c r="E838" s="3">
        <v>0</v>
      </c>
      <c r="F838">
        <v>26</v>
      </c>
      <c r="G838" t="s">
        <v>15</v>
      </c>
      <c r="H838" s="4">
        <v>46006</v>
      </c>
      <c r="I838" t="s">
        <v>21</v>
      </c>
      <c r="J838">
        <v>0.5</v>
      </c>
      <c r="K838" s="3">
        <v>19.12</v>
      </c>
    </row>
    <row r="839" spans="1:11" x14ac:dyDescent="0.25">
      <c r="A839">
        <v>443621</v>
      </c>
      <c r="B839" t="s">
        <v>123</v>
      </c>
      <c r="C839" s="3">
        <v>15.89</v>
      </c>
      <c r="D839" s="3">
        <v>14.98</v>
      </c>
      <c r="E839" s="3">
        <v>0</v>
      </c>
      <c r="F839">
        <v>26</v>
      </c>
      <c r="G839" t="s">
        <v>15</v>
      </c>
      <c r="H839" s="4">
        <v>46007</v>
      </c>
      <c r="I839" t="s">
        <v>13</v>
      </c>
      <c r="J839">
        <v>2</v>
      </c>
      <c r="K839" s="3">
        <v>60.08</v>
      </c>
    </row>
    <row r="840" spans="1:11" x14ac:dyDescent="0.25">
      <c r="A840">
        <v>443621</v>
      </c>
      <c r="B840" t="s">
        <v>123</v>
      </c>
      <c r="C840" s="3">
        <v>15.89</v>
      </c>
      <c r="D840" s="3">
        <v>14.98</v>
      </c>
      <c r="E840" s="3">
        <v>0</v>
      </c>
      <c r="F840">
        <v>26</v>
      </c>
      <c r="G840" t="s">
        <v>15</v>
      </c>
      <c r="H840" s="4">
        <v>46007</v>
      </c>
      <c r="I840" t="s">
        <v>21</v>
      </c>
      <c r="J840">
        <v>0.25</v>
      </c>
      <c r="K840" s="3">
        <v>9.56</v>
      </c>
    </row>
    <row r="841" spans="1:11" x14ac:dyDescent="0.25">
      <c r="A841">
        <v>443621</v>
      </c>
      <c r="B841" t="s">
        <v>123</v>
      </c>
      <c r="C841" s="3">
        <v>15.89</v>
      </c>
      <c r="D841" s="3">
        <v>14.98</v>
      </c>
      <c r="E841" s="3">
        <v>0</v>
      </c>
      <c r="F841">
        <v>26</v>
      </c>
      <c r="G841" t="s">
        <v>15</v>
      </c>
      <c r="H841" s="4">
        <v>46007</v>
      </c>
      <c r="I841" t="s">
        <v>23</v>
      </c>
      <c r="J841">
        <v>7.5</v>
      </c>
      <c r="K841" s="3">
        <v>213.15</v>
      </c>
    </row>
    <row r="842" spans="1:11" x14ac:dyDescent="0.25">
      <c r="A842">
        <v>443621</v>
      </c>
      <c r="B842" t="s">
        <v>123</v>
      </c>
      <c r="C842" s="3">
        <v>15.89</v>
      </c>
      <c r="D842" s="3">
        <v>14.98</v>
      </c>
      <c r="E842" s="3">
        <v>0</v>
      </c>
      <c r="F842">
        <v>26</v>
      </c>
      <c r="G842" t="s">
        <v>15</v>
      </c>
      <c r="H842" s="4">
        <v>46008</v>
      </c>
      <c r="I842" t="s">
        <v>13</v>
      </c>
      <c r="J842">
        <v>9</v>
      </c>
      <c r="K842" s="3">
        <v>270.36</v>
      </c>
    </row>
    <row r="843" spans="1:11" x14ac:dyDescent="0.25">
      <c r="A843">
        <v>443621</v>
      </c>
      <c r="B843" t="s">
        <v>123</v>
      </c>
      <c r="C843" s="3">
        <v>15.89</v>
      </c>
      <c r="D843" s="3">
        <v>14.98</v>
      </c>
      <c r="E843" s="3">
        <v>0</v>
      </c>
      <c r="F843">
        <v>26</v>
      </c>
      <c r="G843" t="s">
        <v>15</v>
      </c>
      <c r="H843" s="4">
        <v>46009</v>
      </c>
      <c r="I843" t="s">
        <v>13</v>
      </c>
      <c r="J843">
        <v>9.5</v>
      </c>
      <c r="K843" s="3">
        <v>285.38</v>
      </c>
    </row>
    <row r="844" spans="1:11" x14ac:dyDescent="0.25">
      <c r="A844">
        <v>443621</v>
      </c>
      <c r="B844" t="s">
        <v>123</v>
      </c>
      <c r="C844" s="3">
        <v>15.89</v>
      </c>
      <c r="D844" s="3">
        <v>14.98</v>
      </c>
      <c r="E844" s="3">
        <v>0</v>
      </c>
      <c r="F844">
        <v>26</v>
      </c>
      <c r="G844" t="s">
        <v>15</v>
      </c>
      <c r="H844" s="4">
        <v>46010</v>
      </c>
      <c r="I844" t="s">
        <v>13</v>
      </c>
      <c r="J844">
        <v>9.25</v>
      </c>
      <c r="K844" s="3">
        <v>277.87</v>
      </c>
    </row>
    <row r="845" spans="1:11" x14ac:dyDescent="0.25">
      <c r="A845">
        <v>448519</v>
      </c>
      <c r="B845" t="s">
        <v>124</v>
      </c>
      <c r="C845" s="3">
        <v>15.89</v>
      </c>
      <c r="D845" s="3">
        <v>14.98</v>
      </c>
      <c r="E845" s="3">
        <v>0</v>
      </c>
      <c r="F845">
        <v>15</v>
      </c>
      <c r="G845" t="s">
        <v>15</v>
      </c>
      <c r="H845" s="4">
        <v>46006</v>
      </c>
      <c r="I845" t="s">
        <v>13</v>
      </c>
      <c r="J845">
        <v>5.25</v>
      </c>
      <c r="K845" s="3">
        <v>157.71</v>
      </c>
    </row>
    <row r="846" spans="1:11" x14ac:dyDescent="0.25">
      <c r="A846">
        <v>448519</v>
      </c>
      <c r="B846" t="s">
        <v>124</v>
      </c>
      <c r="C846" s="3">
        <v>15.89</v>
      </c>
      <c r="D846" s="3">
        <v>14.98</v>
      </c>
      <c r="E846" s="3">
        <v>0</v>
      </c>
      <c r="F846">
        <v>15</v>
      </c>
      <c r="G846" t="s">
        <v>15</v>
      </c>
      <c r="H846" s="4">
        <v>46006</v>
      </c>
      <c r="I846" t="s">
        <v>21</v>
      </c>
      <c r="J846">
        <v>3.5</v>
      </c>
      <c r="K846" s="3">
        <v>133.84</v>
      </c>
    </row>
    <row r="847" spans="1:11" x14ac:dyDescent="0.25">
      <c r="A847">
        <v>448519</v>
      </c>
      <c r="B847" t="s">
        <v>124</v>
      </c>
      <c r="C847" s="3">
        <v>15.89</v>
      </c>
      <c r="D847" s="3">
        <v>14.98</v>
      </c>
      <c r="E847" s="3">
        <v>0</v>
      </c>
      <c r="F847">
        <v>15</v>
      </c>
      <c r="G847" t="s">
        <v>15</v>
      </c>
      <c r="H847" s="4">
        <v>46007</v>
      </c>
      <c r="I847" t="s">
        <v>13</v>
      </c>
      <c r="J847">
        <v>5</v>
      </c>
      <c r="K847" s="3">
        <v>150.19999999999999</v>
      </c>
    </row>
    <row r="848" spans="1:11" x14ac:dyDescent="0.25">
      <c r="A848">
        <v>448519</v>
      </c>
      <c r="B848" t="s">
        <v>124</v>
      </c>
      <c r="C848" s="3">
        <v>15.89</v>
      </c>
      <c r="D848" s="3">
        <v>14.98</v>
      </c>
      <c r="E848" s="3">
        <v>0</v>
      </c>
      <c r="F848">
        <v>15</v>
      </c>
      <c r="G848" t="s">
        <v>15</v>
      </c>
      <c r="H848" s="4">
        <v>46007</v>
      </c>
      <c r="I848" t="s">
        <v>21</v>
      </c>
      <c r="J848">
        <v>2.25</v>
      </c>
      <c r="K848" s="3">
        <v>86.04</v>
      </c>
    </row>
    <row r="849" spans="1:11" x14ac:dyDescent="0.25">
      <c r="A849">
        <v>448519</v>
      </c>
      <c r="B849" t="s">
        <v>124</v>
      </c>
      <c r="C849" s="3">
        <v>15.89</v>
      </c>
      <c r="D849" s="3">
        <v>14.98</v>
      </c>
      <c r="E849" s="3">
        <v>0</v>
      </c>
      <c r="F849">
        <v>15</v>
      </c>
      <c r="G849" t="s">
        <v>15</v>
      </c>
      <c r="H849" s="4">
        <v>46008</v>
      </c>
      <c r="I849" t="s">
        <v>13</v>
      </c>
      <c r="J849">
        <v>3.5</v>
      </c>
      <c r="K849" s="3">
        <v>105.14</v>
      </c>
    </row>
    <row r="850" spans="1:11" x14ac:dyDescent="0.25">
      <c r="A850">
        <v>448519</v>
      </c>
      <c r="B850" t="s">
        <v>124</v>
      </c>
      <c r="C850" s="3">
        <v>15.89</v>
      </c>
      <c r="D850" s="3">
        <v>14.98</v>
      </c>
      <c r="E850" s="3">
        <v>0</v>
      </c>
      <c r="F850">
        <v>15</v>
      </c>
      <c r="G850" t="s">
        <v>15</v>
      </c>
      <c r="H850" s="4">
        <v>46008</v>
      </c>
      <c r="I850" t="s">
        <v>21</v>
      </c>
      <c r="J850">
        <v>3.5</v>
      </c>
      <c r="K850" s="3">
        <v>133.84</v>
      </c>
    </row>
    <row r="851" spans="1:11" x14ac:dyDescent="0.25">
      <c r="A851">
        <v>448519</v>
      </c>
      <c r="B851" t="s">
        <v>124</v>
      </c>
      <c r="C851" s="3">
        <v>15.89</v>
      </c>
      <c r="D851" s="3">
        <v>14.98</v>
      </c>
      <c r="E851" s="3">
        <v>0</v>
      </c>
      <c r="F851">
        <v>15</v>
      </c>
      <c r="G851" t="s">
        <v>15</v>
      </c>
      <c r="H851" s="4">
        <v>46008</v>
      </c>
      <c r="I851" t="s">
        <v>23</v>
      </c>
      <c r="J851">
        <v>1.75</v>
      </c>
      <c r="K851" s="3">
        <v>49.74</v>
      </c>
    </row>
    <row r="852" spans="1:11" x14ac:dyDescent="0.25">
      <c r="A852">
        <v>448519</v>
      </c>
      <c r="B852" t="s">
        <v>124</v>
      </c>
      <c r="C852" s="3">
        <v>15.89</v>
      </c>
      <c r="D852" s="3">
        <v>14.98</v>
      </c>
      <c r="E852" s="3">
        <v>0</v>
      </c>
      <c r="F852">
        <v>15</v>
      </c>
      <c r="G852" t="s">
        <v>15</v>
      </c>
      <c r="H852" s="4">
        <v>46009</v>
      </c>
      <c r="I852" t="s">
        <v>13</v>
      </c>
      <c r="J852">
        <v>5</v>
      </c>
      <c r="K852" s="3">
        <v>150.19999999999999</v>
      </c>
    </row>
    <row r="853" spans="1:11" x14ac:dyDescent="0.25">
      <c r="A853">
        <v>448519</v>
      </c>
      <c r="B853" t="s">
        <v>124</v>
      </c>
      <c r="C853" s="3">
        <v>15.89</v>
      </c>
      <c r="D853" s="3">
        <v>14.98</v>
      </c>
      <c r="E853" s="3">
        <v>0</v>
      </c>
      <c r="F853">
        <v>15</v>
      </c>
      <c r="G853" t="s">
        <v>15</v>
      </c>
      <c r="H853" s="4">
        <v>46009</v>
      </c>
      <c r="I853" t="s">
        <v>21</v>
      </c>
      <c r="J853">
        <v>4.75</v>
      </c>
      <c r="K853" s="3">
        <v>181.64</v>
      </c>
    </row>
    <row r="854" spans="1:11" x14ac:dyDescent="0.25">
      <c r="A854">
        <v>448519</v>
      </c>
      <c r="B854" t="s">
        <v>124</v>
      </c>
      <c r="C854" s="3">
        <v>15.89</v>
      </c>
      <c r="D854" s="3">
        <v>14.98</v>
      </c>
      <c r="E854" s="3">
        <v>0</v>
      </c>
      <c r="F854">
        <v>15</v>
      </c>
      <c r="G854" t="s">
        <v>15</v>
      </c>
      <c r="H854" s="4">
        <v>46010</v>
      </c>
      <c r="I854" t="s">
        <v>13</v>
      </c>
      <c r="J854">
        <v>5.25</v>
      </c>
      <c r="K854" s="3">
        <v>157.71</v>
      </c>
    </row>
    <row r="855" spans="1:11" x14ac:dyDescent="0.25">
      <c r="A855">
        <v>448519</v>
      </c>
      <c r="B855" t="s">
        <v>124</v>
      </c>
      <c r="C855" s="3">
        <v>15.89</v>
      </c>
      <c r="D855" s="3">
        <v>14.98</v>
      </c>
      <c r="E855" s="3">
        <v>0</v>
      </c>
      <c r="F855">
        <v>15</v>
      </c>
      <c r="G855" t="s">
        <v>15</v>
      </c>
      <c r="H855" s="4">
        <v>46010</v>
      </c>
      <c r="I855" t="s">
        <v>21</v>
      </c>
      <c r="J855">
        <v>2</v>
      </c>
      <c r="K855" s="3">
        <v>76.48</v>
      </c>
    </row>
    <row r="856" spans="1:11" x14ac:dyDescent="0.25">
      <c r="A856">
        <v>448817</v>
      </c>
      <c r="B856" t="s">
        <v>125</v>
      </c>
      <c r="C856" s="3">
        <v>15.89</v>
      </c>
      <c r="D856" s="3">
        <v>14.98</v>
      </c>
      <c r="E856" s="3">
        <v>0</v>
      </c>
      <c r="F856">
        <v>14</v>
      </c>
      <c r="G856" t="s">
        <v>15</v>
      </c>
      <c r="H856" s="4">
        <v>46006</v>
      </c>
      <c r="I856" t="s">
        <v>13</v>
      </c>
      <c r="J856">
        <v>2.25</v>
      </c>
      <c r="K856" s="3">
        <v>67.59</v>
      </c>
    </row>
    <row r="857" spans="1:11" x14ac:dyDescent="0.25">
      <c r="A857">
        <v>448817</v>
      </c>
      <c r="B857" t="s">
        <v>125</v>
      </c>
      <c r="C857" s="3">
        <v>15.89</v>
      </c>
      <c r="D857" s="3">
        <v>14.98</v>
      </c>
      <c r="E857" s="3">
        <v>0</v>
      </c>
      <c r="F857">
        <v>14</v>
      </c>
      <c r="G857" t="s">
        <v>15</v>
      </c>
      <c r="H857" s="4">
        <v>46006</v>
      </c>
      <c r="I857" t="s">
        <v>21</v>
      </c>
      <c r="J857">
        <v>5.25</v>
      </c>
      <c r="K857" s="3">
        <v>200.76</v>
      </c>
    </row>
    <row r="858" spans="1:11" x14ac:dyDescent="0.25">
      <c r="A858">
        <v>448817</v>
      </c>
      <c r="B858" t="s">
        <v>125</v>
      </c>
      <c r="C858" s="3">
        <v>15.89</v>
      </c>
      <c r="D858" s="3">
        <v>14.98</v>
      </c>
      <c r="E858" s="3">
        <v>0</v>
      </c>
      <c r="F858">
        <v>14</v>
      </c>
      <c r="G858" t="s">
        <v>15</v>
      </c>
      <c r="H858" s="4">
        <v>46007</v>
      </c>
      <c r="I858" t="s">
        <v>13</v>
      </c>
      <c r="J858">
        <v>1.75</v>
      </c>
      <c r="K858" s="3">
        <v>52.57</v>
      </c>
    </row>
    <row r="859" spans="1:11" x14ac:dyDescent="0.25">
      <c r="A859">
        <v>448817</v>
      </c>
      <c r="B859" t="s">
        <v>125</v>
      </c>
      <c r="C859" s="3">
        <v>15.89</v>
      </c>
      <c r="D859" s="3">
        <v>14.98</v>
      </c>
      <c r="E859" s="3">
        <v>0</v>
      </c>
      <c r="F859">
        <v>14</v>
      </c>
      <c r="G859" t="s">
        <v>15</v>
      </c>
      <c r="H859" s="4">
        <v>46007</v>
      </c>
      <c r="I859" t="s">
        <v>21</v>
      </c>
      <c r="J859">
        <v>5.25</v>
      </c>
      <c r="K859" s="3">
        <v>200.76</v>
      </c>
    </row>
    <row r="860" spans="1:11" x14ac:dyDescent="0.25">
      <c r="A860">
        <v>448817</v>
      </c>
      <c r="B860" t="s">
        <v>125</v>
      </c>
      <c r="C860" s="3">
        <v>15.89</v>
      </c>
      <c r="D860" s="3">
        <v>14.98</v>
      </c>
      <c r="E860" s="3">
        <v>0</v>
      </c>
      <c r="F860">
        <v>14</v>
      </c>
      <c r="G860" t="s">
        <v>15</v>
      </c>
      <c r="H860" s="4">
        <v>46007</v>
      </c>
      <c r="I860" t="s">
        <v>22</v>
      </c>
      <c r="J860">
        <v>1</v>
      </c>
      <c r="K860" s="3">
        <v>38.74</v>
      </c>
    </row>
    <row r="861" spans="1:11" x14ac:dyDescent="0.25">
      <c r="A861">
        <v>448817</v>
      </c>
      <c r="B861" t="s">
        <v>125</v>
      </c>
      <c r="C861" s="3">
        <v>15.89</v>
      </c>
      <c r="D861" s="3">
        <v>14.98</v>
      </c>
      <c r="E861" s="3">
        <v>0</v>
      </c>
      <c r="F861">
        <v>14</v>
      </c>
      <c r="G861" t="s">
        <v>15</v>
      </c>
      <c r="H861" s="4">
        <v>46008</v>
      </c>
      <c r="I861" t="s">
        <v>13</v>
      </c>
      <c r="J861">
        <v>1.75</v>
      </c>
      <c r="K861" s="3">
        <v>52.57</v>
      </c>
    </row>
    <row r="862" spans="1:11" x14ac:dyDescent="0.25">
      <c r="A862">
        <v>448817</v>
      </c>
      <c r="B862" t="s">
        <v>125</v>
      </c>
      <c r="C862" s="3">
        <v>15.89</v>
      </c>
      <c r="D862" s="3">
        <v>14.98</v>
      </c>
      <c r="E862" s="3">
        <v>0</v>
      </c>
      <c r="F862">
        <v>14</v>
      </c>
      <c r="G862" t="s">
        <v>15</v>
      </c>
      <c r="H862" s="4">
        <v>46008</v>
      </c>
      <c r="I862" t="s">
        <v>21</v>
      </c>
      <c r="J862">
        <v>5.25</v>
      </c>
      <c r="K862" s="3">
        <v>200.76</v>
      </c>
    </row>
    <row r="863" spans="1:11" x14ac:dyDescent="0.25">
      <c r="A863">
        <v>448817</v>
      </c>
      <c r="B863" t="s">
        <v>125</v>
      </c>
      <c r="C863" s="3">
        <v>15.89</v>
      </c>
      <c r="D863" s="3">
        <v>14.98</v>
      </c>
      <c r="E863" s="3">
        <v>0</v>
      </c>
      <c r="F863">
        <v>14</v>
      </c>
      <c r="G863" t="s">
        <v>15</v>
      </c>
      <c r="H863" s="4">
        <v>46008</v>
      </c>
      <c r="I863" t="s">
        <v>22</v>
      </c>
      <c r="J863">
        <v>1</v>
      </c>
      <c r="K863" s="3">
        <v>38.74</v>
      </c>
    </row>
    <row r="864" spans="1:11" x14ac:dyDescent="0.25">
      <c r="A864">
        <v>448817</v>
      </c>
      <c r="B864" t="s">
        <v>125</v>
      </c>
      <c r="C864" s="3">
        <v>15.89</v>
      </c>
      <c r="D864" s="3">
        <v>14.98</v>
      </c>
      <c r="E864" s="3">
        <v>0</v>
      </c>
      <c r="F864">
        <v>14</v>
      </c>
      <c r="G864" t="s">
        <v>15</v>
      </c>
      <c r="H864" s="4">
        <v>46009</v>
      </c>
      <c r="I864" t="s">
        <v>13</v>
      </c>
      <c r="J864">
        <v>0.75</v>
      </c>
      <c r="K864" s="3">
        <v>22.53</v>
      </c>
    </row>
    <row r="865" spans="1:11" x14ac:dyDescent="0.25">
      <c r="A865">
        <v>448817</v>
      </c>
      <c r="B865" t="s">
        <v>125</v>
      </c>
      <c r="C865" s="3">
        <v>15.89</v>
      </c>
      <c r="D865" s="3">
        <v>14.98</v>
      </c>
      <c r="E865" s="3">
        <v>0</v>
      </c>
      <c r="F865">
        <v>14</v>
      </c>
      <c r="G865" t="s">
        <v>15</v>
      </c>
      <c r="H865" s="4">
        <v>46009</v>
      </c>
      <c r="I865" t="s">
        <v>21</v>
      </c>
      <c r="J865">
        <v>5.25</v>
      </c>
      <c r="K865" s="3">
        <v>200.76</v>
      </c>
    </row>
    <row r="866" spans="1:11" x14ac:dyDescent="0.25">
      <c r="A866">
        <v>448817</v>
      </c>
      <c r="B866" t="s">
        <v>125</v>
      </c>
      <c r="C866" s="3">
        <v>15.89</v>
      </c>
      <c r="D866" s="3">
        <v>14.98</v>
      </c>
      <c r="E866" s="3">
        <v>0</v>
      </c>
      <c r="F866">
        <v>14</v>
      </c>
      <c r="G866" t="s">
        <v>15</v>
      </c>
      <c r="H866" s="4">
        <v>46009</v>
      </c>
      <c r="I866" t="s">
        <v>22</v>
      </c>
      <c r="J866">
        <v>2.25</v>
      </c>
      <c r="K866" s="3">
        <v>87.17</v>
      </c>
    </row>
    <row r="867" spans="1:11" x14ac:dyDescent="0.25">
      <c r="A867">
        <v>448817</v>
      </c>
      <c r="B867" t="s">
        <v>125</v>
      </c>
      <c r="C867" s="3">
        <v>15.89</v>
      </c>
      <c r="D867" s="3">
        <v>14.98</v>
      </c>
      <c r="E867" s="3">
        <v>0</v>
      </c>
      <c r="F867">
        <v>14</v>
      </c>
      <c r="G867" t="s">
        <v>15</v>
      </c>
      <c r="H867" s="4">
        <v>46009</v>
      </c>
      <c r="I867" t="s">
        <v>23</v>
      </c>
      <c r="J867">
        <v>0.75</v>
      </c>
      <c r="K867" s="3">
        <v>21.32</v>
      </c>
    </row>
    <row r="868" spans="1:11" x14ac:dyDescent="0.25">
      <c r="A868">
        <v>448817</v>
      </c>
      <c r="B868" t="s">
        <v>125</v>
      </c>
      <c r="C868" s="3">
        <v>15.89</v>
      </c>
      <c r="D868" s="3">
        <v>14.98</v>
      </c>
      <c r="E868" s="3">
        <v>0</v>
      </c>
      <c r="F868">
        <v>14</v>
      </c>
      <c r="G868" t="s">
        <v>15</v>
      </c>
      <c r="H868" s="4">
        <v>46010</v>
      </c>
      <c r="I868" t="s">
        <v>13</v>
      </c>
      <c r="J868">
        <v>2</v>
      </c>
      <c r="K868" s="3">
        <v>60.08</v>
      </c>
    </row>
    <row r="869" spans="1:11" x14ac:dyDescent="0.25">
      <c r="A869">
        <v>448817</v>
      </c>
      <c r="B869" t="s">
        <v>125</v>
      </c>
      <c r="C869" s="3">
        <v>15.89</v>
      </c>
      <c r="D869" s="3">
        <v>14.98</v>
      </c>
      <c r="E869" s="3">
        <v>0</v>
      </c>
      <c r="F869">
        <v>14</v>
      </c>
      <c r="G869" t="s">
        <v>15</v>
      </c>
      <c r="H869" s="4">
        <v>46010</v>
      </c>
      <c r="I869" t="s">
        <v>21</v>
      </c>
      <c r="J869">
        <v>5.25</v>
      </c>
      <c r="K869" s="3">
        <v>200.76</v>
      </c>
    </row>
    <row r="870" spans="1:11" x14ac:dyDescent="0.25">
      <c r="A870">
        <v>448817</v>
      </c>
      <c r="B870" t="s">
        <v>125</v>
      </c>
      <c r="C870" s="3">
        <v>15.89</v>
      </c>
      <c r="D870" s="3">
        <v>14.98</v>
      </c>
      <c r="E870" s="3">
        <v>0</v>
      </c>
      <c r="F870">
        <v>14</v>
      </c>
      <c r="G870" t="s">
        <v>15</v>
      </c>
      <c r="H870" s="4">
        <v>46010</v>
      </c>
      <c r="I870" t="s">
        <v>22</v>
      </c>
      <c r="J870">
        <v>1</v>
      </c>
      <c r="K870" s="3">
        <v>38.74</v>
      </c>
    </row>
    <row r="871" spans="1:11" x14ac:dyDescent="0.25">
      <c r="A871">
        <v>449344</v>
      </c>
      <c r="B871" t="s">
        <v>126</v>
      </c>
      <c r="C871" s="3">
        <v>16.91</v>
      </c>
      <c r="D871" s="3">
        <v>15.94</v>
      </c>
      <c r="E871" s="3">
        <v>0</v>
      </c>
      <c r="F871">
        <v>13</v>
      </c>
      <c r="G871" t="s">
        <v>15</v>
      </c>
      <c r="H871" s="4">
        <v>46006</v>
      </c>
      <c r="I871" t="s">
        <v>13</v>
      </c>
      <c r="J871">
        <v>10.5</v>
      </c>
      <c r="K871" s="3">
        <v>333.69</v>
      </c>
    </row>
    <row r="872" spans="1:11" x14ac:dyDescent="0.25">
      <c r="A872">
        <v>449344</v>
      </c>
      <c r="B872" t="s">
        <v>126</v>
      </c>
      <c r="C872" s="3">
        <v>16.91</v>
      </c>
      <c r="D872" s="3">
        <v>15.94</v>
      </c>
      <c r="E872" s="3">
        <v>0</v>
      </c>
      <c r="F872">
        <v>13</v>
      </c>
      <c r="G872" t="s">
        <v>15</v>
      </c>
      <c r="H872" s="4">
        <v>46007</v>
      </c>
      <c r="I872" t="s">
        <v>13</v>
      </c>
      <c r="J872">
        <v>9.5</v>
      </c>
      <c r="K872" s="3">
        <v>301.91000000000003</v>
      </c>
    </row>
    <row r="873" spans="1:11" x14ac:dyDescent="0.25">
      <c r="A873">
        <v>449344</v>
      </c>
      <c r="B873" t="s">
        <v>126</v>
      </c>
      <c r="C873" s="3">
        <v>16.91</v>
      </c>
      <c r="D873" s="3">
        <v>15.94</v>
      </c>
      <c r="E873" s="3">
        <v>0</v>
      </c>
      <c r="F873">
        <v>13</v>
      </c>
      <c r="G873" t="s">
        <v>15</v>
      </c>
      <c r="H873" s="4">
        <v>46008</v>
      </c>
      <c r="I873" t="s">
        <v>23</v>
      </c>
      <c r="J873">
        <v>10.5</v>
      </c>
      <c r="K873" s="3">
        <v>317.52</v>
      </c>
    </row>
    <row r="874" spans="1:11" x14ac:dyDescent="0.25">
      <c r="A874">
        <v>449344</v>
      </c>
      <c r="B874" t="s">
        <v>126</v>
      </c>
      <c r="C874" s="3">
        <v>16.91</v>
      </c>
      <c r="D874" s="3">
        <v>15.94</v>
      </c>
      <c r="E874" s="3">
        <v>0</v>
      </c>
      <c r="F874">
        <v>13</v>
      </c>
      <c r="G874" t="s">
        <v>15</v>
      </c>
      <c r="H874" s="4">
        <v>46009</v>
      </c>
      <c r="I874" t="s">
        <v>13</v>
      </c>
      <c r="J874">
        <v>9.5</v>
      </c>
      <c r="K874" s="3">
        <v>301.91000000000003</v>
      </c>
    </row>
    <row r="875" spans="1:11" x14ac:dyDescent="0.25">
      <c r="A875">
        <v>449344</v>
      </c>
      <c r="B875" t="s">
        <v>126</v>
      </c>
      <c r="C875" s="3">
        <v>16.91</v>
      </c>
      <c r="D875" s="3">
        <v>15.94</v>
      </c>
      <c r="E875" s="3">
        <v>0</v>
      </c>
      <c r="F875">
        <v>13</v>
      </c>
      <c r="G875" t="s">
        <v>15</v>
      </c>
      <c r="H875" s="4">
        <v>46010</v>
      </c>
      <c r="I875" t="s">
        <v>13</v>
      </c>
      <c r="J875">
        <v>10.5</v>
      </c>
      <c r="K875" s="3">
        <v>333.69</v>
      </c>
    </row>
    <row r="876" spans="1:11" x14ac:dyDescent="0.25">
      <c r="A876">
        <v>449344</v>
      </c>
      <c r="B876" t="s">
        <v>126</v>
      </c>
      <c r="C876" s="3">
        <v>16.91</v>
      </c>
      <c r="D876" s="3">
        <v>15.94</v>
      </c>
      <c r="E876" s="3">
        <v>0</v>
      </c>
      <c r="F876">
        <v>13</v>
      </c>
      <c r="G876" t="s">
        <v>15</v>
      </c>
      <c r="H876" s="4">
        <v>46011</v>
      </c>
      <c r="I876" t="s">
        <v>24</v>
      </c>
      <c r="J876">
        <v>5.25</v>
      </c>
      <c r="K876" s="3">
        <v>204.12</v>
      </c>
    </row>
    <row r="877" spans="1:11" x14ac:dyDescent="0.25">
      <c r="A877">
        <v>449344</v>
      </c>
      <c r="B877" t="s">
        <v>126</v>
      </c>
      <c r="C877" s="3">
        <v>16.91</v>
      </c>
      <c r="D877" s="3">
        <v>15.94</v>
      </c>
      <c r="E877" s="3">
        <v>0</v>
      </c>
      <c r="F877">
        <v>13</v>
      </c>
      <c r="G877" t="s">
        <v>15</v>
      </c>
      <c r="H877" s="4">
        <v>46011</v>
      </c>
      <c r="I877" t="s">
        <v>25</v>
      </c>
      <c r="J877">
        <v>5.25</v>
      </c>
      <c r="K877" s="3">
        <v>226.8</v>
      </c>
    </row>
    <row r="878" spans="1:11" x14ac:dyDescent="0.25">
      <c r="A878">
        <v>452125</v>
      </c>
      <c r="B878" t="s">
        <v>127</v>
      </c>
      <c r="C878" s="3">
        <v>15.89</v>
      </c>
      <c r="D878" s="3">
        <v>14.98</v>
      </c>
      <c r="E878" s="3">
        <v>0</v>
      </c>
      <c r="F878">
        <v>5</v>
      </c>
      <c r="G878" t="s">
        <v>15</v>
      </c>
      <c r="H878" s="4">
        <v>46006</v>
      </c>
      <c r="I878" t="s">
        <v>13</v>
      </c>
      <c r="J878">
        <v>7.75</v>
      </c>
      <c r="K878" s="3">
        <v>232.81</v>
      </c>
    </row>
    <row r="879" spans="1:11" x14ac:dyDescent="0.25">
      <c r="A879">
        <v>452125</v>
      </c>
      <c r="B879" t="s">
        <v>127</v>
      </c>
      <c r="C879" s="3">
        <v>15.89</v>
      </c>
      <c r="D879" s="3">
        <v>14.98</v>
      </c>
      <c r="E879" s="3">
        <v>0</v>
      </c>
      <c r="F879">
        <v>5</v>
      </c>
      <c r="G879" t="s">
        <v>15</v>
      </c>
      <c r="H879" s="4">
        <v>46007</v>
      </c>
      <c r="I879" t="s">
        <v>13</v>
      </c>
      <c r="J879">
        <v>6.5</v>
      </c>
      <c r="K879" s="3">
        <v>195.26</v>
      </c>
    </row>
    <row r="880" spans="1:11" x14ac:dyDescent="0.25">
      <c r="A880">
        <v>452125</v>
      </c>
      <c r="B880" t="s">
        <v>127</v>
      </c>
      <c r="C880" s="3">
        <v>15.89</v>
      </c>
      <c r="D880" s="3">
        <v>14.98</v>
      </c>
      <c r="E880" s="3">
        <v>0</v>
      </c>
      <c r="F880">
        <v>5</v>
      </c>
      <c r="G880" t="s">
        <v>15</v>
      </c>
      <c r="H880" s="4">
        <v>46007</v>
      </c>
      <c r="I880" t="s">
        <v>23</v>
      </c>
      <c r="J880">
        <v>1.5</v>
      </c>
      <c r="K880" s="3">
        <v>42.63</v>
      </c>
    </row>
    <row r="881" spans="1:11" x14ac:dyDescent="0.25">
      <c r="A881">
        <v>452125</v>
      </c>
      <c r="B881" t="s">
        <v>127</v>
      </c>
      <c r="C881" s="3">
        <v>15.89</v>
      </c>
      <c r="D881" s="3">
        <v>14.98</v>
      </c>
      <c r="E881" s="3">
        <v>0</v>
      </c>
      <c r="F881">
        <v>5</v>
      </c>
      <c r="G881" t="s">
        <v>15</v>
      </c>
      <c r="H881" s="4">
        <v>46008</v>
      </c>
      <c r="I881" t="s">
        <v>13</v>
      </c>
      <c r="J881">
        <v>7.75</v>
      </c>
      <c r="K881" s="3">
        <v>232.81</v>
      </c>
    </row>
    <row r="882" spans="1:11" x14ac:dyDescent="0.25">
      <c r="A882">
        <v>452125</v>
      </c>
      <c r="B882" t="s">
        <v>127</v>
      </c>
      <c r="C882" s="3">
        <v>15.89</v>
      </c>
      <c r="D882" s="3">
        <v>14.98</v>
      </c>
      <c r="E882" s="3">
        <v>0</v>
      </c>
      <c r="F882">
        <v>5</v>
      </c>
      <c r="G882" t="s">
        <v>15</v>
      </c>
      <c r="H882" s="4">
        <v>46009</v>
      </c>
      <c r="I882" t="s">
        <v>13</v>
      </c>
      <c r="J882">
        <v>9.25</v>
      </c>
      <c r="K882" s="3">
        <v>277.87</v>
      </c>
    </row>
    <row r="883" spans="1:11" x14ac:dyDescent="0.25">
      <c r="A883">
        <v>452125</v>
      </c>
      <c r="B883" t="s">
        <v>127</v>
      </c>
      <c r="C883" s="3">
        <v>15.89</v>
      </c>
      <c r="D883" s="3">
        <v>14.98</v>
      </c>
      <c r="E883" s="3">
        <v>0</v>
      </c>
      <c r="F883">
        <v>5</v>
      </c>
      <c r="G883" t="s">
        <v>15</v>
      </c>
      <c r="H883" s="4">
        <v>46009</v>
      </c>
      <c r="I883" t="s">
        <v>21</v>
      </c>
      <c r="J883">
        <v>1.25</v>
      </c>
      <c r="K883" s="3">
        <v>47.8</v>
      </c>
    </row>
    <row r="884" spans="1:11" x14ac:dyDescent="0.25">
      <c r="A884">
        <v>452125</v>
      </c>
      <c r="B884" t="s">
        <v>127</v>
      </c>
      <c r="C884" s="3">
        <v>15.89</v>
      </c>
      <c r="D884" s="3">
        <v>14.98</v>
      </c>
      <c r="E884" s="3">
        <v>0</v>
      </c>
      <c r="F884">
        <v>5</v>
      </c>
      <c r="G884" t="s">
        <v>15</v>
      </c>
      <c r="H884" s="4">
        <v>46010</v>
      </c>
      <c r="I884" t="s">
        <v>13</v>
      </c>
      <c r="J884">
        <v>7.5</v>
      </c>
      <c r="K884" s="3">
        <v>225.3</v>
      </c>
    </row>
    <row r="885" spans="1:11" x14ac:dyDescent="0.25">
      <c r="A885">
        <v>452125</v>
      </c>
      <c r="B885" t="s">
        <v>127</v>
      </c>
      <c r="C885" s="3">
        <v>15.89</v>
      </c>
      <c r="D885" s="3">
        <v>14.98</v>
      </c>
      <c r="E885" s="3">
        <v>0</v>
      </c>
      <c r="F885">
        <v>5</v>
      </c>
      <c r="G885" t="s">
        <v>15</v>
      </c>
      <c r="H885" s="4">
        <v>46011</v>
      </c>
      <c r="I885" t="s">
        <v>24</v>
      </c>
      <c r="J885">
        <v>5</v>
      </c>
      <c r="K885" s="3">
        <v>182.7</v>
      </c>
    </row>
    <row r="886" spans="1:11" x14ac:dyDescent="0.25">
      <c r="A886">
        <v>452150</v>
      </c>
      <c r="B886" t="s">
        <v>128</v>
      </c>
      <c r="C886" s="3">
        <v>15.89</v>
      </c>
      <c r="D886" s="3">
        <v>14.98</v>
      </c>
      <c r="E886" s="3">
        <v>0</v>
      </c>
      <c r="F886">
        <v>8</v>
      </c>
      <c r="G886" t="s">
        <v>15</v>
      </c>
      <c r="H886" s="4">
        <v>46006</v>
      </c>
      <c r="I886" t="s">
        <v>13</v>
      </c>
      <c r="J886">
        <v>8</v>
      </c>
      <c r="K886" s="3">
        <v>240.32</v>
      </c>
    </row>
    <row r="887" spans="1:11" x14ac:dyDescent="0.25">
      <c r="A887">
        <v>452150</v>
      </c>
      <c r="B887" t="s">
        <v>128</v>
      </c>
      <c r="C887" s="3">
        <v>15.89</v>
      </c>
      <c r="D887" s="3">
        <v>14.98</v>
      </c>
      <c r="E887" s="3">
        <v>0</v>
      </c>
      <c r="F887">
        <v>8</v>
      </c>
      <c r="G887" t="s">
        <v>15</v>
      </c>
      <c r="H887" s="4">
        <v>46007</v>
      </c>
      <c r="I887" t="s">
        <v>13</v>
      </c>
      <c r="J887">
        <v>8</v>
      </c>
      <c r="K887" s="3">
        <v>240.32</v>
      </c>
    </row>
    <row r="888" spans="1:11" x14ac:dyDescent="0.25">
      <c r="A888">
        <v>452150</v>
      </c>
      <c r="B888" t="s">
        <v>128</v>
      </c>
      <c r="C888" s="3">
        <v>15.89</v>
      </c>
      <c r="D888" s="3">
        <v>14.98</v>
      </c>
      <c r="E888" s="3">
        <v>0</v>
      </c>
      <c r="F888">
        <v>8</v>
      </c>
      <c r="G888" t="s">
        <v>15</v>
      </c>
      <c r="H888" s="4">
        <v>46008</v>
      </c>
      <c r="I888" t="s">
        <v>13</v>
      </c>
      <c r="J888">
        <v>8</v>
      </c>
      <c r="K888" s="3">
        <v>240.32</v>
      </c>
    </row>
    <row r="889" spans="1:11" x14ac:dyDescent="0.25">
      <c r="A889">
        <v>452150</v>
      </c>
      <c r="B889" t="s">
        <v>128</v>
      </c>
      <c r="C889" s="3">
        <v>15.89</v>
      </c>
      <c r="D889" s="3">
        <v>14.98</v>
      </c>
      <c r="E889" s="3">
        <v>0</v>
      </c>
      <c r="F889">
        <v>8</v>
      </c>
      <c r="G889" t="s">
        <v>15</v>
      </c>
      <c r="H889" s="4">
        <v>46009</v>
      </c>
      <c r="I889" t="s">
        <v>13</v>
      </c>
      <c r="J889">
        <v>8</v>
      </c>
      <c r="K889" s="3">
        <v>240.32</v>
      </c>
    </row>
    <row r="890" spans="1:11" x14ac:dyDescent="0.25">
      <c r="A890">
        <v>452150</v>
      </c>
      <c r="B890" t="s">
        <v>128</v>
      </c>
      <c r="C890" s="3">
        <v>15.89</v>
      </c>
      <c r="D890" s="3">
        <v>14.98</v>
      </c>
      <c r="E890" s="3">
        <v>0</v>
      </c>
      <c r="F890">
        <v>8</v>
      </c>
      <c r="G890" t="s">
        <v>15</v>
      </c>
      <c r="H890" s="4">
        <v>46010</v>
      </c>
      <c r="I890" t="s">
        <v>13</v>
      </c>
      <c r="J890">
        <v>8</v>
      </c>
      <c r="K890" s="3">
        <v>240.32</v>
      </c>
    </row>
    <row r="891" spans="1:11" x14ac:dyDescent="0.25">
      <c r="A891">
        <v>452150</v>
      </c>
      <c r="B891" t="s">
        <v>128</v>
      </c>
      <c r="C891" s="3">
        <v>15.89</v>
      </c>
      <c r="D891" s="3">
        <v>14.98</v>
      </c>
      <c r="E891" s="3">
        <v>0</v>
      </c>
      <c r="F891">
        <v>8</v>
      </c>
      <c r="G891" t="s">
        <v>15</v>
      </c>
      <c r="H891" s="4">
        <v>46011</v>
      </c>
      <c r="I891" t="s">
        <v>24</v>
      </c>
      <c r="J891">
        <v>5.25</v>
      </c>
      <c r="K891" s="3">
        <v>191.84</v>
      </c>
    </row>
    <row r="892" spans="1:11" x14ac:dyDescent="0.25">
      <c r="A892">
        <v>452150</v>
      </c>
      <c r="B892" t="s">
        <v>128</v>
      </c>
      <c r="C892" s="3">
        <v>15.89</v>
      </c>
      <c r="D892" s="3">
        <v>14.98</v>
      </c>
      <c r="E892" s="3">
        <v>0</v>
      </c>
      <c r="F892">
        <v>8</v>
      </c>
      <c r="G892" t="s">
        <v>15</v>
      </c>
      <c r="H892" s="4">
        <v>46011</v>
      </c>
      <c r="I892" t="s">
        <v>25</v>
      </c>
      <c r="J892">
        <v>2.5</v>
      </c>
      <c r="K892" s="3">
        <v>101.5</v>
      </c>
    </row>
    <row r="893" spans="1:11" x14ac:dyDescent="0.25">
      <c r="A893">
        <v>453079</v>
      </c>
      <c r="B893" t="s">
        <v>129</v>
      </c>
      <c r="C893" s="3">
        <v>15.89</v>
      </c>
      <c r="D893" s="3">
        <v>14.98</v>
      </c>
      <c r="E893" s="3">
        <v>0</v>
      </c>
      <c r="F893">
        <v>7</v>
      </c>
      <c r="G893" t="s">
        <v>15</v>
      </c>
      <c r="H893" s="4">
        <v>46006</v>
      </c>
      <c r="I893" t="s">
        <v>13</v>
      </c>
      <c r="J893">
        <v>7.75</v>
      </c>
      <c r="K893" s="3">
        <v>232.81</v>
      </c>
    </row>
    <row r="894" spans="1:11" x14ac:dyDescent="0.25">
      <c r="A894">
        <v>453079</v>
      </c>
      <c r="B894" t="s">
        <v>129</v>
      </c>
      <c r="C894" s="3">
        <v>15.89</v>
      </c>
      <c r="D894" s="3">
        <v>14.98</v>
      </c>
      <c r="E894" s="3">
        <v>0</v>
      </c>
      <c r="F894">
        <v>7</v>
      </c>
      <c r="G894" t="s">
        <v>15</v>
      </c>
      <c r="H894" s="4">
        <v>46007</v>
      </c>
      <c r="I894" t="s">
        <v>13</v>
      </c>
      <c r="J894">
        <v>8</v>
      </c>
      <c r="K894" s="3">
        <v>240.32</v>
      </c>
    </row>
    <row r="895" spans="1:11" x14ac:dyDescent="0.25">
      <c r="A895">
        <v>453079</v>
      </c>
      <c r="B895" t="s">
        <v>129</v>
      </c>
      <c r="C895" s="3">
        <v>15.89</v>
      </c>
      <c r="D895" s="3">
        <v>14.98</v>
      </c>
      <c r="E895" s="3">
        <v>0</v>
      </c>
      <c r="F895">
        <v>7</v>
      </c>
      <c r="G895" t="s">
        <v>15</v>
      </c>
      <c r="H895" s="4">
        <v>46008</v>
      </c>
      <c r="I895" t="s">
        <v>13</v>
      </c>
      <c r="J895">
        <v>1.5</v>
      </c>
      <c r="K895" s="3">
        <v>45.06</v>
      </c>
    </row>
    <row r="896" spans="1:11" x14ac:dyDescent="0.25">
      <c r="A896">
        <v>454075</v>
      </c>
      <c r="B896" t="s">
        <v>130</v>
      </c>
      <c r="C896" s="3">
        <v>15.89</v>
      </c>
      <c r="D896" s="3">
        <v>14.98</v>
      </c>
      <c r="E896" s="3">
        <v>0</v>
      </c>
      <c r="F896">
        <v>5</v>
      </c>
      <c r="G896" t="s">
        <v>15</v>
      </c>
      <c r="H896" s="4">
        <v>46006</v>
      </c>
      <c r="I896" t="s">
        <v>13</v>
      </c>
      <c r="J896">
        <v>8</v>
      </c>
      <c r="K896" s="3">
        <v>240.32</v>
      </c>
    </row>
    <row r="897" spans="1:11" x14ac:dyDescent="0.25">
      <c r="A897">
        <v>454075</v>
      </c>
      <c r="B897" t="s">
        <v>130</v>
      </c>
      <c r="C897" s="3">
        <v>15.89</v>
      </c>
      <c r="D897" s="3">
        <v>14.98</v>
      </c>
      <c r="E897" s="3">
        <v>0</v>
      </c>
      <c r="F897">
        <v>5</v>
      </c>
      <c r="G897" t="s">
        <v>15</v>
      </c>
      <c r="H897" s="4">
        <v>46006</v>
      </c>
      <c r="I897" t="s">
        <v>21</v>
      </c>
      <c r="J897">
        <v>0.75</v>
      </c>
      <c r="K897" s="3">
        <v>28.68</v>
      </c>
    </row>
    <row r="898" spans="1:11" x14ac:dyDescent="0.25">
      <c r="A898">
        <v>454075</v>
      </c>
      <c r="B898" t="s">
        <v>130</v>
      </c>
      <c r="C898" s="3">
        <v>15.89</v>
      </c>
      <c r="D898" s="3">
        <v>14.98</v>
      </c>
      <c r="E898" s="3">
        <v>0</v>
      </c>
      <c r="F898">
        <v>5</v>
      </c>
      <c r="G898" t="s">
        <v>15</v>
      </c>
      <c r="H898" s="4">
        <v>46007</v>
      </c>
      <c r="I898" t="s">
        <v>13</v>
      </c>
      <c r="J898">
        <v>8</v>
      </c>
      <c r="K898" s="3">
        <v>240.32</v>
      </c>
    </row>
    <row r="899" spans="1:11" x14ac:dyDescent="0.25">
      <c r="A899">
        <v>454075</v>
      </c>
      <c r="B899" t="s">
        <v>130</v>
      </c>
      <c r="C899" s="3">
        <v>15.89</v>
      </c>
      <c r="D899" s="3">
        <v>14.98</v>
      </c>
      <c r="E899" s="3">
        <v>0</v>
      </c>
      <c r="F899">
        <v>5</v>
      </c>
      <c r="G899" t="s">
        <v>15</v>
      </c>
      <c r="H899" s="4">
        <v>46007</v>
      </c>
      <c r="I899" t="s">
        <v>21</v>
      </c>
      <c r="J899">
        <v>0.5</v>
      </c>
      <c r="K899" s="3">
        <v>19.12</v>
      </c>
    </row>
    <row r="900" spans="1:11" x14ac:dyDescent="0.25">
      <c r="A900">
        <v>454075</v>
      </c>
      <c r="B900" t="s">
        <v>130</v>
      </c>
      <c r="C900" s="3">
        <v>15.89</v>
      </c>
      <c r="D900" s="3">
        <v>14.98</v>
      </c>
      <c r="E900" s="3">
        <v>0</v>
      </c>
      <c r="F900">
        <v>5</v>
      </c>
      <c r="G900" t="s">
        <v>15</v>
      </c>
      <c r="H900" s="4">
        <v>46008</v>
      </c>
      <c r="I900" t="s">
        <v>13</v>
      </c>
      <c r="J900">
        <v>8</v>
      </c>
      <c r="K900" s="3">
        <v>240.32</v>
      </c>
    </row>
    <row r="901" spans="1:11" x14ac:dyDescent="0.25">
      <c r="A901">
        <v>454075</v>
      </c>
      <c r="B901" t="s">
        <v>130</v>
      </c>
      <c r="C901" s="3">
        <v>15.89</v>
      </c>
      <c r="D901" s="3">
        <v>14.98</v>
      </c>
      <c r="E901" s="3">
        <v>0</v>
      </c>
      <c r="F901">
        <v>5</v>
      </c>
      <c r="G901" t="s">
        <v>15</v>
      </c>
      <c r="H901" s="4">
        <v>46009</v>
      </c>
      <c r="I901" t="s">
        <v>13</v>
      </c>
      <c r="J901">
        <v>7</v>
      </c>
      <c r="K901" s="3">
        <v>210.28</v>
      </c>
    </row>
    <row r="902" spans="1:11" x14ac:dyDescent="0.25">
      <c r="A902">
        <v>454075</v>
      </c>
      <c r="B902" t="s">
        <v>130</v>
      </c>
      <c r="C902" s="3">
        <v>15.89</v>
      </c>
      <c r="D902" s="3">
        <v>14.98</v>
      </c>
      <c r="E902" s="3">
        <v>0</v>
      </c>
      <c r="F902">
        <v>5</v>
      </c>
      <c r="G902" t="s">
        <v>15</v>
      </c>
      <c r="H902" s="4">
        <v>46009</v>
      </c>
      <c r="I902" t="s">
        <v>23</v>
      </c>
      <c r="J902">
        <v>1</v>
      </c>
      <c r="K902" s="3">
        <v>28.42</v>
      </c>
    </row>
    <row r="903" spans="1:11" x14ac:dyDescent="0.25">
      <c r="A903">
        <v>454075</v>
      </c>
      <c r="B903" t="s">
        <v>130</v>
      </c>
      <c r="C903" s="3">
        <v>15.89</v>
      </c>
      <c r="D903" s="3">
        <v>14.98</v>
      </c>
      <c r="E903" s="3">
        <v>0</v>
      </c>
      <c r="F903">
        <v>5</v>
      </c>
      <c r="G903" t="s">
        <v>15</v>
      </c>
      <c r="H903" s="4">
        <v>46010</v>
      </c>
      <c r="I903" t="s">
        <v>13</v>
      </c>
      <c r="J903">
        <v>7.75</v>
      </c>
      <c r="K903" s="3">
        <v>232.81</v>
      </c>
    </row>
    <row r="904" spans="1:11" x14ac:dyDescent="0.25">
      <c r="A904">
        <v>454075</v>
      </c>
      <c r="B904" t="s">
        <v>130</v>
      </c>
      <c r="C904" s="3">
        <v>15.89</v>
      </c>
      <c r="D904" s="3">
        <v>14.98</v>
      </c>
      <c r="E904" s="3">
        <v>0</v>
      </c>
      <c r="F904">
        <v>5</v>
      </c>
      <c r="G904" t="s">
        <v>15</v>
      </c>
      <c r="H904" s="4">
        <v>46011</v>
      </c>
      <c r="I904" t="s">
        <v>24</v>
      </c>
      <c r="J904">
        <v>4.75</v>
      </c>
      <c r="K904" s="3">
        <v>173.57</v>
      </c>
    </row>
    <row r="905" spans="1:11" x14ac:dyDescent="0.25">
      <c r="A905">
        <v>454135</v>
      </c>
      <c r="B905" t="s">
        <v>97</v>
      </c>
      <c r="C905" s="3">
        <v>15.89</v>
      </c>
      <c r="D905" s="3">
        <v>14.98</v>
      </c>
      <c r="E905" s="3">
        <v>0</v>
      </c>
      <c r="F905">
        <v>5</v>
      </c>
      <c r="G905" t="s">
        <v>15</v>
      </c>
      <c r="H905" s="4">
        <v>46006</v>
      </c>
      <c r="I905" t="s">
        <v>13</v>
      </c>
      <c r="J905">
        <v>7.25</v>
      </c>
      <c r="K905" s="3">
        <v>217.79</v>
      </c>
    </row>
    <row r="906" spans="1:11" x14ac:dyDescent="0.25">
      <c r="A906">
        <v>454135</v>
      </c>
      <c r="B906" t="s">
        <v>97</v>
      </c>
      <c r="C906" s="3">
        <v>15.89</v>
      </c>
      <c r="D906" s="3">
        <v>14.98</v>
      </c>
      <c r="E906" s="3">
        <v>0</v>
      </c>
      <c r="F906">
        <v>5</v>
      </c>
      <c r="G906" t="s">
        <v>15</v>
      </c>
      <c r="H906" s="4">
        <v>46007</v>
      </c>
      <c r="I906" t="s">
        <v>13</v>
      </c>
      <c r="J906">
        <v>9.5</v>
      </c>
      <c r="K906" s="3">
        <v>285.38</v>
      </c>
    </row>
    <row r="907" spans="1:11" x14ac:dyDescent="0.25">
      <c r="A907">
        <v>454135</v>
      </c>
      <c r="B907" t="s">
        <v>97</v>
      </c>
      <c r="C907" s="3">
        <v>15.89</v>
      </c>
      <c r="D907" s="3">
        <v>14.98</v>
      </c>
      <c r="E907" s="3">
        <v>0</v>
      </c>
      <c r="F907">
        <v>5</v>
      </c>
      <c r="G907" t="s">
        <v>15</v>
      </c>
      <c r="H907" s="4">
        <v>46007</v>
      </c>
      <c r="I907" t="s">
        <v>21</v>
      </c>
      <c r="J907">
        <v>0.5</v>
      </c>
      <c r="K907" s="3">
        <v>19.12</v>
      </c>
    </row>
    <row r="908" spans="1:11" x14ac:dyDescent="0.25">
      <c r="A908">
        <v>454135</v>
      </c>
      <c r="B908" t="s">
        <v>97</v>
      </c>
      <c r="C908" s="3">
        <v>15.89</v>
      </c>
      <c r="D908" s="3">
        <v>14.98</v>
      </c>
      <c r="E908" s="3">
        <v>0</v>
      </c>
      <c r="F908">
        <v>5</v>
      </c>
      <c r="G908" t="s">
        <v>15</v>
      </c>
      <c r="H908" s="4">
        <v>46008</v>
      </c>
      <c r="I908" t="s">
        <v>13</v>
      </c>
      <c r="J908">
        <v>3.75</v>
      </c>
      <c r="K908" s="3">
        <v>112.65</v>
      </c>
    </row>
    <row r="909" spans="1:11" x14ac:dyDescent="0.25">
      <c r="A909">
        <v>454135</v>
      </c>
      <c r="B909" t="s">
        <v>97</v>
      </c>
      <c r="C909" s="3">
        <v>15.89</v>
      </c>
      <c r="D909" s="3">
        <v>14.98</v>
      </c>
      <c r="E909" s="3">
        <v>0</v>
      </c>
      <c r="F909">
        <v>5</v>
      </c>
      <c r="G909" t="s">
        <v>15</v>
      </c>
      <c r="H909" s="4">
        <v>46008</v>
      </c>
      <c r="I909" t="s">
        <v>23</v>
      </c>
      <c r="J909">
        <v>5.75</v>
      </c>
      <c r="K909" s="3">
        <v>163.41999999999999</v>
      </c>
    </row>
    <row r="910" spans="1:11" x14ac:dyDescent="0.25">
      <c r="A910">
        <v>454135</v>
      </c>
      <c r="B910" t="s">
        <v>97</v>
      </c>
      <c r="C910" s="3">
        <v>15.89</v>
      </c>
      <c r="D910" s="3">
        <v>14.98</v>
      </c>
      <c r="E910" s="3">
        <v>0</v>
      </c>
      <c r="F910">
        <v>5</v>
      </c>
      <c r="G910" t="s">
        <v>15</v>
      </c>
      <c r="H910" s="4">
        <v>46009</v>
      </c>
      <c r="I910" t="s">
        <v>13</v>
      </c>
      <c r="J910">
        <v>9.5</v>
      </c>
      <c r="K910" s="3">
        <v>285.38</v>
      </c>
    </row>
    <row r="911" spans="1:11" x14ac:dyDescent="0.25">
      <c r="A911">
        <v>454135</v>
      </c>
      <c r="B911" t="s">
        <v>97</v>
      </c>
      <c r="C911" s="3">
        <v>15.89</v>
      </c>
      <c r="D911" s="3">
        <v>14.98</v>
      </c>
      <c r="E911" s="3">
        <v>0</v>
      </c>
      <c r="F911">
        <v>5</v>
      </c>
      <c r="G911" t="s">
        <v>15</v>
      </c>
      <c r="H911" s="4">
        <v>46010</v>
      </c>
      <c r="I911" t="s">
        <v>13</v>
      </c>
      <c r="J911">
        <v>9.5</v>
      </c>
      <c r="K911" s="3">
        <v>285.38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CCF50-703B-4C08-A91B-1DB97DE4C768}">
  <sheetPr codeName="Blad5"/>
  <dimension ref="A1:AI813"/>
  <sheetViews>
    <sheetView tabSelected="1" workbookViewId="0">
      <selection activeCell="E6" sqref="E6"/>
    </sheetView>
  </sheetViews>
  <sheetFormatPr defaultRowHeight="15" x14ac:dyDescent="0.25"/>
  <cols>
    <col min="1" max="1" width="10.140625" bestFit="1" customWidth="1"/>
    <col min="2" max="2" width="24.85546875" bestFit="1" customWidth="1"/>
    <col min="3" max="3" width="10.5703125" bestFit="1" customWidth="1"/>
    <col min="4" max="4" width="21.42578125" bestFit="1" customWidth="1"/>
    <col min="5" max="5" width="16.85546875" bestFit="1" customWidth="1"/>
    <col min="6" max="6" width="15.5703125" bestFit="1" customWidth="1"/>
    <col min="7" max="7" width="12.5703125" bestFit="1" customWidth="1"/>
    <col min="8" max="9" width="14.7109375" bestFit="1" customWidth="1"/>
    <col min="10" max="10" width="19.140625" bestFit="1" customWidth="1"/>
    <col min="11" max="11" width="17.5703125" style="3" bestFit="1" customWidth="1"/>
    <col min="12" max="12" width="8" style="3" bestFit="1" customWidth="1"/>
    <col min="13" max="13" width="7.7109375" customWidth="1"/>
    <col min="14" max="17" width="7" bestFit="1" customWidth="1"/>
    <col min="18" max="18" width="4.7109375" bestFit="1" customWidth="1"/>
    <col min="19" max="19" width="6.7109375" bestFit="1" customWidth="1"/>
    <col min="20" max="29" width="8" bestFit="1" customWidth="1"/>
    <col min="31" max="31" width="10.28515625" bestFit="1" customWidth="1"/>
    <col min="32" max="35" width="6.5703125" bestFit="1" customWidth="1"/>
  </cols>
  <sheetData>
    <row r="1" spans="1:3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131</v>
      </c>
      <c r="K1" s="3" t="s">
        <v>132</v>
      </c>
      <c r="L1" s="5" t="s">
        <v>133</v>
      </c>
      <c r="N1" t="s">
        <v>134</v>
      </c>
      <c r="O1" t="s">
        <v>135</v>
      </c>
      <c r="P1" t="s">
        <v>136</v>
      </c>
      <c r="Q1" t="s">
        <v>137</v>
      </c>
      <c r="R1" s="6" t="s">
        <v>137</v>
      </c>
      <c r="S1" s="7" t="s">
        <v>138</v>
      </c>
      <c r="T1" s="8">
        <v>1</v>
      </c>
      <c r="U1" s="8">
        <v>1.33</v>
      </c>
      <c r="V1" s="8">
        <v>1.35</v>
      </c>
      <c r="W1" s="8">
        <v>1.8</v>
      </c>
      <c r="X1" s="8">
        <v>2</v>
      </c>
      <c r="Y1" s="8">
        <v>3</v>
      </c>
      <c r="Z1" s="8">
        <v>1.4</v>
      </c>
      <c r="AA1" s="8">
        <v>1.8</v>
      </c>
      <c r="AB1" s="8">
        <v>2</v>
      </c>
      <c r="AC1" s="8">
        <v>3</v>
      </c>
      <c r="AE1" s="1" t="s">
        <v>6</v>
      </c>
      <c r="AF1" s="9" t="s">
        <v>139</v>
      </c>
      <c r="AG1" s="9" t="s">
        <v>135</v>
      </c>
      <c r="AH1" s="9" t="s">
        <v>136</v>
      </c>
      <c r="AI1" s="9" t="s">
        <v>137</v>
      </c>
    </row>
    <row r="2" spans="1:35" x14ac:dyDescent="0.25">
      <c r="A2">
        <v>305518</v>
      </c>
      <c r="B2" t="s">
        <v>14</v>
      </c>
      <c r="C2" s="10">
        <v>15.89</v>
      </c>
      <c r="D2" s="10">
        <v>14.98</v>
      </c>
      <c r="E2" s="10">
        <v>0</v>
      </c>
      <c r="F2">
        <v>6</v>
      </c>
      <c r="G2" t="s">
        <v>15</v>
      </c>
      <c r="H2" s="11">
        <v>45985</v>
      </c>
      <c r="I2" t="s">
        <v>13</v>
      </c>
      <c r="J2" s="12">
        <v>8</v>
      </c>
      <c r="K2" s="3">
        <v>240.32</v>
      </c>
      <c r="L2" s="3">
        <f>K2/J2</f>
        <v>30.04</v>
      </c>
      <c r="M2" s="13"/>
      <c r="N2">
        <f>_xlfn.XLOOKUP(G2,'Tarievensheet per persoon'!AE:AE,'Tarievensheet per persoon'!AF:AF)</f>
        <v>1.7024999999999999</v>
      </c>
      <c r="O2">
        <f>_xlfn.XLOOKUP(G2,AE:AE,'Tarievensheet per persoon'!AG:AG)</f>
        <v>1.5642</v>
      </c>
      <c r="P2">
        <f>_xlfn.XLOOKUP(G2,AE:AE,'Tarievensheet per persoon'!AH:AH)</f>
        <v>1.3552</v>
      </c>
      <c r="Q2">
        <f>_xlfn.XLOOKUP(G2,AE:AE,'Tarievensheet per persoon'!AI:AI)</f>
        <v>1.3552</v>
      </c>
      <c r="R2">
        <v>0</v>
      </c>
      <c r="S2" s="14">
        <v>2.99</v>
      </c>
      <c r="T2" s="10">
        <f>C2*N2+C2*Q2*R2+S2+(E2*O2)</f>
        <v>30.042724999999997</v>
      </c>
      <c r="U2" s="10">
        <f>T2+C2*(U$1-1)*O2</f>
        <v>38.244920539999995</v>
      </c>
      <c r="V2" s="10">
        <f>T2+C2*(V$1-1)*O2</f>
        <v>38.7420233</v>
      </c>
      <c r="W2" s="10">
        <f>T2+C2*(W$1-1)*O2</f>
        <v>49.926835400000002</v>
      </c>
      <c r="X2" s="10">
        <f>T2+C2*(X$1-1)*O2</f>
        <v>54.897863000000001</v>
      </c>
      <c r="Y2" s="10">
        <f>T2+C2*(Y$1-1)*O2</f>
        <v>79.753000999999998</v>
      </c>
      <c r="Z2" s="10">
        <f>D2*Z$1*P2</f>
        <v>28.421254399999995</v>
      </c>
      <c r="AA2" s="10">
        <f>D2*AA$1*P2</f>
        <v>36.541612800000003</v>
      </c>
      <c r="AB2" s="10">
        <f>D2*AB$1*P2</f>
        <v>40.601792000000003</v>
      </c>
      <c r="AC2" s="10">
        <f>D2*AC$1*P2</f>
        <v>60.902687999999998</v>
      </c>
      <c r="AE2" s="9" t="s">
        <v>15</v>
      </c>
      <c r="AF2" s="15">
        <v>1.7024999999999999</v>
      </c>
      <c r="AG2" s="15">
        <v>1.5642</v>
      </c>
      <c r="AH2" s="15">
        <v>1.3552</v>
      </c>
      <c r="AI2" s="15">
        <v>1.3552</v>
      </c>
    </row>
    <row r="3" spans="1:35" x14ac:dyDescent="0.25">
      <c r="A3">
        <v>305518</v>
      </c>
      <c r="B3" t="s">
        <v>14</v>
      </c>
      <c r="C3" s="10">
        <v>15.89</v>
      </c>
      <c r="D3" s="10">
        <v>14.98</v>
      </c>
      <c r="E3" s="10">
        <v>0</v>
      </c>
      <c r="F3">
        <v>6</v>
      </c>
      <c r="G3" t="s">
        <v>15</v>
      </c>
      <c r="H3" s="11">
        <v>45986</v>
      </c>
      <c r="I3" t="s">
        <v>13</v>
      </c>
      <c r="J3" s="12">
        <v>8</v>
      </c>
      <c r="K3" s="3">
        <v>240.32</v>
      </c>
      <c r="L3" s="3">
        <f t="shared" ref="L3:L66" si="0">K3/J3</f>
        <v>30.04</v>
      </c>
      <c r="M3" s="13"/>
      <c r="N3">
        <f>_xlfn.XLOOKUP(G3,'Tarievensheet per persoon'!AE:AE,'Tarievensheet per persoon'!AF:AF)</f>
        <v>1.7024999999999999</v>
      </c>
      <c r="O3">
        <f>_xlfn.XLOOKUP(G3,AE:AE,'Tarievensheet per persoon'!AG:AG)</f>
        <v>1.5642</v>
      </c>
      <c r="P3">
        <f>_xlfn.XLOOKUP(G3,AE:AE,'Tarievensheet per persoon'!AH:AH)</f>
        <v>1.3552</v>
      </c>
      <c r="Q3">
        <f>_xlfn.XLOOKUP(G3,AE:AE,'Tarievensheet per persoon'!AI:AI)</f>
        <v>1.3552</v>
      </c>
      <c r="R3">
        <v>0</v>
      </c>
      <c r="S3" s="14">
        <v>2.99</v>
      </c>
      <c r="T3" s="10">
        <f t="shared" ref="T3:T66" si="1">C3*N3+C3*Q3*R3+S3+(E3*O3)</f>
        <v>30.042724999999997</v>
      </c>
      <c r="U3" s="10">
        <f t="shared" ref="U3:U66" si="2">T3+C3*(U$1-1)*O3</f>
        <v>38.244920539999995</v>
      </c>
      <c r="V3" s="10">
        <f t="shared" ref="V3:V66" si="3">T3+C3*(V$1-1)*O3</f>
        <v>38.7420233</v>
      </c>
      <c r="W3" s="10">
        <f t="shared" ref="W3:W66" si="4">T3+C3*(W$1-1)*O3</f>
        <v>49.926835400000002</v>
      </c>
      <c r="X3" s="10">
        <f t="shared" ref="X3:X66" si="5">T3+C3*(X$1-1)*O3</f>
        <v>54.897863000000001</v>
      </c>
      <c r="Y3" s="10">
        <f t="shared" ref="Y3:Y66" si="6">T3+C3*(Y$1-1)*O3</f>
        <v>79.753000999999998</v>
      </c>
      <c r="Z3" s="10">
        <f t="shared" ref="Z3:Z66" si="7">D3*Z$1*P3</f>
        <v>28.421254399999995</v>
      </c>
      <c r="AA3" s="10">
        <f t="shared" ref="AA3:AA66" si="8">D3*AA$1*P3</f>
        <v>36.541612800000003</v>
      </c>
      <c r="AB3" s="10">
        <f t="shared" ref="AB3:AB66" si="9">D3*AB$1*P3</f>
        <v>40.601792000000003</v>
      </c>
      <c r="AC3" s="10">
        <f t="shared" ref="AC3:AC66" si="10">D3*AC$1*P3</f>
        <v>60.902687999999998</v>
      </c>
      <c r="AE3" s="9" t="s">
        <v>19</v>
      </c>
      <c r="AF3" s="15">
        <v>1.7068000000000001</v>
      </c>
      <c r="AG3" s="15">
        <v>1.5528</v>
      </c>
      <c r="AH3" s="15">
        <v>1.3391999999999999</v>
      </c>
      <c r="AI3" s="15">
        <v>1.3391999999999999</v>
      </c>
    </row>
    <row r="4" spans="1:35" x14ac:dyDescent="0.25">
      <c r="A4">
        <v>305518</v>
      </c>
      <c r="B4" t="s">
        <v>14</v>
      </c>
      <c r="C4" s="10">
        <v>15.89</v>
      </c>
      <c r="D4" s="10">
        <v>14.98</v>
      </c>
      <c r="E4" s="10">
        <v>0</v>
      </c>
      <c r="F4">
        <v>6</v>
      </c>
      <c r="G4" t="s">
        <v>15</v>
      </c>
      <c r="H4" s="11">
        <v>45987</v>
      </c>
      <c r="I4" t="s">
        <v>13</v>
      </c>
      <c r="J4" s="12">
        <v>8</v>
      </c>
      <c r="K4" s="3">
        <v>240.32</v>
      </c>
      <c r="L4" s="3">
        <f t="shared" si="0"/>
        <v>30.04</v>
      </c>
      <c r="M4" s="13"/>
      <c r="N4">
        <f>_xlfn.XLOOKUP(G4,'Tarievensheet per persoon'!AE:AE,'Tarievensheet per persoon'!AF:AF)</f>
        <v>1.7024999999999999</v>
      </c>
      <c r="O4">
        <f>_xlfn.XLOOKUP(G4,AE:AE,'Tarievensheet per persoon'!AG:AG)</f>
        <v>1.5642</v>
      </c>
      <c r="P4">
        <f>_xlfn.XLOOKUP(G4,AE:AE,'Tarievensheet per persoon'!AH:AH)</f>
        <v>1.3552</v>
      </c>
      <c r="Q4">
        <f>_xlfn.XLOOKUP(G4,AE:AE,'Tarievensheet per persoon'!AI:AI)</f>
        <v>1.3552</v>
      </c>
      <c r="R4">
        <v>0</v>
      </c>
      <c r="S4" s="14">
        <v>2.99</v>
      </c>
      <c r="T4" s="10">
        <f t="shared" si="1"/>
        <v>30.042724999999997</v>
      </c>
      <c r="U4" s="10">
        <f t="shared" si="2"/>
        <v>38.244920539999995</v>
      </c>
      <c r="V4" s="10">
        <f t="shared" si="3"/>
        <v>38.7420233</v>
      </c>
      <c r="W4" s="10">
        <f t="shared" si="4"/>
        <v>49.926835400000002</v>
      </c>
      <c r="X4" s="10">
        <f t="shared" si="5"/>
        <v>54.897863000000001</v>
      </c>
      <c r="Y4" s="10">
        <f t="shared" si="6"/>
        <v>79.753000999999998</v>
      </c>
      <c r="Z4" s="10">
        <f t="shared" si="7"/>
        <v>28.421254399999995</v>
      </c>
      <c r="AA4" s="10">
        <f t="shared" si="8"/>
        <v>36.541612800000003</v>
      </c>
      <c r="AB4" s="10">
        <f t="shared" si="9"/>
        <v>40.601792000000003</v>
      </c>
      <c r="AC4" s="10">
        <f t="shared" si="10"/>
        <v>60.902687999999998</v>
      </c>
      <c r="AE4" s="9" t="s">
        <v>12</v>
      </c>
      <c r="AF4" s="15">
        <v>1.6496999999999999</v>
      </c>
      <c r="AG4" s="15">
        <v>1.5022</v>
      </c>
      <c r="AH4" s="15">
        <v>1.2898000000000001</v>
      </c>
      <c r="AI4" s="15">
        <v>1.2898000000000001</v>
      </c>
    </row>
    <row r="5" spans="1:35" x14ac:dyDescent="0.25">
      <c r="A5">
        <v>305518</v>
      </c>
      <c r="B5" t="s">
        <v>14</v>
      </c>
      <c r="C5" s="10">
        <v>15.89</v>
      </c>
      <c r="D5" s="10">
        <v>14.98</v>
      </c>
      <c r="E5" s="10">
        <v>0</v>
      </c>
      <c r="F5">
        <v>6</v>
      </c>
      <c r="G5" t="s">
        <v>15</v>
      </c>
      <c r="H5" s="11">
        <v>45988</v>
      </c>
      <c r="I5" t="s">
        <v>13</v>
      </c>
      <c r="J5" s="12">
        <v>8</v>
      </c>
      <c r="K5" s="3">
        <v>240.32</v>
      </c>
      <c r="L5" s="3">
        <f t="shared" si="0"/>
        <v>30.04</v>
      </c>
      <c r="M5" s="13"/>
      <c r="N5">
        <f>_xlfn.XLOOKUP(G5,'Tarievensheet per persoon'!AE:AE,'Tarievensheet per persoon'!AF:AF)</f>
        <v>1.7024999999999999</v>
      </c>
      <c r="O5">
        <f>_xlfn.XLOOKUP(G5,AE:AE,'Tarievensheet per persoon'!AG:AG)</f>
        <v>1.5642</v>
      </c>
      <c r="P5">
        <f>_xlfn.XLOOKUP(G5,AE:AE,'Tarievensheet per persoon'!AH:AH)</f>
        <v>1.3552</v>
      </c>
      <c r="Q5">
        <f>_xlfn.XLOOKUP(G5,AE:AE,'Tarievensheet per persoon'!AI:AI)</f>
        <v>1.3552</v>
      </c>
      <c r="R5">
        <v>0</v>
      </c>
      <c r="S5" s="14">
        <v>2.99</v>
      </c>
      <c r="T5" s="10">
        <f t="shared" si="1"/>
        <v>30.042724999999997</v>
      </c>
      <c r="U5" s="10">
        <f t="shared" si="2"/>
        <v>38.244920539999995</v>
      </c>
      <c r="V5" s="10">
        <f t="shared" si="3"/>
        <v>38.7420233</v>
      </c>
      <c r="W5" s="10">
        <f t="shared" si="4"/>
        <v>49.926835400000002</v>
      </c>
      <c r="X5" s="10">
        <f t="shared" si="5"/>
        <v>54.897863000000001</v>
      </c>
      <c r="Y5" s="10">
        <f t="shared" si="6"/>
        <v>79.753000999999998</v>
      </c>
      <c r="Z5" s="10">
        <f t="shared" si="7"/>
        <v>28.421254399999995</v>
      </c>
      <c r="AA5" s="10">
        <f t="shared" si="8"/>
        <v>36.541612800000003</v>
      </c>
      <c r="AB5" s="10">
        <f t="shared" si="9"/>
        <v>40.601792000000003</v>
      </c>
      <c r="AC5" s="10">
        <f t="shared" si="10"/>
        <v>60.902687999999998</v>
      </c>
    </row>
    <row r="6" spans="1:35" x14ac:dyDescent="0.25">
      <c r="A6">
        <v>305518</v>
      </c>
      <c r="B6" t="s">
        <v>14</v>
      </c>
      <c r="C6" s="10">
        <v>15.89</v>
      </c>
      <c r="D6" s="10">
        <v>14.98</v>
      </c>
      <c r="E6" s="10">
        <v>0</v>
      </c>
      <c r="F6">
        <v>6</v>
      </c>
      <c r="G6" t="s">
        <v>15</v>
      </c>
      <c r="H6" s="11">
        <v>45989</v>
      </c>
      <c r="I6" t="s">
        <v>13</v>
      </c>
      <c r="J6" s="12">
        <v>8</v>
      </c>
      <c r="K6" s="3">
        <v>240.32</v>
      </c>
      <c r="L6" s="3">
        <f t="shared" si="0"/>
        <v>30.04</v>
      </c>
      <c r="M6" s="13"/>
      <c r="N6">
        <f>_xlfn.XLOOKUP(G6,'Tarievensheet per persoon'!AE:AE,'Tarievensheet per persoon'!AF:AF)</f>
        <v>1.7024999999999999</v>
      </c>
      <c r="O6">
        <f>_xlfn.XLOOKUP(G6,AE:AE,'Tarievensheet per persoon'!AG:AG)</f>
        <v>1.5642</v>
      </c>
      <c r="P6">
        <f>_xlfn.XLOOKUP(G6,AE:AE,'Tarievensheet per persoon'!AH:AH)</f>
        <v>1.3552</v>
      </c>
      <c r="Q6">
        <f>_xlfn.XLOOKUP(G6,AE:AE,'Tarievensheet per persoon'!AI:AI)</f>
        <v>1.3552</v>
      </c>
      <c r="R6">
        <v>0</v>
      </c>
      <c r="S6" s="14">
        <v>2.99</v>
      </c>
      <c r="T6" s="10">
        <f t="shared" si="1"/>
        <v>30.042724999999997</v>
      </c>
      <c r="U6" s="10">
        <f t="shared" si="2"/>
        <v>38.244920539999995</v>
      </c>
      <c r="V6" s="10">
        <f t="shared" si="3"/>
        <v>38.7420233</v>
      </c>
      <c r="W6" s="10">
        <f t="shared" si="4"/>
        <v>49.926835400000002</v>
      </c>
      <c r="X6" s="10">
        <f t="shared" si="5"/>
        <v>54.897863000000001</v>
      </c>
      <c r="Y6" s="10">
        <f t="shared" si="6"/>
        <v>79.753000999999998</v>
      </c>
      <c r="Z6" s="10">
        <f t="shared" si="7"/>
        <v>28.421254399999995</v>
      </c>
      <c r="AA6" s="10">
        <f t="shared" si="8"/>
        <v>36.541612800000003</v>
      </c>
      <c r="AB6" s="10">
        <f t="shared" si="9"/>
        <v>40.601792000000003</v>
      </c>
      <c r="AC6" s="10">
        <f t="shared" si="10"/>
        <v>60.902687999999998</v>
      </c>
    </row>
    <row r="7" spans="1:35" x14ac:dyDescent="0.25">
      <c r="A7">
        <v>326167</v>
      </c>
      <c r="B7" t="s">
        <v>103</v>
      </c>
      <c r="C7" s="10">
        <v>17.16</v>
      </c>
      <c r="D7" s="10">
        <v>16.170000000000002</v>
      </c>
      <c r="E7" s="10">
        <v>0</v>
      </c>
      <c r="F7">
        <v>109</v>
      </c>
      <c r="G7" t="s">
        <v>19</v>
      </c>
      <c r="H7" s="11">
        <v>45985</v>
      </c>
      <c r="I7" t="s">
        <v>13</v>
      </c>
      <c r="J7" s="12">
        <v>7</v>
      </c>
      <c r="K7" s="3">
        <v>225.96</v>
      </c>
      <c r="L7" s="3">
        <f t="shared" si="0"/>
        <v>32.28</v>
      </c>
      <c r="M7" s="13"/>
      <c r="N7">
        <f>_xlfn.XLOOKUP(G7,'Tarievensheet per persoon'!AE:AE,'Tarievensheet per persoon'!AF:AF)</f>
        <v>1.7068000000000001</v>
      </c>
      <c r="O7">
        <f>_xlfn.XLOOKUP(G7,AE:AE,'Tarievensheet per persoon'!AG:AG)</f>
        <v>1.5528</v>
      </c>
      <c r="P7">
        <f>_xlfn.XLOOKUP(G7,AE:AE,'Tarievensheet per persoon'!AH:AH)</f>
        <v>1.3391999999999999</v>
      </c>
      <c r="Q7">
        <f>_xlfn.XLOOKUP(G7,AE:AE,'Tarievensheet per persoon'!AI:AI)</f>
        <v>1.3391999999999999</v>
      </c>
      <c r="R7">
        <v>0</v>
      </c>
      <c r="S7" s="14">
        <v>2.99</v>
      </c>
      <c r="T7" s="10">
        <f t="shared" si="1"/>
        <v>32.278688000000002</v>
      </c>
      <c r="U7" s="10">
        <f t="shared" si="2"/>
        <v>41.071883840000005</v>
      </c>
      <c r="V7" s="10">
        <f t="shared" si="3"/>
        <v>41.604804800000004</v>
      </c>
      <c r="W7" s="10">
        <f t="shared" si="4"/>
        <v>53.595526400000004</v>
      </c>
      <c r="X7" s="10">
        <f t="shared" si="5"/>
        <v>58.924736000000003</v>
      </c>
      <c r="Y7" s="10">
        <f t="shared" si="6"/>
        <v>85.570784000000003</v>
      </c>
      <c r="Z7" s="10">
        <f t="shared" si="7"/>
        <v>30.316809600000003</v>
      </c>
      <c r="AA7" s="10">
        <f t="shared" si="8"/>
        <v>38.978755200000002</v>
      </c>
      <c r="AB7" s="10">
        <f t="shared" si="9"/>
        <v>43.309728</v>
      </c>
      <c r="AC7" s="10">
        <f t="shared" si="10"/>
        <v>64.96459200000001</v>
      </c>
    </row>
    <row r="8" spans="1:35" x14ac:dyDescent="0.25">
      <c r="A8">
        <v>326167</v>
      </c>
      <c r="B8" t="s">
        <v>103</v>
      </c>
      <c r="C8" s="10">
        <v>17.16</v>
      </c>
      <c r="D8" s="10">
        <v>16.170000000000002</v>
      </c>
      <c r="E8" s="10">
        <v>0</v>
      </c>
      <c r="F8">
        <v>109</v>
      </c>
      <c r="G8" t="s">
        <v>19</v>
      </c>
      <c r="H8" s="11">
        <v>45985</v>
      </c>
      <c r="I8" t="s">
        <v>22</v>
      </c>
      <c r="J8" s="12">
        <v>1</v>
      </c>
      <c r="K8" s="3">
        <v>41.61</v>
      </c>
      <c r="L8" s="3">
        <f t="shared" si="0"/>
        <v>41.61</v>
      </c>
      <c r="M8" s="13"/>
      <c r="N8">
        <f>_xlfn.XLOOKUP(G8,'Tarievensheet per persoon'!AE:AE,'Tarievensheet per persoon'!AF:AF)</f>
        <v>1.7068000000000001</v>
      </c>
      <c r="O8">
        <f>_xlfn.XLOOKUP(G8,AE:AE,'Tarievensheet per persoon'!AG:AG)</f>
        <v>1.5528</v>
      </c>
      <c r="P8">
        <f>_xlfn.XLOOKUP(G8,AE:AE,'Tarievensheet per persoon'!AH:AH)</f>
        <v>1.3391999999999999</v>
      </c>
      <c r="Q8">
        <f>_xlfn.XLOOKUP(G8,AE:AE,'Tarievensheet per persoon'!AI:AI)</f>
        <v>1.3391999999999999</v>
      </c>
      <c r="R8">
        <v>0</v>
      </c>
      <c r="S8" s="14">
        <v>2.99</v>
      </c>
      <c r="T8" s="10">
        <f t="shared" si="1"/>
        <v>32.278688000000002</v>
      </c>
      <c r="U8" s="10">
        <f t="shared" si="2"/>
        <v>41.071883840000005</v>
      </c>
      <c r="V8" s="10">
        <f t="shared" si="3"/>
        <v>41.604804800000004</v>
      </c>
      <c r="W8" s="10">
        <f t="shared" si="4"/>
        <v>53.595526400000004</v>
      </c>
      <c r="X8" s="10">
        <f t="shared" si="5"/>
        <v>58.924736000000003</v>
      </c>
      <c r="Y8" s="10">
        <f t="shared" si="6"/>
        <v>85.570784000000003</v>
      </c>
      <c r="Z8" s="10">
        <f t="shared" si="7"/>
        <v>30.316809600000003</v>
      </c>
      <c r="AA8" s="10">
        <f t="shared" si="8"/>
        <v>38.978755200000002</v>
      </c>
      <c r="AB8" s="10">
        <f t="shared" si="9"/>
        <v>43.309728</v>
      </c>
      <c r="AC8" s="10">
        <f t="shared" si="10"/>
        <v>64.96459200000001</v>
      </c>
    </row>
    <row r="9" spans="1:35" x14ac:dyDescent="0.25">
      <c r="A9">
        <v>326167</v>
      </c>
      <c r="B9" t="s">
        <v>103</v>
      </c>
      <c r="C9" s="10">
        <v>17.16</v>
      </c>
      <c r="D9" s="10">
        <v>16.170000000000002</v>
      </c>
      <c r="E9" s="10">
        <v>0</v>
      </c>
      <c r="F9">
        <v>109</v>
      </c>
      <c r="G9" t="s">
        <v>19</v>
      </c>
      <c r="H9" s="11">
        <v>45986</v>
      </c>
      <c r="I9" t="s">
        <v>13</v>
      </c>
      <c r="J9" s="12">
        <v>7</v>
      </c>
      <c r="K9" s="3">
        <v>225.96</v>
      </c>
      <c r="L9" s="3">
        <f t="shared" si="0"/>
        <v>32.28</v>
      </c>
      <c r="M9" s="13"/>
      <c r="N9">
        <f>_xlfn.XLOOKUP(G9,'Tarievensheet per persoon'!AE:AE,'Tarievensheet per persoon'!AF:AF)</f>
        <v>1.7068000000000001</v>
      </c>
      <c r="O9">
        <f>_xlfn.XLOOKUP(G9,AE:AE,'Tarievensheet per persoon'!AG:AG)</f>
        <v>1.5528</v>
      </c>
      <c r="P9">
        <f>_xlfn.XLOOKUP(G9,AE:AE,'Tarievensheet per persoon'!AH:AH)</f>
        <v>1.3391999999999999</v>
      </c>
      <c r="Q9">
        <f>_xlfn.XLOOKUP(G9,AE:AE,'Tarievensheet per persoon'!AI:AI)</f>
        <v>1.3391999999999999</v>
      </c>
      <c r="R9">
        <v>0</v>
      </c>
      <c r="S9" s="14">
        <v>2.99</v>
      </c>
      <c r="T9" s="10">
        <f t="shared" si="1"/>
        <v>32.278688000000002</v>
      </c>
      <c r="U9" s="10">
        <f t="shared" si="2"/>
        <v>41.071883840000005</v>
      </c>
      <c r="V9" s="10">
        <f t="shared" si="3"/>
        <v>41.604804800000004</v>
      </c>
      <c r="W9" s="10">
        <f t="shared" si="4"/>
        <v>53.595526400000004</v>
      </c>
      <c r="X9" s="10">
        <f t="shared" si="5"/>
        <v>58.924736000000003</v>
      </c>
      <c r="Y9" s="10">
        <f t="shared" si="6"/>
        <v>85.570784000000003</v>
      </c>
      <c r="Z9" s="10">
        <f t="shared" si="7"/>
        <v>30.316809600000003</v>
      </c>
      <c r="AA9" s="10">
        <f t="shared" si="8"/>
        <v>38.978755200000002</v>
      </c>
      <c r="AB9" s="10">
        <f t="shared" si="9"/>
        <v>43.309728</v>
      </c>
      <c r="AC9" s="10">
        <f t="shared" si="10"/>
        <v>64.96459200000001</v>
      </c>
    </row>
    <row r="10" spans="1:35" x14ac:dyDescent="0.25">
      <c r="A10">
        <v>326167</v>
      </c>
      <c r="B10" t="s">
        <v>103</v>
      </c>
      <c r="C10" s="10">
        <v>17.16</v>
      </c>
      <c r="D10" s="10">
        <v>16.170000000000002</v>
      </c>
      <c r="E10" s="10">
        <v>0</v>
      </c>
      <c r="F10">
        <v>109</v>
      </c>
      <c r="G10" t="s">
        <v>19</v>
      </c>
      <c r="H10" s="11">
        <v>45986</v>
      </c>
      <c r="I10" t="s">
        <v>22</v>
      </c>
      <c r="J10" s="12">
        <v>1</v>
      </c>
      <c r="K10" s="3">
        <v>41.61</v>
      </c>
      <c r="L10" s="3">
        <f t="shared" si="0"/>
        <v>41.61</v>
      </c>
      <c r="M10" s="13"/>
      <c r="N10">
        <f>_xlfn.XLOOKUP(G10,'Tarievensheet per persoon'!AE:AE,'Tarievensheet per persoon'!AF:AF)</f>
        <v>1.7068000000000001</v>
      </c>
      <c r="O10">
        <f>_xlfn.XLOOKUP(G10,AE:AE,'Tarievensheet per persoon'!AG:AG)</f>
        <v>1.5528</v>
      </c>
      <c r="P10">
        <f>_xlfn.XLOOKUP(G10,AE:AE,'Tarievensheet per persoon'!AH:AH)</f>
        <v>1.3391999999999999</v>
      </c>
      <c r="Q10">
        <f>_xlfn.XLOOKUP(G10,AE:AE,'Tarievensheet per persoon'!AI:AI)</f>
        <v>1.3391999999999999</v>
      </c>
      <c r="R10">
        <v>0</v>
      </c>
      <c r="S10" s="14">
        <v>2.99</v>
      </c>
      <c r="T10" s="10">
        <f t="shared" si="1"/>
        <v>32.278688000000002</v>
      </c>
      <c r="U10" s="10">
        <f t="shared" si="2"/>
        <v>41.071883840000005</v>
      </c>
      <c r="V10" s="10">
        <f t="shared" si="3"/>
        <v>41.604804800000004</v>
      </c>
      <c r="W10" s="10">
        <f t="shared" si="4"/>
        <v>53.595526400000004</v>
      </c>
      <c r="X10" s="10">
        <f t="shared" si="5"/>
        <v>58.924736000000003</v>
      </c>
      <c r="Y10" s="10">
        <f t="shared" si="6"/>
        <v>85.570784000000003</v>
      </c>
      <c r="Z10" s="10">
        <f t="shared" si="7"/>
        <v>30.316809600000003</v>
      </c>
      <c r="AA10" s="10">
        <f t="shared" si="8"/>
        <v>38.978755200000002</v>
      </c>
      <c r="AB10" s="10">
        <f t="shared" si="9"/>
        <v>43.309728</v>
      </c>
      <c r="AC10" s="10">
        <f t="shared" si="10"/>
        <v>64.96459200000001</v>
      </c>
    </row>
    <row r="11" spans="1:35" x14ac:dyDescent="0.25">
      <c r="A11">
        <v>326167</v>
      </c>
      <c r="B11" t="s">
        <v>103</v>
      </c>
      <c r="C11" s="10">
        <v>17.16</v>
      </c>
      <c r="D11" s="10">
        <v>16.170000000000002</v>
      </c>
      <c r="E11" s="10">
        <v>0</v>
      </c>
      <c r="F11">
        <v>109</v>
      </c>
      <c r="G11" t="s">
        <v>19</v>
      </c>
      <c r="H11" s="11">
        <v>45987</v>
      </c>
      <c r="I11" t="s">
        <v>13</v>
      </c>
      <c r="J11" s="12">
        <v>6.5</v>
      </c>
      <c r="K11" s="3">
        <v>209.82</v>
      </c>
      <c r="L11" s="3">
        <f t="shared" si="0"/>
        <v>32.28</v>
      </c>
      <c r="M11" s="13"/>
      <c r="N11">
        <f>_xlfn.XLOOKUP(G11,'Tarievensheet per persoon'!AE:AE,'Tarievensheet per persoon'!AF:AF)</f>
        <v>1.7068000000000001</v>
      </c>
      <c r="O11">
        <f>_xlfn.XLOOKUP(G11,AE:AE,'Tarievensheet per persoon'!AG:AG)</f>
        <v>1.5528</v>
      </c>
      <c r="P11">
        <f>_xlfn.XLOOKUP(G11,AE:AE,'Tarievensheet per persoon'!AH:AH)</f>
        <v>1.3391999999999999</v>
      </c>
      <c r="Q11">
        <f>_xlfn.XLOOKUP(G11,AE:AE,'Tarievensheet per persoon'!AI:AI)</f>
        <v>1.3391999999999999</v>
      </c>
      <c r="R11">
        <v>0</v>
      </c>
      <c r="S11" s="14">
        <v>2.99</v>
      </c>
      <c r="T11" s="10">
        <f t="shared" si="1"/>
        <v>32.278688000000002</v>
      </c>
      <c r="U11" s="10">
        <f t="shared" si="2"/>
        <v>41.071883840000005</v>
      </c>
      <c r="V11" s="10">
        <f t="shared" si="3"/>
        <v>41.604804800000004</v>
      </c>
      <c r="W11" s="10">
        <f t="shared" si="4"/>
        <v>53.595526400000004</v>
      </c>
      <c r="X11" s="10">
        <f t="shared" si="5"/>
        <v>58.924736000000003</v>
      </c>
      <c r="Y11" s="10">
        <f t="shared" si="6"/>
        <v>85.570784000000003</v>
      </c>
      <c r="Z11" s="10">
        <f t="shared" si="7"/>
        <v>30.316809600000003</v>
      </c>
      <c r="AA11" s="10">
        <f t="shared" si="8"/>
        <v>38.978755200000002</v>
      </c>
      <c r="AB11" s="10">
        <f t="shared" si="9"/>
        <v>43.309728</v>
      </c>
      <c r="AC11" s="10">
        <f t="shared" si="10"/>
        <v>64.96459200000001</v>
      </c>
    </row>
    <row r="12" spans="1:35" x14ac:dyDescent="0.25">
      <c r="A12">
        <v>326167</v>
      </c>
      <c r="B12" t="s">
        <v>103</v>
      </c>
      <c r="C12" s="10">
        <v>17.16</v>
      </c>
      <c r="D12" s="10">
        <v>16.170000000000002</v>
      </c>
      <c r="E12" s="10">
        <v>0</v>
      </c>
      <c r="F12">
        <v>109</v>
      </c>
      <c r="G12" t="s">
        <v>19</v>
      </c>
      <c r="H12" s="11">
        <v>45987</v>
      </c>
      <c r="I12" t="s">
        <v>23</v>
      </c>
      <c r="J12" s="12">
        <v>0.5</v>
      </c>
      <c r="K12" s="3">
        <v>15.16</v>
      </c>
      <c r="L12" s="3">
        <f t="shared" si="0"/>
        <v>30.32</v>
      </c>
      <c r="M12" s="13"/>
      <c r="N12">
        <f>_xlfn.XLOOKUP(G12,'Tarievensheet per persoon'!AE:AE,'Tarievensheet per persoon'!AF:AF)</f>
        <v>1.7068000000000001</v>
      </c>
      <c r="O12">
        <f>_xlfn.XLOOKUP(G12,AE:AE,'Tarievensheet per persoon'!AG:AG)</f>
        <v>1.5528</v>
      </c>
      <c r="P12">
        <f>_xlfn.XLOOKUP(G12,AE:AE,'Tarievensheet per persoon'!AH:AH)</f>
        <v>1.3391999999999999</v>
      </c>
      <c r="Q12">
        <f>_xlfn.XLOOKUP(G12,AE:AE,'Tarievensheet per persoon'!AI:AI)</f>
        <v>1.3391999999999999</v>
      </c>
      <c r="R12">
        <v>0</v>
      </c>
      <c r="S12" s="14">
        <v>2.99</v>
      </c>
      <c r="T12" s="10">
        <f t="shared" si="1"/>
        <v>32.278688000000002</v>
      </c>
      <c r="U12" s="10">
        <f t="shared" si="2"/>
        <v>41.071883840000005</v>
      </c>
      <c r="V12" s="10">
        <f t="shared" si="3"/>
        <v>41.604804800000004</v>
      </c>
      <c r="W12" s="10">
        <f t="shared" si="4"/>
        <v>53.595526400000004</v>
      </c>
      <c r="X12" s="10">
        <f t="shared" si="5"/>
        <v>58.924736000000003</v>
      </c>
      <c r="Y12" s="10">
        <f t="shared" si="6"/>
        <v>85.570784000000003</v>
      </c>
      <c r="Z12" s="10">
        <f t="shared" si="7"/>
        <v>30.316809600000003</v>
      </c>
      <c r="AA12" s="10">
        <f t="shared" si="8"/>
        <v>38.978755200000002</v>
      </c>
      <c r="AB12" s="10">
        <f t="shared" si="9"/>
        <v>43.309728</v>
      </c>
      <c r="AC12" s="10">
        <f t="shared" si="10"/>
        <v>64.96459200000001</v>
      </c>
    </row>
    <row r="13" spans="1:35" x14ac:dyDescent="0.25">
      <c r="A13">
        <v>326167</v>
      </c>
      <c r="B13" t="s">
        <v>103</v>
      </c>
      <c r="C13" s="10">
        <v>17.16</v>
      </c>
      <c r="D13" s="10">
        <v>16.170000000000002</v>
      </c>
      <c r="E13" s="10">
        <v>0</v>
      </c>
      <c r="F13">
        <v>109</v>
      </c>
      <c r="G13" t="s">
        <v>19</v>
      </c>
      <c r="H13" s="11">
        <v>45987</v>
      </c>
      <c r="I13" t="s">
        <v>22</v>
      </c>
      <c r="J13" s="12">
        <v>1</v>
      </c>
      <c r="K13" s="3">
        <v>41.61</v>
      </c>
      <c r="L13" s="3">
        <f t="shared" si="0"/>
        <v>41.61</v>
      </c>
      <c r="M13" s="13"/>
      <c r="N13">
        <f>_xlfn.XLOOKUP(G13,'Tarievensheet per persoon'!AE:AE,'Tarievensheet per persoon'!AF:AF)</f>
        <v>1.7068000000000001</v>
      </c>
      <c r="O13">
        <f>_xlfn.XLOOKUP(G13,AE:AE,'Tarievensheet per persoon'!AG:AG)</f>
        <v>1.5528</v>
      </c>
      <c r="P13">
        <f>_xlfn.XLOOKUP(G13,AE:AE,'Tarievensheet per persoon'!AH:AH)</f>
        <v>1.3391999999999999</v>
      </c>
      <c r="Q13">
        <f>_xlfn.XLOOKUP(G13,AE:AE,'Tarievensheet per persoon'!AI:AI)</f>
        <v>1.3391999999999999</v>
      </c>
      <c r="R13">
        <v>0</v>
      </c>
      <c r="S13" s="14">
        <v>2.99</v>
      </c>
      <c r="T13" s="10">
        <f t="shared" si="1"/>
        <v>32.278688000000002</v>
      </c>
      <c r="U13" s="10">
        <f t="shared" si="2"/>
        <v>41.071883840000005</v>
      </c>
      <c r="V13" s="10">
        <f t="shared" si="3"/>
        <v>41.604804800000004</v>
      </c>
      <c r="W13" s="10">
        <f t="shared" si="4"/>
        <v>53.595526400000004</v>
      </c>
      <c r="X13" s="10">
        <f t="shared" si="5"/>
        <v>58.924736000000003</v>
      </c>
      <c r="Y13" s="10">
        <f t="shared" si="6"/>
        <v>85.570784000000003</v>
      </c>
      <c r="Z13" s="10">
        <f t="shared" si="7"/>
        <v>30.316809600000003</v>
      </c>
      <c r="AA13" s="10">
        <f t="shared" si="8"/>
        <v>38.978755200000002</v>
      </c>
      <c r="AB13" s="10">
        <f t="shared" si="9"/>
        <v>43.309728</v>
      </c>
      <c r="AC13" s="10">
        <f t="shared" si="10"/>
        <v>64.96459200000001</v>
      </c>
    </row>
    <row r="14" spans="1:35" x14ac:dyDescent="0.25">
      <c r="A14">
        <v>326167</v>
      </c>
      <c r="B14" t="s">
        <v>103</v>
      </c>
      <c r="C14" s="10">
        <v>17.16</v>
      </c>
      <c r="D14" s="10">
        <v>16.170000000000002</v>
      </c>
      <c r="E14" s="10">
        <v>0</v>
      </c>
      <c r="F14">
        <v>109</v>
      </c>
      <c r="G14" t="s">
        <v>19</v>
      </c>
      <c r="H14" s="11">
        <v>45988</v>
      </c>
      <c r="I14" t="s">
        <v>13</v>
      </c>
      <c r="J14" s="12">
        <v>7.5</v>
      </c>
      <c r="K14" s="3">
        <v>242.1</v>
      </c>
      <c r="L14" s="3">
        <f t="shared" si="0"/>
        <v>32.28</v>
      </c>
      <c r="M14" s="13"/>
      <c r="N14">
        <f>_xlfn.XLOOKUP(G14,'Tarievensheet per persoon'!AE:AE,'Tarievensheet per persoon'!AF:AF)</f>
        <v>1.7068000000000001</v>
      </c>
      <c r="O14">
        <f>_xlfn.XLOOKUP(G14,AE:AE,'Tarievensheet per persoon'!AG:AG)</f>
        <v>1.5528</v>
      </c>
      <c r="P14">
        <f>_xlfn.XLOOKUP(G14,AE:AE,'Tarievensheet per persoon'!AH:AH)</f>
        <v>1.3391999999999999</v>
      </c>
      <c r="Q14">
        <f>_xlfn.XLOOKUP(G14,AE:AE,'Tarievensheet per persoon'!AI:AI)</f>
        <v>1.3391999999999999</v>
      </c>
      <c r="R14">
        <v>0</v>
      </c>
      <c r="S14" s="14">
        <v>2.99</v>
      </c>
      <c r="T14" s="10">
        <f t="shared" si="1"/>
        <v>32.278688000000002</v>
      </c>
      <c r="U14" s="10">
        <f t="shared" si="2"/>
        <v>41.071883840000005</v>
      </c>
      <c r="V14" s="10">
        <f t="shared" si="3"/>
        <v>41.604804800000004</v>
      </c>
      <c r="W14" s="10">
        <f t="shared" si="4"/>
        <v>53.595526400000004</v>
      </c>
      <c r="X14" s="10">
        <f t="shared" si="5"/>
        <v>58.924736000000003</v>
      </c>
      <c r="Y14" s="10">
        <f t="shared" si="6"/>
        <v>85.570784000000003</v>
      </c>
      <c r="Z14" s="10">
        <f t="shared" si="7"/>
        <v>30.316809600000003</v>
      </c>
      <c r="AA14" s="10">
        <f t="shared" si="8"/>
        <v>38.978755200000002</v>
      </c>
      <c r="AB14" s="10">
        <f t="shared" si="9"/>
        <v>43.309728</v>
      </c>
      <c r="AC14" s="10">
        <f t="shared" si="10"/>
        <v>64.96459200000001</v>
      </c>
    </row>
    <row r="15" spans="1:35" x14ac:dyDescent="0.25">
      <c r="A15">
        <v>326167</v>
      </c>
      <c r="B15" t="s">
        <v>103</v>
      </c>
      <c r="C15" s="10">
        <v>17.16</v>
      </c>
      <c r="D15" s="10">
        <v>16.170000000000002</v>
      </c>
      <c r="E15" s="10">
        <v>0</v>
      </c>
      <c r="F15">
        <v>109</v>
      </c>
      <c r="G15" t="s">
        <v>19</v>
      </c>
      <c r="H15" s="11">
        <v>45988</v>
      </c>
      <c r="I15" t="s">
        <v>22</v>
      </c>
      <c r="J15" s="12">
        <v>1</v>
      </c>
      <c r="K15" s="3">
        <v>41.61</v>
      </c>
      <c r="L15" s="3">
        <f t="shared" si="0"/>
        <v>41.61</v>
      </c>
      <c r="M15" s="13"/>
      <c r="N15">
        <f>_xlfn.XLOOKUP(G15,'Tarievensheet per persoon'!AE:AE,'Tarievensheet per persoon'!AF:AF)</f>
        <v>1.7068000000000001</v>
      </c>
      <c r="O15">
        <f>_xlfn.XLOOKUP(G15,AE:AE,'Tarievensheet per persoon'!AG:AG)</f>
        <v>1.5528</v>
      </c>
      <c r="P15">
        <f>_xlfn.XLOOKUP(G15,AE:AE,'Tarievensheet per persoon'!AH:AH)</f>
        <v>1.3391999999999999</v>
      </c>
      <c r="Q15">
        <f>_xlfn.XLOOKUP(G15,AE:AE,'Tarievensheet per persoon'!AI:AI)</f>
        <v>1.3391999999999999</v>
      </c>
      <c r="R15">
        <v>0</v>
      </c>
      <c r="S15" s="14">
        <v>2.99</v>
      </c>
      <c r="T15" s="10">
        <f t="shared" si="1"/>
        <v>32.278688000000002</v>
      </c>
      <c r="U15" s="10">
        <f t="shared" si="2"/>
        <v>41.071883840000005</v>
      </c>
      <c r="V15" s="10">
        <f t="shared" si="3"/>
        <v>41.604804800000004</v>
      </c>
      <c r="W15" s="10">
        <f t="shared" si="4"/>
        <v>53.595526400000004</v>
      </c>
      <c r="X15" s="10">
        <f t="shared" si="5"/>
        <v>58.924736000000003</v>
      </c>
      <c r="Y15" s="10">
        <f t="shared" si="6"/>
        <v>85.570784000000003</v>
      </c>
      <c r="Z15" s="10">
        <f t="shared" si="7"/>
        <v>30.316809600000003</v>
      </c>
      <c r="AA15" s="10">
        <f t="shared" si="8"/>
        <v>38.978755200000002</v>
      </c>
      <c r="AB15" s="10">
        <f t="shared" si="9"/>
        <v>43.309728</v>
      </c>
      <c r="AC15" s="10">
        <f t="shared" si="10"/>
        <v>64.96459200000001</v>
      </c>
    </row>
    <row r="16" spans="1:35" x14ac:dyDescent="0.25">
      <c r="A16">
        <v>326167</v>
      </c>
      <c r="B16" t="s">
        <v>103</v>
      </c>
      <c r="C16" s="10">
        <v>17.16</v>
      </c>
      <c r="D16" s="10">
        <v>16.170000000000002</v>
      </c>
      <c r="E16" s="10">
        <v>0</v>
      </c>
      <c r="F16">
        <v>109</v>
      </c>
      <c r="G16" t="s">
        <v>19</v>
      </c>
      <c r="H16" s="11">
        <v>45989</v>
      </c>
      <c r="I16" t="s">
        <v>13</v>
      </c>
      <c r="J16" s="12">
        <v>7</v>
      </c>
      <c r="K16" s="3">
        <v>225.96</v>
      </c>
      <c r="L16" s="3">
        <f t="shared" si="0"/>
        <v>32.28</v>
      </c>
      <c r="M16" s="13"/>
      <c r="N16">
        <f>_xlfn.XLOOKUP(G16,'Tarievensheet per persoon'!AE:AE,'Tarievensheet per persoon'!AF:AF)</f>
        <v>1.7068000000000001</v>
      </c>
      <c r="O16">
        <f>_xlfn.XLOOKUP(G16,AE:AE,'Tarievensheet per persoon'!AG:AG)</f>
        <v>1.5528</v>
      </c>
      <c r="P16">
        <f>_xlfn.XLOOKUP(G16,AE:AE,'Tarievensheet per persoon'!AH:AH)</f>
        <v>1.3391999999999999</v>
      </c>
      <c r="Q16">
        <f>_xlfn.XLOOKUP(G16,AE:AE,'Tarievensheet per persoon'!AI:AI)</f>
        <v>1.3391999999999999</v>
      </c>
      <c r="R16">
        <v>0</v>
      </c>
      <c r="S16" s="14">
        <v>2.99</v>
      </c>
      <c r="T16" s="10">
        <f t="shared" si="1"/>
        <v>32.278688000000002</v>
      </c>
      <c r="U16" s="10">
        <f t="shared" si="2"/>
        <v>41.071883840000005</v>
      </c>
      <c r="V16" s="10">
        <f t="shared" si="3"/>
        <v>41.604804800000004</v>
      </c>
      <c r="W16" s="10">
        <f t="shared" si="4"/>
        <v>53.595526400000004</v>
      </c>
      <c r="X16" s="10">
        <f t="shared" si="5"/>
        <v>58.924736000000003</v>
      </c>
      <c r="Y16" s="10">
        <f t="shared" si="6"/>
        <v>85.570784000000003</v>
      </c>
      <c r="Z16" s="10">
        <f t="shared" si="7"/>
        <v>30.316809600000003</v>
      </c>
      <c r="AA16" s="10">
        <f t="shared" si="8"/>
        <v>38.978755200000002</v>
      </c>
      <c r="AB16" s="10">
        <f t="shared" si="9"/>
        <v>43.309728</v>
      </c>
      <c r="AC16" s="10">
        <f t="shared" si="10"/>
        <v>64.96459200000001</v>
      </c>
    </row>
    <row r="17" spans="1:29" x14ac:dyDescent="0.25">
      <c r="A17">
        <v>326167</v>
      </c>
      <c r="B17" t="s">
        <v>103</v>
      </c>
      <c r="C17" s="10">
        <v>17.16</v>
      </c>
      <c r="D17" s="10">
        <v>16.170000000000002</v>
      </c>
      <c r="E17" s="10">
        <v>0</v>
      </c>
      <c r="F17">
        <v>109</v>
      </c>
      <c r="G17" t="s">
        <v>19</v>
      </c>
      <c r="H17" s="11">
        <v>45989</v>
      </c>
      <c r="I17" t="s">
        <v>22</v>
      </c>
      <c r="J17" s="12">
        <v>1</v>
      </c>
      <c r="K17" s="3">
        <v>41.61</v>
      </c>
      <c r="L17" s="3">
        <f t="shared" si="0"/>
        <v>41.61</v>
      </c>
      <c r="M17" s="13"/>
      <c r="N17">
        <f>_xlfn.XLOOKUP(G17,'Tarievensheet per persoon'!AE:AE,'Tarievensheet per persoon'!AF:AF)</f>
        <v>1.7068000000000001</v>
      </c>
      <c r="O17">
        <f>_xlfn.XLOOKUP(G17,AE:AE,'Tarievensheet per persoon'!AG:AG)</f>
        <v>1.5528</v>
      </c>
      <c r="P17">
        <f>_xlfn.XLOOKUP(G17,AE:AE,'Tarievensheet per persoon'!AH:AH)</f>
        <v>1.3391999999999999</v>
      </c>
      <c r="Q17">
        <f>_xlfn.XLOOKUP(G17,AE:AE,'Tarievensheet per persoon'!AI:AI)</f>
        <v>1.3391999999999999</v>
      </c>
      <c r="R17">
        <v>0</v>
      </c>
      <c r="S17" s="14">
        <v>2.99</v>
      </c>
      <c r="T17" s="10">
        <f t="shared" si="1"/>
        <v>32.278688000000002</v>
      </c>
      <c r="U17" s="10">
        <f t="shared" si="2"/>
        <v>41.071883840000005</v>
      </c>
      <c r="V17" s="10">
        <f t="shared" si="3"/>
        <v>41.604804800000004</v>
      </c>
      <c r="W17" s="10">
        <f t="shared" si="4"/>
        <v>53.595526400000004</v>
      </c>
      <c r="X17" s="10">
        <f t="shared" si="5"/>
        <v>58.924736000000003</v>
      </c>
      <c r="Y17" s="10">
        <f t="shared" si="6"/>
        <v>85.570784000000003</v>
      </c>
      <c r="Z17" s="10">
        <f t="shared" si="7"/>
        <v>30.316809600000003</v>
      </c>
      <c r="AA17" s="10">
        <f t="shared" si="8"/>
        <v>38.978755200000002</v>
      </c>
      <c r="AB17" s="10">
        <f t="shared" si="9"/>
        <v>43.309728</v>
      </c>
      <c r="AC17" s="10">
        <f t="shared" si="10"/>
        <v>64.96459200000001</v>
      </c>
    </row>
    <row r="18" spans="1:29" x14ac:dyDescent="0.25">
      <c r="A18">
        <v>349359</v>
      </c>
      <c r="B18" t="s">
        <v>105</v>
      </c>
      <c r="C18" s="10">
        <v>16.3</v>
      </c>
      <c r="D18" s="10">
        <v>15.36</v>
      </c>
      <c r="E18" s="10">
        <v>0</v>
      </c>
      <c r="F18">
        <v>140</v>
      </c>
      <c r="G18" t="s">
        <v>19</v>
      </c>
      <c r="H18" s="11">
        <v>45985</v>
      </c>
      <c r="I18" t="s">
        <v>13</v>
      </c>
      <c r="J18" s="12">
        <v>8</v>
      </c>
      <c r="K18" s="3">
        <v>246.48</v>
      </c>
      <c r="L18" s="3">
        <f t="shared" si="0"/>
        <v>30.81</v>
      </c>
      <c r="M18" s="13"/>
      <c r="N18">
        <f>_xlfn.XLOOKUP(G18,'Tarievensheet per persoon'!AE:AE,'Tarievensheet per persoon'!AF:AF)</f>
        <v>1.7068000000000001</v>
      </c>
      <c r="O18">
        <f>_xlfn.XLOOKUP(G18,AE:AE,'Tarievensheet per persoon'!AG:AG)</f>
        <v>1.5528</v>
      </c>
      <c r="P18">
        <f>_xlfn.XLOOKUP(G18,AE:AE,'Tarievensheet per persoon'!AH:AH)</f>
        <v>1.3391999999999999</v>
      </c>
      <c r="Q18">
        <f>_xlfn.XLOOKUP(G18,AE:AE,'Tarievensheet per persoon'!AI:AI)</f>
        <v>1.3391999999999999</v>
      </c>
      <c r="R18">
        <v>0</v>
      </c>
      <c r="S18" s="14">
        <v>2.99</v>
      </c>
      <c r="T18" s="10">
        <f t="shared" si="1"/>
        <v>30.810840000000006</v>
      </c>
      <c r="U18" s="10">
        <f t="shared" si="2"/>
        <v>39.163351200000008</v>
      </c>
      <c r="V18" s="10">
        <f t="shared" si="3"/>
        <v>39.669564000000008</v>
      </c>
      <c r="W18" s="10">
        <f t="shared" si="4"/>
        <v>51.059352000000004</v>
      </c>
      <c r="X18" s="10">
        <f t="shared" si="5"/>
        <v>56.121480000000005</v>
      </c>
      <c r="Y18" s="10">
        <f t="shared" si="6"/>
        <v>81.432119999999998</v>
      </c>
      <c r="Z18" s="10">
        <f t="shared" si="7"/>
        <v>28.798156799999997</v>
      </c>
      <c r="AA18" s="10">
        <f t="shared" si="8"/>
        <v>37.0262016</v>
      </c>
      <c r="AB18" s="10">
        <f t="shared" si="9"/>
        <v>41.140223999999996</v>
      </c>
      <c r="AC18" s="10">
        <f t="shared" si="10"/>
        <v>61.710335999999998</v>
      </c>
    </row>
    <row r="19" spans="1:29" x14ac:dyDescent="0.25">
      <c r="A19">
        <v>349359</v>
      </c>
      <c r="B19" t="s">
        <v>105</v>
      </c>
      <c r="C19" s="10">
        <v>16.3</v>
      </c>
      <c r="D19" s="10">
        <v>15.36</v>
      </c>
      <c r="E19" s="10">
        <v>0</v>
      </c>
      <c r="F19">
        <v>140</v>
      </c>
      <c r="G19" t="s">
        <v>19</v>
      </c>
      <c r="H19" s="11">
        <v>45986</v>
      </c>
      <c r="I19" t="s">
        <v>13</v>
      </c>
      <c r="J19" s="12">
        <v>8</v>
      </c>
      <c r="K19" s="3">
        <v>246.48</v>
      </c>
      <c r="L19" s="3">
        <f t="shared" si="0"/>
        <v>30.81</v>
      </c>
      <c r="M19" s="13"/>
      <c r="N19">
        <f>_xlfn.XLOOKUP(G19,'Tarievensheet per persoon'!AE:AE,'Tarievensheet per persoon'!AF:AF)</f>
        <v>1.7068000000000001</v>
      </c>
      <c r="O19">
        <f>_xlfn.XLOOKUP(G19,AE:AE,'Tarievensheet per persoon'!AG:AG)</f>
        <v>1.5528</v>
      </c>
      <c r="P19">
        <f>_xlfn.XLOOKUP(G19,AE:AE,'Tarievensheet per persoon'!AH:AH)</f>
        <v>1.3391999999999999</v>
      </c>
      <c r="Q19">
        <f>_xlfn.XLOOKUP(G19,AE:AE,'Tarievensheet per persoon'!AI:AI)</f>
        <v>1.3391999999999999</v>
      </c>
      <c r="R19">
        <v>0</v>
      </c>
      <c r="S19" s="14">
        <v>2.99</v>
      </c>
      <c r="T19" s="10">
        <f t="shared" si="1"/>
        <v>30.810840000000006</v>
      </c>
      <c r="U19" s="10">
        <f t="shared" si="2"/>
        <v>39.163351200000008</v>
      </c>
      <c r="V19" s="10">
        <f t="shared" si="3"/>
        <v>39.669564000000008</v>
      </c>
      <c r="W19" s="10">
        <f t="shared" si="4"/>
        <v>51.059352000000004</v>
      </c>
      <c r="X19" s="10">
        <f t="shared" si="5"/>
        <v>56.121480000000005</v>
      </c>
      <c r="Y19" s="10">
        <f t="shared" si="6"/>
        <v>81.432119999999998</v>
      </c>
      <c r="Z19" s="10">
        <f t="shared" si="7"/>
        <v>28.798156799999997</v>
      </c>
      <c r="AA19" s="10">
        <f t="shared" si="8"/>
        <v>37.0262016</v>
      </c>
      <c r="AB19" s="10">
        <f t="shared" si="9"/>
        <v>41.140223999999996</v>
      </c>
      <c r="AC19" s="10">
        <f t="shared" si="10"/>
        <v>61.710335999999998</v>
      </c>
    </row>
    <row r="20" spans="1:29" x14ac:dyDescent="0.25">
      <c r="A20">
        <v>349359</v>
      </c>
      <c r="B20" t="s">
        <v>105</v>
      </c>
      <c r="C20" s="10">
        <v>16.3</v>
      </c>
      <c r="D20" s="10">
        <v>15.36</v>
      </c>
      <c r="E20" s="10">
        <v>0</v>
      </c>
      <c r="F20">
        <v>140</v>
      </c>
      <c r="G20" t="s">
        <v>19</v>
      </c>
      <c r="H20" s="11">
        <v>45987</v>
      </c>
      <c r="I20" t="s">
        <v>13</v>
      </c>
      <c r="J20" s="12">
        <v>8</v>
      </c>
      <c r="K20" s="3">
        <v>246.48</v>
      </c>
      <c r="L20" s="3">
        <f t="shared" si="0"/>
        <v>30.81</v>
      </c>
      <c r="M20" s="13"/>
      <c r="N20">
        <f>_xlfn.XLOOKUP(G20,'Tarievensheet per persoon'!AE:AE,'Tarievensheet per persoon'!AF:AF)</f>
        <v>1.7068000000000001</v>
      </c>
      <c r="O20">
        <f>_xlfn.XLOOKUP(G20,AE:AE,'Tarievensheet per persoon'!AG:AG)</f>
        <v>1.5528</v>
      </c>
      <c r="P20">
        <f>_xlfn.XLOOKUP(G20,AE:AE,'Tarievensheet per persoon'!AH:AH)</f>
        <v>1.3391999999999999</v>
      </c>
      <c r="Q20">
        <f>_xlfn.XLOOKUP(G20,AE:AE,'Tarievensheet per persoon'!AI:AI)</f>
        <v>1.3391999999999999</v>
      </c>
      <c r="R20">
        <v>0</v>
      </c>
      <c r="S20" s="14">
        <v>2.99</v>
      </c>
      <c r="T20" s="10">
        <f t="shared" si="1"/>
        <v>30.810840000000006</v>
      </c>
      <c r="U20" s="10">
        <f t="shared" si="2"/>
        <v>39.163351200000008</v>
      </c>
      <c r="V20" s="10">
        <f t="shared" si="3"/>
        <v>39.669564000000008</v>
      </c>
      <c r="W20" s="10">
        <f t="shared" si="4"/>
        <v>51.059352000000004</v>
      </c>
      <c r="X20" s="10">
        <f t="shared" si="5"/>
        <v>56.121480000000005</v>
      </c>
      <c r="Y20" s="10">
        <f t="shared" si="6"/>
        <v>81.432119999999998</v>
      </c>
      <c r="Z20" s="10">
        <f t="shared" si="7"/>
        <v>28.798156799999997</v>
      </c>
      <c r="AA20" s="10">
        <f t="shared" si="8"/>
        <v>37.0262016</v>
      </c>
      <c r="AB20" s="10">
        <f t="shared" si="9"/>
        <v>41.140223999999996</v>
      </c>
      <c r="AC20" s="10">
        <f t="shared" si="10"/>
        <v>61.710335999999998</v>
      </c>
    </row>
    <row r="21" spans="1:29" x14ac:dyDescent="0.25">
      <c r="A21">
        <v>349359</v>
      </c>
      <c r="B21" t="s">
        <v>105</v>
      </c>
      <c r="C21" s="10">
        <v>16.3</v>
      </c>
      <c r="D21" s="10">
        <v>15.36</v>
      </c>
      <c r="E21" s="10">
        <v>0</v>
      </c>
      <c r="F21">
        <v>140</v>
      </c>
      <c r="G21" t="s">
        <v>19</v>
      </c>
      <c r="H21" s="11">
        <v>45988</v>
      </c>
      <c r="I21" t="s">
        <v>13</v>
      </c>
      <c r="J21" s="12">
        <v>8</v>
      </c>
      <c r="K21" s="3">
        <v>246.48</v>
      </c>
      <c r="L21" s="3">
        <f t="shared" si="0"/>
        <v>30.81</v>
      </c>
      <c r="M21" s="13"/>
      <c r="N21">
        <f>_xlfn.XLOOKUP(G21,'Tarievensheet per persoon'!AE:AE,'Tarievensheet per persoon'!AF:AF)</f>
        <v>1.7068000000000001</v>
      </c>
      <c r="O21">
        <f>_xlfn.XLOOKUP(G21,AE:AE,'Tarievensheet per persoon'!AG:AG)</f>
        <v>1.5528</v>
      </c>
      <c r="P21">
        <f>_xlfn.XLOOKUP(G21,AE:AE,'Tarievensheet per persoon'!AH:AH)</f>
        <v>1.3391999999999999</v>
      </c>
      <c r="Q21">
        <f>_xlfn.XLOOKUP(G21,AE:AE,'Tarievensheet per persoon'!AI:AI)</f>
        <v>1.3391999999999999</v>
      </c>
      <c r="R21">
        <v>0</v>
      </c>
      <c r="S21" s="14">
        <v>2.99</v>
      </c>
      <c r="T21" s="10">
        <f t="shared" si="1"/>
        <v>30.810840000000006</v>
      </c>
      <c r="U21" s="10">
        <f t="shared" si="2"/>
        <v>39.163351200000008</v>
      </c>
      <c r="V21" s="10">
        <f t="shared" si="3"/>
        <v>39.669564000000008</v>
      </c>
      <c r="W21" s="10">
        <f t="shared" si="4"/>
        <v>51.059352000000004</v>
      </c>
      <c r="X21" s="10">
        <f t="shared" si="5"/>
        <v>56.121480000000005</v>
      </c>
      <c r="Y21" s="10">
        <f t="shared" si="6"/>
        <v>81.432119999999998</v>
      </c>
      <c r="Z21" s="10">
        <f t="shared" si="7"/>
        <v>28.798156799999997</v>
      </c>
      <c r="AA21" s="10">
        <f t="shared" si="8"/>
        <v>37.0262016</v>
      </c>
      <c r="AB21" s="10">
        <f t="shared" si="9"/>
        <v>41.140223999999996</v>
      </c>
      <c r="AC21" s="10">
        <f t="shared" si="10"/>
        <v>61.710335999999998</v>
      </c>
    </row>
    <row r="22" spans="1:29" x14ac:dyDescent="0.25">
      <c r="A22">
        <v>349359</v>
      </c>
      <c r="B22" t="s">
        <v>105</v>
      </c>
      <c r="C22" s="10">
        <v>16.3</v>
      </c>
      <c r="D22" s="10">
        <v>15.36</v>
      </c>
      <c r="E22" s="10">
        <v>0</v>
      </c>
      <c r="F22">
        <v>140</v>
      </c>
      <c r="G22" t="s">
        <v>19</v>
      </c>
      <c r="H22" s="11">
        <v>45989</v>
      </c>
      <c r="I22" t="s">
        <v>13</v>
      </c>
      <c r="J22" s="12">
        <v>8</v>
      </c>
      <c r="K22" s="3">
        <v>246.48</v>
      </c>
      <c r="L22" s="3">
        <f t="shared" si="0"/>
        <v>30.81</v>
      </c>
      <c r="M22" s="13"/>
      <c r="N22">
        <f>_xlfn.XLOOKUP(G22,'Tarievensheet per persoon'!AE:AE,'Tarievensheet per persoon'!AF:AF)</f>
        <v>1.7068000000000001</v>
      </c>
      <c r="O22">
        <f>_xlfn.XLOOKUP(G22,AE:AE,'Tarievensheet per persoon'!AG:AG)</f>
        <v>1.5528</v>
      </c>
      <c r="P22">
        <f>_xlfn.XLOOKUP(G22,AE:AE,'Tarievensheet per persoon'!AH:AH)</f>
        <v>1.3391999999999999</v>
      </c>
      <c r="Q22">
        <f>_xlfn.XLOOKUP(G22,AE:AE,'Tarievensheet per persoon'!AI:AI)</f>
        <v>1.3391999999999999</v>
      </c>
      <c r="R22">
        <v>0</v>
      </c>
      <c r="S22" s="14">
        <v>2.99</v>
      </c>
      <c r="T22" s="10">
        <f t="shared" si="1"/>
        <v>30.810840000000006</v>
      </c>
      <c r="U22" s="10">
        <f t="shared" si="2"/>
        <v>39.163351200000008</v>
      </c>
      <c r="V22" s="10">
        <f t="shared" si="3"/>
        <v>39.669564000000008</v>
      </c>
      <c r="W22" s="10">
        <f t="shared" si="4"/>
        <v>51.059352000000004</v>
      </c>
      <c r="X22" s="10">
        <f t="shared" si="5"/>
        <v>56.121480000000005</v>
      </c>
      <c r="Y22" s="10">
        <f t="shared" si="6"/>
        <v>81.432119999999998</v>
      </c>
      <c r="Z22" s="10">
        <f t="shared" si="7"/>
        <v>28.798156799999997</v>
      </c>
      <c r="AA22" s="10">
        <f t="shared" si="8"/>
        <v>37.0262016</v>
      </c>
      <c r="AB22" s="10">
        <f t="shared" si="9"/>
        <v>41.140223999999996</v>
      </c>
      <c r="AC22" s="10">
        <f t="shared" si="10"/>
        <v>61.710335999999998</v>
      </c>
    </row>
    <row r="23" spans="1:29" x14ac:dyDescent="0.25">
      <c r="A23">
        <v>349489</v>
      </c>
      <c r="B23" t="s">
        <v>106</v>
      </c>
      <c r="C23" s="10">
        <v>15.89</v>
      </c>
      <c r="D23" s="10">
        <v>14.98</v>
      </c>
      <c r="E23" s="10">
        <v>0</v>
      </c>
      <c r="F23">
        <v>45</v>
      </c>
      <c r="G23" t="s">
        <v>15</v>
      </c>
      <c r="H23" s="11">
        <v>45985</v>
      </c>
      <c r="I23" t="s">
        <v>13</v>
      </c>
      <c r="J23" s="12">
        <v>8</v>
      </c>
      <c r="K23" s="3">
        <v>240.32</v>
      </c>
      <c r="L23" s="3">
        <f t="shared" si="0"/>
        <v>30.04</v>
      </c>
      <c r="M23" s="13"/>
      <c r="N23">
        <f>_xlfn.XLOOKUP(G23,'Tarievensheet per persoon'!AE:AE,'Tarievensheet per persoon'!AF:AF)</f>
        <v>1.7024999999999999</v>
      </c>
      <c r="O23">
        <f>_xlfn.XLOOKUP(G23,AE:AE,'Tarievensheet per persoon'!AG:AG)</f>
        <v>1.5642</v>
      </c>
      <c r="P23">
        <f>_xlfn.XLOOKUP(G23,AE:AE,'Tarievensheet per persoon'!AH:AH)</f>
        <v>1.3552</v>
      </c>
      <c r="Q23">
        <f>_xlfn.XLOOKUP(G23,AE:AE,'Tarievensheet per persoon'!AI:AI)</f>
        <v>1.3552</v>
      </c>
      <c r="R23">
        <v>0</v>
      </c>
      <c r="S23" s="14">
        <v>2.99</v>
      </c>
      <c r="T23" s="10">
        <f t="shared" si="1"/>
        <v>30.042724999999997</v>
      </c>
      <c r="U23" s="10">
        <f t="shared" si="2"/>
        <v>38.244920539999995</v>
      </c>
      <c r="V23" s="10">
        <f t="shared" si="3"/>
        <v>38.7420233</v>
      </c>
      <c r="W23" s="10">
        <f t="shared" si="4"/>
        <v>49.926835400000002</v>
      </c>
      <c r="X23" s="10">
        <f t="shared" si="5"/>
        <v>54.897863000000001</v>
      </c>
      <c r="Y23" s="10">
        <f t="shared" si="6"/>
        <v>79.753000999999998</v>
      </c>
      <c r="Z23" s="10">
        <f t="shared" si="7"/>
        <v>28.421254399999995</v>
      </c>
      <c r="AA23" s="10">
        <f t="shared" si="8"/>
        <v>36.541612800000003</v>
      </c>
      <c r="AB23" s="10">
        <f t="shared" si="9"/>
        <v>40.601792000000003</v>
      </c>
      <c r="AC23" s="10">
        <f t="shared" si="10"/>
        <v>60.902687999999998</v>
      </c>
    </row>
    <row r="24" spans="1:29" x14ac:dyDescent="0.25">
      <c r="A24">
        <v>349489</v>
      </c>
      <c r="B24" t="s">
        <v>106</v>
      </c>
      <c r="C24" s="10">
        <v>15.89</v>
      </c>
      <c r="D24" s="10">
        <v>14.98</v>
      </c>
      <c r="E24" s="10">
        <v>0</v>
      </c>
      <c r="F24">
        <v>45</v>
      </c>
      <c r="G24" t="s">
        <v>15</v>
      </c>
      <c r="H24" s="11">
        <v>45986</v>
      </c>
      <c r="I24" t="s">
        <v>13</v>
      </c>
      <c r="J24" s="12">
        <v>7.5</v>
      </c>
      <c r="K24" s="3">
        <v>225.3</v>
      </c>
      <c r="L24" s="3">
        <f t="shared" si="0"/>
        <v>30.040000000000003</v>
      </c>
      <c r="M24" s="13"/>
      <c r="N24">
        <f>_xlfn.XLOOKUP(G24,'Tarievensheet per persoon'!AE:AE,'Tarievensheet per persoon'!AF:AF)</f>
        <v>1.7024999999999999</v>
      </c>
      <c r="O24">
        <f>_xlfn.XLOOKUP(G24,AE:AE,'Tarievensheet per persoon'!AG:AG)</f>
        <v>1.5642</v>
      </c>
      <c r="P24">
        <f>_xlfn.XLOOKUP(G24,AE:AE,'Tarievensheet per persoon'!AH:AH)</f>
        <v>1.3552</v>
      </c>
      <c r="Q24">
        <f>_xlfn.XLOOKUP(G24,AE:AE,'Tarievensheet per persoon'!AI:AI)</f>
        <v>1.3552</v>
      </c>
      <c r="R24">
        <v>0</v>
      </c>
      <c r="S24" s="14">
        <v>2.99</v>
      </c>
      <c r="T24" s="10">
        <f t="shared" si="1"/>
        <v>30.042724999999997</v>
      </c>
      <c r="U24" s="10">
        <f t="shared" si="2"/>
        <v>38.244920539999995</v>
      </c>
      <c r="V24" s="10">
        <f t="shared" si="3"/>
        <v>38.7420233</v>
      </c>
      <c r="W24" s="10">
        <f t="shared" si="4"/>
        <v>49.926835400000002</v>
      </c>
      <c r="X24" s="10">
        <f t="shared" si="5"/>
        <v>54.897863000000001</v>
      </c>
      <c r="Y24" s="10">
        <f t="shared" si="6"/>
        <v>79.753000999999998</v>
      </c>
      <c r="Z24" s="10">
        <f t="shared" si="7"/>
        <v>28.421254399999995</v>
      </c>
      <c r="AA24" s="10">
        <f t="shared" si="8"/>
        <v>36.541612800000003</v>
      </c>
      <c r="AB24" s="10">
        <f t="shared" si="9"/>
        <v>40.601792000000003</v>
      </c>
      <c r="AC24" s="10">
        <f t="shared" si="10"/>
        <v>60.902687999999998</v>
      </c>
    </row>
    <row r="25" spans="1:29" x14ac:dyDescent="0.25">
      <c r="A25">
        <v>349489</v>
      </c>
      <c r="B25" t="s">
        <v>106</v>
      </c>
      <c r="C25" s="10">
        <v>15.89</v>
      </c>
      <c r="D25" s="10">
        <v>14.98</v>
      </c>
      <c r="E25" s="10">
        <v>0</v>
      </c>
      <c r="F25">
        <v>45</v>
      </c>
      <c r="G25" t="s">
        <v>15</v>
      </c>
      <c r="H25" s="11">
        <v>45987</v>
      </c>
      <c r="I25" t="s">
        <v>13</v>
      </c>
      <c r="J25" s="12">
        <v>9</v>
      </c>
      <c r="K25" s="3">
        <v>270.36</v>
      </c>
      <c r="L25" s="3">
        <f t="shared" si="0"/>
        <v>30.040000000000003</v>
      </c>
      <c r="M25" s="13"/>
      <c r="N25">
        <f>_xlfn.XLOOKUP(G25,'Tarievensheet per persoon'!AE:AE,'Tarievensheet per persoon'!AF:AF)</f>
        <v>1.7024999999999999</v>
      </c>
      <c r="O25">
        <f>_xlfn.XLOOKUP(G25,AE:AE,'Tarievensheet per persoon'!AG:AG)</f>
        <v>1.5642</v>
      </c>
      <c r="P25">
        <f>_xlfn.XLOOKUP(G25,AE:AE,'Tarievensheet per persoon'!AH:AH)</f>
        <v>1.3552</v>
      </c>
      <c r="Q25">
        <f>_xlfn.XLOOKUP(G25,AE:AE,'Tarievensheet per persoon'!AI:AI)</f>
        <v>1.3552</v>
      </c>
      <c r="R25">
        <v>0</v>
      </c>
      <c r="S25" s="14">
        <v>2.99</v>
      </c>
      <c r="T25" s="10">
        <f t="shared" si="1"/>
        <v>30.042724999999997</v>
      </c>
      <c r="U25" s="10">
        <f t="shared" si="2"/>
        <v>38.244920539999995</v>
      </c>
      <c r="V25" s="10">
        <f t="shared" si="3"/>
        <v>38.7420233</v>
      </c>
      <c r="W25" s="10">
        <f t="shared" si="4"/>
        <v>49.926835400000002</v>
      </c>
      <c r="X25" s="10">
        <f t="shared" si="5"/>
        <v>54.897863000000001</v>
      </c>
      <c r="Y25" s="10">
        <f t="shared" si="6"/>
        <v>79.753000999999998</v>
      </c>
      <c r="Z25" s="10">
        <f t="shared" si="7"/>
        <v>28.421254399999995</v>
      </c>
      <c r="AA25" s="10">
        <f t="shared" si="8"/>
        <v>36.541612800000003</v>
      </c>
      <c r="AB25" s="10">
        <f t="shared" si="9"/>
        <v>40.601792000000003</v>
      </c>
      <c r="AC25" s="10">
        <f t="shared" si="10"/>
        <v>60.902687999999998</v>
      </c>
    </row>
    <row r="26" spans="1:29" x14ac:dyDescent="0.25">
      <c r="A26">
        <v>349489</v>
      </c>
      <c r="B26" t="s">
        <v>106</v>
      </c>
      <c r="C26" s="10">
        <v>15.89</v>
      </c>
      <c r="D26" s="10">
        <v>14.98</v>
      </c>
      <c r="E26" s="10">
        <v>0</v>
      </c>
      <c r="F26">
        <v>45</v>
      </c>
      <c r="G26" t="s">
        <v>15</v>
      </c>
      <c r="H26" s="11">
        <v>45988</v>
      </c>
      <c r="I26" t="s">
        <v>13</v>
      </c>
      <c r="J26" s="12">
        <v>8</v>
      </c>
      <c r="K26" s="3">
        <v>240.32</v>
      </c>
      <c r="L26" s="3">
        <f t="shared" si="0"/>
        <v>30.04</v>
      </c>
      <c r="M26" s="13"/>
      <c r="N26">
        <f>_xlfn.XLOOKUP(G26,'Tarievensheet per persoon'!AE:AE,'Tarievensheet per persoon'!AF:AF)</f>
        <v>1.7024999999999999</v>
      </c>
      <c r="O26">
        <f>_xlfn.XLOOKUP(G26,AE:AE,'Tarievensheet per persoon'!AG:AG)</f>
        <v>1.5642</v>
      </c>
      <c r="P26">
        <f>_xlfn.XLOOKUP(G26,AE:AE,'Tarievensheet per persoon'!AH:AH)</f>
        <v>1.3552</v>
      </c>
      <c r="Q26">
        <f>_xlfn.XLOOKUP(G26,AE:AE,'Tarievensheet per persoon'!AI:AI)</f>
        <v>1.3552</v>
      </c>
      <c r="R26">
        <v>0</v>
      </c>
      <c r="S26" s="14">
        <v>2.99</v>
      </c>
      <c r="T26" s="10">
        <f t="shared" si="1"/>
        <v>30.042724999999997</v>
      </c>
      <c r="U26" s="10">
        <f t="shared" si="2"/>
        <v>38.244920539999995</v>
      </c>
      <c r="V26" s="10">
        <f t="shared" si="3"/>
        <v>38.7420233</v>
      </c>
      <c r="W26" s="10">
        <f t="shared" si="4"/>
        <v>49.926835400000002</v>
      </c>
      <c r="X26" s="10">
        <f t="shared" si="5"/>
        <v>54.897863000000001</v>
      </c>
      <c r="Y26" s="10">
        <f t="shared" si="6"/>
        <v>79.753000999999998</v>
      </c>
      <c r="Z26" s="10">
        <f t="shared" si="7"/>
        <v>28.421254399999995</v>
      </c>
      <c r="AA26" s="10">
        <f t="shared" si="8"/>
        <v>36.541612800000003</v>
      </c>
      <c r="AB26" s="10">
        <f t="shared" si="9"/>
        <v>40.601792000000003</v>
      </c>
      <c r="AC26" s="10">
        <f t="shared" si="10"/>
        <v>60.902687999999998</v>
      </c>
    </row>
    <row r="27" spans="1:29" x14ac:dyDescent="0.25">
      <c r="A27">
        <v>349489</v>
      </c>
      <c r="B27" t="s">
        <v>106</v>
      </c>
      <c r="C27" s="10">
        <v>15.89</v>
      </c>
      <c r="D27" s="10">
        <v>14.98</v>
      </c>
      <c r="E27" s="10">
        <v>0</v>
      </c>
      <c r="F27">
        <v>45</v>
      </c>
      <c r="G27" t="s">
        <v>15</v>
      </c>
      <c r="H27" s="11">
        <v>45989</v>
      </c>
      <c r="I27" t="s">
        <v>13</v>
      </c>
      <c r="J27" s="12">
        <v>6.5</v>
      </c>
      <c r="K27" s="3">
        <v>195.26</v>
      </c>
      <c r="L27" s="3">
        <f t="shared" si="0"/>
        <v>30.04</v>
      </c>
      <c r="M27" s="13"/>
      <c r="N27">
        <f>_xlfn.XLOOKUP(G27,'Tarievensheet per persoon'!AE:AE,'Tarievensheet per persoon'!AF:AF)</f>
        <v>1.7024999999999999</v>
      </c>
      <c r="O27">
        <f>_xlfn.XLOOKUP(G27,AE:AE,'Tarievensheet per persoon'!AG:AG)</f>
        <v>1.5642</v>
      </c>
      <c r="P27">
        <f>_xlfn.XLOOKUP(G27,AE:AE,'Tarievensheet per persoon'!AH:AH)</f>
        <v>1.3552</v>
      </c>
      <c r="Q27">
        <f>_xlfn.XLOOKUP(G27,AE:AE,'Tarievensheet per persoon'!AI:AI)</f>
        <v>1.3552</v>
      </c>
      <c r="R27">
        <v>0</v>
      </c>
      <c r="S27" s="14">
        <v>2.99</v>
      </c>
      <c r="T27" s="10">
        <f t="shared" si="1"/>
        <v>30.042724999999997</v>
      </c>
      <c r="U27" s="10">
        <f t="shared" si="2"/>
        <v>38.244920539999995</v>
      </c>
      <c r="V27" s="10">
        <f t="shared" si="3"/>
        <v>38.7420233</v>
      </c>
      <c r="W27" s="10">
        <f t="shared" si="4"/>
        <v>49.926835400000002</v>
      </c>
      <c r="X27" s="10">
        <f t="shared" si="5"/>
        <v>54.897863000000001</v>
      </c>
      <c r="Y27" s="10">
        <f t="shared" si="6"/>
        <v>79.753000999999998</v>
      </c>
      <c r="Z27" s="10">
        <f t="shared" si="7"/>
        <v>28.421254399999995</v>
      </c>
      <c r="AA27" s="10">
        <f t="shared" si="8"/>
        <v>36.541612800000003</v>
      </c>
      <c r="AB27" s="10">
        <f t="shared" si="9"/>
        <v>40.601792000000003</v>
      </c>
      <c r="AC27" s="10">
        <f t="shared" si="10"/>
        <v>60.902687999999998</v>
      </c>
    </row>
    <row r="28" spans="1:29" x14ac:dyDescent="0.25">
      <c r="A28">
        <v>351958</v>
      </c>
      <c r="B28" t="s">
        <v>140</v>
      </c>
      <c r="C28" s="10">
        <v>16.3</v>
      </c>
      <c r="D28" s="10">
        <v>15.36</v>
      </c>
      <c r="E28" s="10">
        <v>0</v>
      </c>
      <c r="F28">
        <v>129</v>
      </c>
      <c r="G28" t="s">
        <v>19</v>
      </c>
      <c r="H28" s="11">
        <v>45985</v>
      </c>
      <c r="I28" t="s">
        <v>13</v>
      </c>
      <c r="J28" s="12">
        <v>8</v>
      </c>
      <c r="K28" s="3">
        <v>246.48</v>
      </c>
      <c r="L28" s="3">
        <f t="shared" si="0"/>
        <v>30.81</v>
      </c>
      <c r="M28" s="13"/>
      <c r="N28">
        <f>_xlfn.XLOOKUP(G28,'Tarievensheet per persoon'!AE:AE,'Tarievensheet per persoon'!AF:AF)</f>
        <v>1.7068000000000001</v>
      </c>
      <c r="O28">
        <f>_xlfn.XLOOKUP(G28,AE:AE,'Tarievensheet per persoon'!AG:AG)</f>
        <v>1.5528</v>
      </c>
      <c r="P28">
        <f>_xlfn.XLOOKUP(G28,AE:AE,'Tarievensheet per persoon'!AH:AH)</f>
        <v>1.3391999999999999</v>
      </c>
      <c r="Q28">
        <f>_xlfn.XLOOKUP(G28,AE:AE,'Tarievensheet per persoon'!AI:AI)</f>
        <v>1.3391999999999999</v>
      </c>
      <c r="R28">
        <v>0</v>
      </c>
      <c r="S28" s="14">
        <v>2.99</v>
      </c>
      <c r="T28" s="10">
        <f t="shared" si="1"/>
        <v>30.810840000000006</v>
      </c>
      <c r="U28" s="10">
        <f t="shared" si="2"/>
        <v>39.163351200000008</v>
      </c>
      <c r="V28" s="10">
        <f t="shared" si="3"/>
        <v>39.669564000000008</v>
      </c>
      <c r="W28" s="10">
        <f t="shared" si="4"/>
        <v>51.059352000000004</v>
      </c>
      <c r="X28" s="10">
        <f t="shared" si="5"/>
        <v>56.121480000000005</v>
      </c>
      <c r="Y28" s="10">
        <f t="shared" si="6"/>
        <v>81.432119999999998</v>
      </c>
      <c r="Z28" s="10">
        <f t="shared" si="7"/>
        <v>28.798156799999997</v>
      </c>
      <c r="AA28" s="10">
        <f t="shared" si="8"/>
        <v>37.0262016</v>
      </c>
      <c r="AB28" s="10">
        <f t="shared" si="9"/>
        <v>41.140223999999996</v>
      </c>
      <c r="AC28" s="10">
        <f t="shared" si="10"/>
        <v>61.710335999999998</v>
      </c>
    </row>
    <row r="29" spans="1:29" x14ac:dyDescent="0.25">
      <c r="A29">
        <v>351958</v>
      </c>
      <c r="B29" t="s">
        <v>140</v>
      </c>
      <c r="C29" s="10">
        <v>16.3</v>
      </c>
      <c r="D29" s="10">
        <v>15.36</v>
      </c>
      <c r="E29" s="10">
        <v>0</v>
      </c>
      <c r="F29">
        <v>129</v>
      </c>
      <c r="G29" t="s">
        <v>19</v>
      </c>
      <c r="H29" s="11">
        <v>45986</v>
      </c>
      <c r="I29" t="s">
        <v>13</v>
      </c>
      <c r="J29" s="12">
        <v>7.75</v>
      </c>
      <c r="K29" s="3">
        <v>238.78</v>
      </c>
      <c r="L29" s="3">
        <f t="shared" si="0"/>
        <v>30.81032258064516</v>
      </c>
      <c r="M29" s="13"/>
      <c r="N29">
        <f>_xlfn.XLOOKUP(G29,'Tarievensheet per persoon'!AE:AE,'Tarievensheet per persoon'!AF:AF)</f>
        <v>1.7068000000000001</v>
      </c>
      <c r="O29">
        <f>_xlfn.XLOOKUP(G29,AE:AE,'Tarievensheet per persoon'!AG:AG)</f>
        <v>1.5528</v>
      </c>
      <c r="P29">
        <f>_xlfn.XLOOKUP(G29,AE:AE,'Tarievensheet per persoon'!AH:AH)</f>
        <v>1.3391999999999999</v>
      </c>
      <c r="Q29">
        <f>_xlfn.XLOOKUP(G29,AE:AE,'Tarievensheet per persoon'!AI:AI)</f>
        <v>1.3391999999999999</v>
      </c>
      <c r="R29">
        <v>0</v>
      </c>
      <c r="S29" s="14">
        <v>2.99</v>
      </c>
      <c r="T29" s="10">
        <f t="shared" si="1"/>
        <v>30.810840000000006</v>
      </c>
      <c r="U29" s="10">
        <f t="shared" si="2"/>
        <v>39.163351200000008</v>
      </c>
      <c r="V29" s="10">
        <f t="shared" si="3"/>
        <v>39.669564000000008</v>
      </c>
      <c r="W29" s="10">
        <f t="shared" si="4"/>
        <v>51.059352000000004</v>
      </c>
      <c r="X29" s="10">
        <f t="shared" si="5"/>
        <v>56.121480000000005</v>
      </c>
      <c r="Y29" s="10">
        <f t="shared" si="6"/>
        <v>81.432119999999998</v>
      </c>
      <c r="Z29" s="10">
        <f t="shared" si="7"/>
        <v>28.798156799999997</v>
      </c>
      <c r="AA29" s="10">
        <f t="shared" si="8"/>
        <v>37.0262016</v>
      </c>
      <c r="AB29" s="10">
        <f t="shared" si="9"/>
        <v>41.140223999999996</v>
      </c>
      <c r="AC29" s="10">
        <f t="shared" si="10"/>
        <v>61.710335999999998</v>
      </c>
    </row>
    <row r="30" spans="1:29" x14ac:dyDescent="0.25">
      <c r="A30">
        <v>351958</v>
      </c>
      <c r="B30" t="s">
        <v>140</v>
      </c>
      <c r="C30" s="10">
        <v>16.3</v>
      </c>
      <c r="D30" s="10">
        <v>15.36</v>
      </c>
      <c r="E30" s="10">
        <v>0</v>
      </c>
      <c r="F30">
        <v>129</v>
      </c>
      <c r="G30" t="s">
        <v>19</v>
      </c>
      <c r="H30" s="11">
        <v>45987</v>
      </c>
      <c r="I30" t="s">
        <v>13</v>
      </c>
      <c r="J30" s="12">
        <v>5.25</v>
      </c>
      <c r="K30" s="3">
        <v>161.75</v>
      </c>
      <c r="L30" s="3">
        <f t="shared" si="0"/>
        <v>30.80952380952381</v>
      </c>
      <c r="M30" s="13"/>
      <c r="N30">
        <f>_xlfn.XLOOKUP(G30,'Tarievensheet per persoon'!AE:AE,'Tarievensheet per persoon'!AF:AF)</f>
        <v>1.7068000000000001</v>
      </c>
      <c r="O30">
        <f>_xlfn.XLOOKUP(G30,AE:AE,'Tarievensheet per persoon'!AG:AG)</f>
        <v>1.5528</v>
      </c>
      <c r="P30">
        <f>_xlfn.XLOOKUP(G30,AE:AE,'Tarievensheet per persoon'!AH:AH)</f>
        <v>1.3391999999999999</v>
      </c>
      <c r="Q30">
        <f>_xlfn.XLOOKUP(G30,AE:AE,'Tarievensheet per persoon'!AI:AI)</f>
        <v>1.3391999999999999</v>
      </c>
      <c r="R30">
        <v>0</v>
      </c>
      <c r="S30" s="14">
        <v>2.99</v>
      </c>
      <c r="T30" s="10">
        <f t="shared" si="1"/>
        <v>30.810840000000006</v>
      </c>
      <c r="U30" s="10">
        <f t="shared" si="2"/>
        <v>39.163351200000008</v>
      </c>
      <c r="V30" s="10">
        <f t="shared" si="3"/>
        <v>39.669564000000008</v>
      </c>
      <c r="W30" s="10">
        <f t="shared" si="4"/>
        <v>51.059352000000004</v>
      </c>
      <c r="X30" s="10">
        <f t="shared" si="5"/>
        <v>56.121480000000005</v>
      </c>
      <c r="Y30" s="10">
        <f t="shared" si="6"/>
        <v>81.432119999999998</v>
      </c>
      <c r="Z30" s="10">
        <f t="shared" si="7"/>
        <v>28.798156799999997</v>
      </c>
      <c r="AA30" s="10">
        <f t="shared" si="8"/>
        <v>37.0262016</v>
      </c>
      <c r="AB30" s="10">
        <f t="shared" si="9"/>
        <v>41.140223999999996</v>
      </c>
      <c r="AC30" s="10">
        <f t="shared" si="10"/>
        <v>61.710335999999998</v>
      </c>
    </row>
    <row r="31" spans="1:29" x14ac:dyDescent="0.25">
      <c r="A31">
        <v>351958</v>
      </c>
      <c r="B31" t="s">
        <v>140</v>
      </c>
      <c r="C31" s="10">
        <v>16.3</v>
      </c>
      <c r="D31" s="10">
        <v>15.36</v>
      </c>
      <c r="E31" s="10">
        <v>0</v>
      </c>
      <c r="F31">
        <v>129</v>
      </c>
      <c r="G31" t="s">
        <v>19</v>
      </c>
      <c r="H31" s="11">
        <v>45988</v>
      </c>
      <c r="I31" t="s">
        <v>13</v>
      </c>
      <c r="J31" s="12">
        <v>8</v>
      </c>
      <c r="K31" s="3">
        <v>246.48</v>
      </c>
      <c r="L31" s="3">
        <f t="shared" si="0"/>
        <v>30.81</v>
      </c>
      <c r="M31" s="13"/>
      <c r="N31">
        <f>_xlfn.XLOOKUP(G31,'Tarievensheet per persoon'!AE:AE,'Tarievensheet per persoon'!AF:AF)</f>
        <v>1.7068000000000001</v>
      </c>
      <c r="O31">
        <f>_xlfn.XLOOKUP(G31,AE:AE,'Tarievensheet per persoon'!AG:AG)</f>
        <v>1.5528</v>
      </c>
      <c r="P31">
        <f>_xlfn.XLOOKUP(G31,AE:AE,'Tarievensheet per persoon'!AH:AH)</f>
        <v>1.3391999999999999</v>
      </c>
      <c r="Q31">
        <f>_xlfn.XLOOKUP(G31,AE:AE,'Tarievensheet per persoon'!AI:AI)</f>
        <v>1.3391999999999999</v>
      </c>
      <c r="R31">
        <v>0</v>
      </c>
      <c r="S31" s="14">
        <v>2.99</v>
      </c>
      <c r="T31" s="10">
        <f t="shared" si="1"/>
        <v>30.810840000000006</v>
      </c>
      <c r="U31" s="10">
        <f t="shared" si="2"/>
        <v>39.163351200000008</v>
      </c>
      <c r="V31" s="10">
        <f t="shared" si="3"/>
        <v>39.669564000000008</v>
      </c>
      <c r="W31" s="10">
        <f t="shared" si="4"/>
        <v>51.059352000000004</v>
      </c>
      <c r="X31" s="10">
        <f t="shared" si="5"/>
        <v>56.121480000000005</v>
      </c>
      <c r="Y31" s="10">
        <f t="shared" si="6"/>
        <v>81.432119999999998</v>
      </c>
      <c r="Z31" s="10">
        <f t="shared" si="7"/>
        <v>28.798156799999997</v>
      </c>
      <c r="AA31" s="10">
        <f t="shared" si="8"/>
        <v>37.0262016</v>
      </c>
      <c r="AB31" s="10">
        <f t="shared" si="9"/>
        <v>41.140223999999996</v>
      </c>
      <c r="AC31" s="10">
        <f t="shared" si="10"/>
        <v>61.710335999999998</v>
      </c>
    </row>
    <row r="32" spans="1:29" x14ac:dyDescent="0.25">
      <c r="A32">
        <v>351958</v>
      </c>
      <c r="B32" t="s">
        <v>140</v>
      </c>
      <c r="C32" s="10">
        <v>16.3</v>
      </c>
      <c r="D32" s="10">
        <v>15.36</v>
      </c>
      <c r="E32" s="10">
        <v>0</v>
      </c>
      <c r="F32">
        <v>129</v>
      </c>
      <c r="G32" t="s">
        <v>19</v>
      </c>
      <c r="H32" s="11">
        <v>45989</v>
      </c>
      <c r="I32" t="s">
        <v>13</v>
      </c>
      <c r="J32" s="12">
        <v>6.5</v>
      </c>
      <c r="K32" s="3">
        <v>200.27</v>
      </c>
      <c r="L32" s="3">
        <f t="shared" si="0"/>
        <v>30.810769230769232</v>
      </c>
      <c r="M32" s="13"/>
      <c r="N32">
        <f>_xlfn.XLOOKUP(G32,'Tarievensheet per persoon'!AE:AE,'Tarievensheet per persoon'!AF:AF)</f>
        <v>1.7068000000000001</v>
      </c>
      <c r="O32">
        <f>_xlfn.XLOOKUP(G32,AE:AE,'Tarievensheet per persoon'!AG:AG)</f>
        <v>1.5528</v>
      </c>
      <c r="P32">
        <f>_xlfn.XLOOKUP(G32,AE:AE,'Tarievensheet per persoon'!AH:AH)</f>
        <v>1.3391999999999999</v>
      </c>
      <c r="Q32">
        <f>_xlfn.XLOOKUP(G32,AE:AE,'Tarievensheet per persoon'!AI:AI)</f>
        <v>1.3391999999999999</v>
      </c>
      <c r="R32">
        <v>0</v>
      </c>
      <c r="S32" s="14">
        <v>2.99</v>
      </c>
      <c r="T32" s="10">
        <f t="shared" si="1"/>
        <v>30.810840000000006</v>
      </c>
      <c r="U32" s="10">
        <f t="shared" si="2"/>
        <v>39.163351200000008</v>
      </c>
      <c r="V32" s="10">
        <f t="shared" si="3"/>
        <v>39.669564000000008</v>
      </c>
      <c r="W32" s="10">
        <f t="shared" si="4"/>
        <v>51.059352000000004</v>
      </c>
      <c r="X32" s="10">
        <f t="shared" si="5"/>
        <v>56.121480000000005</v>
      </c>
      <c r="Y32" s="10">
        <f t="shared" si="6"/>
        <v>81.432119999999998</v>
      </c>
      <c r="Z32" s="10">
        <f t="shared" si="7"/>
        <v>28.798156799999997</v>
      </c>
      <c r="AA32" s="10">
        <f t="shared" si="8"/>
        <v>37.0262016</v>
      </c>
      <c r="AB32" s="10">
        <f t="shared" si="9"/>
        <v>41.140223999999996</v>
      </c>
      <c r="AC32" s="10">
        <f t="shared" si="10"/>
        <v>61.710335999999998</v>
      </c>
    </row>
    <row r="33" spans="1:29" x14ac:dyDescent="0.25">
      <c r="A33">
        <v>371131</v>
      </c>
      <c r="B33" t="s">
        <v>18</v>
      </c>
      <c r="C33" s="10">
        <v>17.39</v>
      </c>
      <c r="D33" s="10">
        <v>16.39</v>
      </c>
      <c r="E33" s="10">
        <v>0</v>
      </c>
      <c r="F33">
        <v>138</v>
      </c>
      <c r="G33" t="s">
        <v>19</v>
      </c>
      <c r="H33" s="11">
        <v>45985</v>
      </c>
      <c r="I33" t="s">
        <v>13</v>
      </c>
      <c r="J33" s="12">
        <v>3.5</v>
      </c>
      <c r="K33" s="3">
        <v>114.35</v>
      </c>
      <c r="L33" s="3">
        <f t="shared" si="0"/>
        <v>32.671428571428571</v>
      </c>
      <c r="M33" s="13"/>
      <c r="N33">
        <f>_xlfn.XLOOKUP(G33,'Tarievensheet per persoon'!AE:AE,'Tarievensheet per persoon'!AF:AF)</f>
        <v>1.7068000000000001</v>
      </c>
      <c r="O33">
        <f>_xlfn.XLOOKUP(G33,AE:AE,'Tarievensheet per persoon'!AG:AG)</f>
        <v>1.5528</v>
      </c>
      <c r="P33">
        <f>_xlfn.XLOOKUP(G33,AE:AE,'Tarievensheet per persoon'!AH:AH)</f>
        <v>1.3391999999999999</v>
      </c>
      <c r="Q33">
        <f>_xlfn.XLOOKUP(G33,AE:AE,'Tarievensheet per persoon'!AI:AI)</f>
        <v>1.3391999999999999</v>
      </c>
      <c r="R33">
        <v>0</v>
      </c>
      <c r="S33" s="14">
        <v>2.99</v>
      </c>
      <c r="T33" s="10">
        <f t="shared" si="1"/>
        <v>32.671252000000003</v>
      </c>
      <c r="U33" s="10">
        <f t="shared" si="2"/>
        <v>41.582305360000007</v>
      </c>
      <c r="V33" s="10">
        <f t="shared" si="3"/>
        <v>42.122369200000009</v>
      </c>
      <c r="W33" s="10">
        <f t="shared" si="4"/>
        <v>54.273805600000003</v>
      </c>
      <c r="X33" s="10">
        <f t="shared" si="5"/>
        <v>59.674444000000001</v>
      </c>
      <c r="Y33" s="10">
        <f t="shared" si="6"/>
        <v>86.677636000000007</v>
      </c>
      <c r="Z33" s="10">
        <f t="shared" si="7"/>
        <v>30.729283199999998</v>
      </c>
      <c r="AA33" s="10">
        <f t="shared" si="8"/>
        <v>39.5090784</v>
      </c>
      <c r="AB33" s="10">
        <f t="shared" si="9"/>
        <v>43.898975999999998</v>
      </c>
      <c r="AC33" s="10">
        <f t="shared" si="10"/>
        <v>65.848463999999993</v>
      </c>
    </row>
    <row r="34" spans="1:29" x14ac:dyDescent="0.25">
      <c r="A34">
        <v>371131</v>
      </c>
      <c r="B34" t="s">
        <v>18</v>
      </c>
      <c r="C34" s="10">
        <v>17.39</v>
      </c>
      <c r="D34" s="10">
        <v>16.39</v>
      </c>
      <c r="E34" s="10">
        <v>0</v>
      </c>
      <c r="F34">
        <v>138</v>
      </c>
      <c r="G34" t="s">
        <v>19</v>
      </c>
      <c r="H34" s="11">
        <v>45985</v>
      </c>
      <c r="I34" t="s">
        <v>21</v>
      </c>
      <c r="J34" s="12">
        <v>4.5</v>
      </c>
      <c r="K34" s="3">
        <v>187.11</v>
      </c>
      <c r="L34" s="3">
        <f t="shared" si="0"/>
        <v>41.580000000000005</v>
      </c>
      <c r="M34" s="13"/>
      <c r="N34">
        <f>_xlfn.XLOOKUP(G34,'Tarievensheet per persoon'!AE:AE,'Tarievensheet per persoon'!AF:AF)</f>
        <v>1.7068000000000001</v>
      </c>
      <c r="O34">
        <f>_xlfn.XLOOKUP(G34,AE:AE,'Tarievensheet per persoon'!AG:AG)</f>
        <v>1.5528</v>
      </c>
      <c r="P34">
        <f>_xlfn.XLOOKUP(G34,AE:AE,'Tarievensheet per persoon'!AH:AH)</f>
        <v>1.3391999999999999</v>
      </c>
      <c r="Q34">
        <f>_xlfn.XLOOKUP(G34,AE:AE,'Tarievensheet per persoon'!AI:AI)</f>
        <v>1.3391999999999999</v>
      </c>
      <c r="R34">
        <v>0</v>
      </c>
      <c r="S34" s="14">
        <v>2.99</v>
      </c>
      <c r="T34" s="10">
        <f t="shared" si="1"/>
        <v>32.671252000000003</v>
      </c>
      <c r="U34" s="10">
        <f t="shared" si="2"/>
        <v>41.582305360000007</v>
      </c>
      <c r="V34" s="10">
        <f t="shared" si="3"/>
        <v>42.122369200000009</v>
      </c>
      <c r="W34" s="10">
        <f t="shared" si="4"/>
        <v>54.273805600000003</v>
      </c>
      <c r="X34" s="10">
        <f t="shared" si="5"/>
        <v>59.674444000000001</v>
      </c>
      <c r="Y34" s="10">
        <f t="shared" si="6"/>
        <v>86.677636000000007</v>
      </c>
      <c r="Z34" s="10">
        <f t="shared" si="7"/>
        <v>30.729283199999998</v>
      </c>
      <c r="AA34" s="10">
        <f t="shared" si="8"/>
        <v>39.5090784</v>
      </c>
      <c r="AB34" s="10">
        <f t="shared" si="9"/>
        <v>43.898975999999998</v>
      </c>
      <c r="AC34" s="10">
        <f t="shared" si="10"/>
        <v>65.848463999999993</v>
      </c>
    </row>
    <row r="35" spans="1:29" x14ac:dyDescent="0.25">
      <c r="A35">
        <v>371131</v>
      </c>
      <c r="B35" t="s">
        <v>18</v>
      </c>
      <c r="C35" s="10">
        <v>17.39</v>
      </c>
      <c r="D35" s="10">
        <v>16.39</v>
      </c>
      <c r="E35" s="10">
        <v>0</v>
      </c>
      <c r="F35">
        <v>138</v>
      </c>
      <c r="G35" t="s">
        <v>19</v>
      </c>
      <c r="H35" s="11">
        <v>45986</v>
      </c>
      <c r="I35" t="s">
        <v>13</v>
      </c>
      <c r="J35" s="12">
        <v>3.75</v>
      </c>
      <c r="K35" s="3">
        <v>122.51</v>
      </c>
      <c r="L35" s="3">
        <f t="shared" si="0"/>
        <v>32.669333333333334</v>
      </c>
      <c r="M35" s="13"/>
      <c r="N35">
        <f>_xlfn.XLOOKUP(G35,'Tarievensheet per persoon'!AE:AE,'Tarievensheet per persoon'!AF:AF)</f>
        <v>1.7068000000000001</v>
      </c>
      <c r="O35">
        <f>_xlfn.XLOOKUP(G35,AE:AE,'Tarievensheet per persoon'!AG:AG)</f>
        <v>1.5528</v>
      </c>
      <c r="P35">
        <f>_xlfn.XLOOKUP(G35,AE:AE,'Tarievensheet per persoon'!AH:AH)</f>
        <v>1.3391999999999999</v>
      </c>
      <c r="Q35">
        <f>_xlfn.XLOOKUP(G35,AE:AE,'Tarievensheet per persoon'!AI:AI)</f>
        <v>1.3391999999999999</v>
      </c>
      <c r="R35">
        <v>0</v>
      </c>
      <c r="S35" s="14">
        <v>2.99</v>
      </c>
      <c r="T35" s="10">
        <f t="shared" si="1"/>
        <v>32.671252000000003</v>
      </c>
      <c r="U35" s="10">
        <f t="shared" si="2"/>
        <v>41.582305360000007</v>
      </c>
      <c r="V35" s="10">
        <f t="shared" si="3"/>
        <v>42.122369200000009</v>
      </c>
      <c r="W35" s="10">
        <f t="shared" si="4"/>
        <v>54.273805600000003</v>
      </c>
      <c r="X35" s="10">
        <f t="shared" si="5"/>
        <v>59.674444000000001</v>
      </c>
      <c r="Y35" s="10">
        <f t="shared" si="6"/>
        <v>86.677636000000007</v>
      </c>
      <c r="Z35" s="10">
        <f t="shared" si="7"/>
        <v>30.729283199999998</v>
      </c>
      <c r="AA35" s="10">
        <f t="shared" si="8"/>
        <v>39.5090784</v>
      </c>
      <c r="AB35" s="10">
        <f t="shared" si="9"/>
        <v>43.898975999999998</v>
      </c>
      <c r="AC35" s="10">
        <f t="shared" si="10"/>
        <v>65.848463999999993</v>
      </c>
    </row>
    <row r="36" spans="1:29" x14ac:dyDescent="0.25">
      <c r="A36">
        <v>371131</v>
      </c>
      <c r="B36" t="s">
        <v>18</v>
      </c>
      <c r="C36" s="10">
        <v>17.39</v>
      </c>
      <c r="D36" s="10">
        <v>16.39</v>
      </c>
      <c r="E36" s="10">
        <v>0</v>
      </c>
      <c r="F36">
        <v>138</v>
      </c>
      <c r="G36" t="s">
        <v>19</v>
      </c>
      <c r="H36" s="11">
        <v>45986</v>
      </c>
      <c r="I36" t="s">
        <v>21</v>
      </c>
      <c r="J36" s="12">
        <v>4.5</v>
      </c>
      <c r="K36" s="3">
        <v>187.11</v>
      </c>
      <c r="L36" s="3">
        <f t="shared" si="0"/>
        <v>41.580000000000005</v>
      </c>
      <c r="M36" s="13"/>
      <c r="N36">
        <f>_xlfn.XLOOKUP(G36,'Tarievensheet per persoon'!AE:AE,'Tarievensheet per persoon'!AF:AF)</f>
        <v>1.7068000000000001</v>
      </c>
      <c r="O36">
        <f>_xlfn.XLOOKUP(G36,AE:AE,'Tarievensheet per persoon'!AG:AG)</f>
        <v>1.5528</v>
      </c>
      <c r="P36">
        <f>_xlfn.XLOOKUP(G36,AE:AE,'Tarievensheet per persoon'!AH:AH)</f>
        <v>1.3391999999999999</v>
      </c>
      <c r="Q36">
        <f>_xlfn.XLOOKUP(G36,AE:AE,'Tarievensheet per persoon'!AI:AI)</f>
        <v>1.3391999999999999</v>
      </c>
      <c r="R36">
        <v>0</v>
      </c>
      <c r="S36" s="14">
        <v>2.99</v>
      </c>
      <c r="T36" s="10">
        <f t="shared" si="1"/>
        <v>32.671252000000003</v>
      </c>
      <c r="U36" s="10">
        <f t="shared" si="2"/>
        <v>41.582305360000007</v>
      </c>
      <c r="V36" s="10">
        <f t="shared" si="3"/>
        <v>42.122369200000009</v>
      </c>
      <c r="W36" s="10">
        <f t="shared" si="4"/>
        <v>54.273805600000003</v>
      </c>
      <c r="X36" s="10">
        <f t="shared" si="5"/>
        <v>59.674444000000001</v>
      </c>
      <c r="Y36" s="10">
        <f t="shared" si="6"/>
        <v>86.677636000000007</v>
      </c>
      <c r="Z36" s="10">
        <f t="shared" si="7"/>
        <v>30.729283199999998</v>
      </c>
      <c r="AA36" s="10">
        <f t="shared" si="8"/>
        <v>39.5090784</v>
      </c>
      <c r="AB36" s="10">
        <f t="shared" si="9"/>
        <v>43.898975999999998</v>
      </c>
      <c r="AC36" s="10">
        <f t="shared" si="10"/>
        <v>65.848463999999993</v>
      </c>
    </row>
    <row r="37" spans="1:29" x14ac:dyDescent="0.25">
      <c r="A37">
        <v>371131</v>
      </c>
      <c r="B37" t="s">
        <v>18</v>
      </c>
      <c r="C37" s="10">
        <v>17.39</v>
      </c>
      <c r="D37" s="10">
        <v>16.39</v>
      </c>
      <c r="E37" s="10">
        <v>0</v>
      </c>
      <c r="F37">
        <v>138</v>
      </c>
      <c r="G37" t="s">
        <v>19</v>
      </c>
      <c r="H37" s="11">
        <v>45987</v>
      </c>
      <c r="I37" t="s">
        <v>13</v>
      </c>
      <c r="J37" s="12">
        <v>3.25</v>
      </c>
      <c r="K37" s="3">
        <v>106.18</v>
      </c>
      <c r="L37" s="3">
        <f t="shared" si="0"/>
        <v>32.670769230769231</v>
      </c>
      <c r="M37" s="13"/>
      <c r="N37">
        <f>_xlfn.XLOOKUP(G37,'Tarievensheet per persoon'!AE:AE,'Tarievensheet per persoon'!AF:AF)</f>
        <v>1.7068000000000001</v>
      </c>
      <c r="O37">
        <f>_xlfn.XLOOKUP(G37,AE:AE,'Tarievensheet per persoon'!AG:AG)</f>
        <v>1.5528</v>
      </c>
      <c r="P37">
        <f>_xlfn.XLOOKUP(G37,AE:AE,'Tarievensheet per persoon'!AH:AH)</f>
        <v>1.3391999999999999</v>
      </c>
      <c r="Q37">
        <f>_xlfn.XLOOKUP(G37,AE:AE,'Tarievensheet per persoon'!AI:AI)</f>
        <v>1.3391999999999999</v>
      </c>
      <c r="R37">
        <v>0</v>
      </c>
      <c r="S37" s="14">
        <v>2.99</v>
      </c>
      <c r="T37" s="10">
        <f t="shared" si="1"/>
        <v>32.671252000000003</v>
      </c>
      <c r="U37" s="10">
        <f t="shared" si="2"/>
        <v>41.582305360000007</v>
      </c>
      <c r="V37" s="10">
        <f t="shared" si="3"/>
        <v>42.122369200000009</v>
      </c>
      <c r="W37" s="10">
        <f t="shared" si="4"/>
        <v>54.273805600000003</v>
      </c>
      <c r="X37" s="10">
        <f t="shared" si="5"/>
        <v>59.674444000000001</v>
      </c>
      <c r="Y37" s="10">
        <f t="shared" si="6"/>
        <v>86.677636000000007</v>
      </c>
      <c r="Z37" s="10">
        <f t="shared" si="7"/>
        <v>30.729283199999998</v>
      </c>
      <c r="AA37" s="10">
        <f t="shared" si="8"/>
        <v>39.5090784</v>
      </c>
      <c r="AB37" s="10">
        <f t="shared" si="9"/>
        <v>43.898975999999998</v>
      </c>
      <c r="AC37" s="10">
        <f t="shared" si="10"/>
        <v>65.848463999999993</v>
      </c>
    </row>
    <row r="38" spans="1:29" x14ac:dyDescent="0.25">
      <c r="A38">
        <v>371131</v>
      </c>
      <c r="B38" t="s">
        <v>18</v>
      </c>
      <c r="C38" s="10">
        <v>17.39</v>
      </c>
      <c r="D38" s="10">
        <v>16.39</v>
      </c>
      <c r="E38" s="10">
        <v>0</v>
      </c>
      <c r="F38">
        <v>138</v>
      </c>
      <c r="G38" t="s">
        <v>19</v>
      </c>
      <c r="H38" s="11">
        <v>45987</v>
      </c>
      <c r="I38" t="s">
        <v>23</v>
      </c>
      <c r="J38" s="12">
        <v>0.25</v>
      </c>
      <c r="K38" s="3">
        <v>7.68</v>
      </c>
      <c r="L38" s="3">
        <f t="shared" si="0"/>
        <v>30.72</v>
      </c>
      <c r="M38" s="13"/>
      <c r="N38">
        <f>_xlfn.XLOOKUP(G38,'Tarievensheet per persoon'!AE:AE,'Tarievensheet per persoon'!AF:AF)</f>
        <v>1.7068000000000001</v>
      </c>
      <c r="O38">
        <f>_xlfn.XLOOKUP(G38,AE:AE,'Tarievensheet per persoon'!AG:AG)</f>
        <v>1.5528</v>
      </c>
      <c r="P38">
        <f>_xlfn.XLOOKUP(G38,AE:AE,'Tarievensheet per persoon'!AH:AH)</f>
        <v>1.3391999999999999</v>
      </c>
      <c r="Q38">
        <f>_xlfn.XLOOKUP(G38,AE:AE,'Tarievensheet per persoon'!AI:AI)</f>
        <v>1.3391999999999999</v>
      </c>
      <c r="R38">
        <v>0</v>
      </c>
      <c r="S38" s="14">
        <v>2.99</v>
      </c>
      <c r="T38" s="10">
        <f t="shared" si="1"/>
        <v>32.671252000000003</v>
      </c>
      <c r="U38" s="10">
        <f t="shared" si="2"/>
        <v>41.582305360000007</v>
      </c>
      <c r="V38" s="10">
        <f t="shared" si="3"/>
        <v>42.122369200000009</v>
      </c>
      <c r="W38" s="10">
        <f t="shared" si="4"/>
        <v>54.273805600000003</v>
      </c>
      <c r="X38" s="10">
        <f t="shared" si="5"/>
        <v>59.674444000000001</v>
      </c>
      <c r="Y38" s="10">
        <f t="shared" si="6"/>
        <v>86.677636000000007</v>
      </c>
      <c r="Z38" s="10">
        <f t="shared" si="7"/>
        <v>30.729283199999998</v>
      </c>
      <c r="AA38" s="10">
        <f t="shared" si="8"/>
        <v>39.5090784</v>
      </c>
      <c r="AB38" s="10">
        <f t="shared" si="9"/>
        <v>43.898975999999998</v>
      </c>
      <c r="AC38" s="10">
        <f t="shared" si="10"/>
        <v>65.848463999999993</v>
      </c>
    </row>
    <row r="39" spans="1:29" x14ac:dyDescent="0.25">
      <c r="A39">
        <v>371131</v>
      </c>
      <c r="B39" t="s">
        <v>18</v>
      </c>
      <c r="C39" s="10">
        <v>17.39</v>
      </c>
      <c r="D39" s="10">
        <v>16.39</v>
      </c>
      <c r="E39" s="10">
        <v>0</v>
      </c>
      <c r="F39">
        <v>138</v>
      </c>
      <c r="G39" t="s">
        <v>19</v>
      </c>
      <c r="H39" s="11">
        <v>45987</v>
      </c>
      <c r="I39" t="s">
        <v>21</v>
      </c>
      <c r="J39" s="12">
        <v>4.25</v>
      </c>
      <c r="K39" s="3">
        <v>176.72</v>
      </c>
      <c r="L39" s="3">
        <f t="shared" si="0"/>
        <v>41.581176470588233</v>
      </c>
      <c r="M39" s="13"/>
      <c r="N39">
        <f>_xlfn.XLOOKUP(G39,'Tarievensheet per persoon'!AE:AE,'Tarievensheet per persoon'!AF:AF)</f>
        <v>1.7068000000000001</v>
      </c>
      <c r="O39">
        <f>_xlfn.XLOOKUP(G39,AE:AE,'Tarievensheet per persoon'!AG:AG)</f>
        <v>1.5528</v>
      </c>
      <c r="P39">
        <f>_xlfn.XLOOKUP(G39,AE:AE,'Tarievensheet per persoon'!AH:AH)</f>
        <v>1.3391999999999999</v>
      </c>
      <c r="Q39">
        <f>_xlfn.XLOOKUP(G39,AE:AE,'Tarievensheet per persoon'!AI:AI)</f>
        <v>1.3391999999999999</v>
      </c>
      <c r="R39">
        <v>0</v>
      </c>
      <c r="S39" s="14">
        <v>2.99</v>
      </c>
      <c r="T39" s="10">
        <f t="shared" si="1"/>
        <v>32.671252000000003</v>
      </c>
      <c r="U39" s="10">
        <f t="shared" si="2"/>
        <v>41.582305360000007</v>
      </c>
      <c r="V39" s="10">
        <f t="shared" si="3"/>
        <v>42.122369200000009</v>
      </c>
      <c r="W39" s="10">
        <f t="shared" si="4"/>
        <v>54.273805600000003</v>
      </c>
      <c r="X39" s="10">
        <f t="shared" si="5"/>
        <v>59.674444000000001</v>
      </c>
      <c r="Y39" s="10">
        <f t="shared" si="6"/>
        <v>86.677636000000007</v>
      </c>
      <c r="Z39" s="10">
        <f t="shared" si="7"/>
        <v>30.729283199999998</v>
      </c>
      <c r="AA39" s="10">
        <f t="shared" si="8"/>
        <v>39.5090784</v>
      </c>
      <c r="AB39" s="10">
        <f t="shared" si="9"/>
        <v>43.898975999999998</v>
      </c>
      <c r="AC39" s="10">
        <f t="shared" si="10"/>
        <v>65.848463999999993</v>
      </c>
    </row>
    <row r="40" spans="1:29" x14ac:dyDescent="0.25">
      <c r="A40">
        <v>371131</v>
      </c>
      <c r="B40" t="s">
        <v>18</v>
      </c>
      <c r="C40" s="10">
        <v>17.39</v>
      </c>
      <c r="D40" s="10">
        <v>16.39</v>
      </c>
      <c r="E40" s="10">
        <v>0</v>
      </c>
      <c r="F40">
        <v>138</v>
      </c>
      <c r="G40" t="s">
        <v>19</v>
      </c>
      <c r="H40" s="11">
        <v>45988</v>
      </c>
      <c r="I40" t="s">
        <v>13</v>
      </c>
      <c r="J40" s="12">
        <v>3.75</v>
      </c>
      <c r="K40" s="3">
        <v>122.51</v>
      </c>
      <c r="L40" s="3">
        <f t="shared" si="0"/>
        <v>32.669333333333334</v>
      </c>
      <c r="M40" s="13"/>
      <c r="N40">
        <f>_xlfn.XLOOKUP(G40,'Tarievensheet per persoon'!AE:AE,'Tarievensheet per persoon'!AF:AF)</f>
        <v>1.7068000000000001</v>
      </c>
      <c r="O40">
        <f>_xlfn.XLOOKUP(G40,AE:AE,'Tarievensheet per persoon'!AG:AG)</f>
        <v>1.5528</v>
      </c>
      <c r="P40">
        <f>_xlfn.XLOOKUP(G40,AE:AE,'Tarievensheet per persoon'!AH:AH)</f>
        <v>1.3391999999999999</v>
      </c>
      <c r="Q40">
        <f>_xlfn.XLOOKUP(G40,AE:AE,'Tarievensheet per persoon'!AI:AI)</f>
        <v>1.3391999999999999</v>
      </c>
      <c r="R40">
        <v>0</v>
      </c>
      <c r="S40" s="14">
        <v>2.99</v>
      </c>
      <c r="T40" s="10">
        <f t="shared" si="1"/>
        <v>32.671252000000003</v>
      </c>
      <c r="U40" s="10">
        <f t="shared" si="2"/>
        <v>41.582305360000007</v>
      </c>
      <c r="V40" s="10">
        <f t="shared" si="3"/>
        <v>42.122369200000009</v>
      </c>
      <c r="W40" s="10">
        <f t="shared" si="4"/>
        <v>54.273805600000003</v>
      </c>
      <c r="X40" s="10">
        <f t="shared" si="5"/>
        <v>59.674444000000001</v>
      </c>
      <c r="Y40" s="10">
        <f t="shared" si="6"/>
        <v>86.677636000000007</v>
      </c>
      <c r="Z40" s="10">
        <f t="shared" si="7"/>
        <v>30.729283199999998</v>
      </c>
      <c r="AA40" s="10">
        <f t="shared" si="8"/>
        <v>39.5090784</v>
      </c>
      <c r="AB40" s="10">
        <f t="shared" si="9"/>
        <v>43.898975999999998</v>
      </c>
      <c r="AC40" s="10">
        <f t="shared" si="10"/>
        <v>65.848463999999993</v>
      </c>
    </row>
    <row r="41" spans="1:29" x14ac:dyDescent="0.25">
      <c r="A41">
        <v>371131</v>
      </c>
      <c r="B41" t="s">
        <v>18</v>
      </c>
      <c r="C41" s="10">
        <v>17.39</v>
      </c>
      <c r="D41" s="10">
        <v>16.39</v>
      </c>
      <c r="E41" s="10">
        <v>0</v>
      </c>
      <c r="F41">
        <v>138</v>
      </c>
      <c r="G41" t="s">
        <v>19</v>
      </c>
      <c r="H41" s="11">
        <v>45988</v>
      </c>
      <c r="I41" t="s">
        <v>21</v>
      </c>
      <c r="J41" s="12">
        <v>4.5</v>
      </c>
      <c r="K41" s="3">
        <v>187.11</v>
      </c>
      <c r="L41" s="3">
        <f t="shared" si="0"/>
        <v>41.580000000000005</v>
      </c>
      <c r="M41" s="13"/>
      <c r="N41">
        <f>_xlfn.XLOOKUP(G41,'Tarievensheet per persoon'!AE:AE,'Tarievensheet per persoon'!AF:AF)</f>
        <v>1.7068000000000001</v>
      </c>
      <c r="O41">
        <f>_xlfn.XLOOKUP(G41,AE:AE,'Tarievensheet per persoon'!AG:AG)</f>
        <v>1.5528</v>
      </c>
      <c r="P41">
        <f>_xlfn.XLOOKUP(G41,AE:AE,'Tarievensheet per persoon'!AH:AH)</f>
        <v>1.3391999999999999</v>
      </c>
      <c r="Q41">
        <f>_xlfn.XLOOKUP(G41,AE:AE,'Tarievensheet per persoon'!AI:AI)</f>
        <v>1.3391999999999999</v>
      </c>
      <c r="R41">
        <v>0</v>
      </c>
      <c r="S41" s="14">
        <v>2.99</v>
      </c>
      <c r="T41" s="10">
        <f t="shared" si="1"/>
        <v>32.671252000000003</v>
      </c>
      <c r="U41" s="10">
        <f t="shared" si="2"/>
        <v>41.582305360000007</v>
      </c>
      <c r="V41" s="10">
        <f t="shared" si="3"/>
        <v>42.122369200000009</v>
      </c>
      <c r="W41" s="10">
        <f t="shared" si="4"/>
        <v>54.273805600000003</v>
      </c>
      <c r="X41" s="10">
        <f t="shared" si="5"/>
        <v>59.674444000000001</v>
      </c>
      <c r="Y41" s="10">
        <f t="shared" si="6"/>
        <v>86.677636000000007</v>
      </c>
      <c r="Z41" s="10">
        <f t="shared" si="7"/>
        <v>30.729283199999998</v>
      </c>
      <c r="AA41" s="10">
        <f t="shared" si="8"/>
        <v>39.5090784</v>
      </c>
      <c r="AB41" s="10">
        <f t="shared" si="9"/>
        <v>43.898975999999998</v>
      </c>
      <c r="AC41" s="10">
        <f t="shared" si="10"/>
        <v>65.848463999999993</v>
      </c>
    </row>
    <row r="42" spans="1:29" x14ac:dyDescent="0.25">
      <c r="A42">
        <v>371131</v>
      </c>
      <c r="B42" t="s">
        <v>18</v>
      </c>
      <c r="C42" s="10">
        <v>17.39</v>
      </c>
      <c r="D42" s="10">
        <v>16.39</v>
      </c>
      <c r="E42" s="10">
        <v>0</v>
      </c>
      <c r="F42">
        <v>138</v>
      </c>
      <c r="G42" t="s">
        <v>19</v>
      </c>
      <c r="H42" s="11">
        <v>45989</v>
      </c>
      <c r="I42" t="s">
        <v>13</v>
      </c>
      <c r="J42" s="12">
        <v>3.75</v>
      </c>
      <c r="K42" s="3">
        <v>122.51</v>
      </c>
      <c r="L42" s="3">
        <f t="shared" si="0"/>
        <v>32.669333333333334</v>
      </c>
      <c r="M42" s="13"/>
      <c r="N42">
        <f>_xlfn.XLOOKUP(G42,'Tarievensheet per persoon'!AE:AE,'Tarievensheet per persoon'!AF:AF)</f>
        <v>1.7068000000000001</v>
      </c>
      <c r="O42">
        <f>_xlfn.XLOOKUP(G42,AE:AE,'Tarievensheet per persoon'!AG:AG)</f>
        <v>1.5528</v>
      </c>
      <c r="P42">
        <f>_xlfn.XLOOKUP(G42,AE:AE,'Tarievensheet per persoon'!AH:AH)</f>
        <v>1.3391999999999999</v>
      </c>
      <c r="Q42">
        <f>_xlfn.XLOOKUP(G42,AE:AE,'Tarievensheet per persoon'!AI:AI)</f>
        <v>1.3391999999999999</v>
      </c>
      <c r="R42">
        <v>0</v>
      </c>
      <c r="S42" s="14">
        <v>2.99</v>
      </c>
      <c r="T42" s="10">
        <f t="shared" si="1"/>
        <v>32.671252000000003</v>
      </c>
      <c r="U42" s="10">
        <f t="shared" si="2"/>
        <v>41.582305360000007</v>
      </c>
      <c r="V42" s="10">
        <f t="shared" si="3"/>
        <v>42.122369200000009</v>
      </c>
      <c r="W42" s="10">
        <f t="shared" si="4"/>
        <v>54.273805600000003</v>
      </c>
      <c r="X42" s="10">
        <f t="shared" si="5"/>
        <v>59.674444000000001</v>
      </c>
      <c r="Y42" s="10">
        <f t="shared" si="6"/>
        <v>86.677636000000007</v>
      </c>
      <c r="Z42" s="10">
        <f t="shared" si="7"/>
        <v>30.729283199999998</v>
      </c>
      <c r="AA42" s="10">
        <f t="shared" si="8"/>
        <v>39.5090784</v>
      </c>
      <c r="AB42" s="10">
        <f t="shared" si="9"/>
        <v>43.898975999999998</v>
      </c>
      <c r="AC42" s="10">
        <f t="shared" si="10"/>
        <v>65.848463999999993</v>
      </c>
    </row>
    <row r="43" spans="1:29" x14ac:dyDescent="0.25">
      <c r="A43">
        <v>371131</v>
      </c>
      <c r="B43" t="s">
        <v>18</v>
      </c>
      <c r="C43" s="10">
        <v>17.39</v>
      </c>
      <c r="D43" s="10">
        <v>16.39</v>
      </c>
      <c r="E43" s="10">
        <v>0</v>
      </c>
      <c r="F43">
        <v>138</v>
      </c>
      <c r="G43" t="s">
        <v>19</v>
      </c>
      <c r="H43" s="11">
        <v>45989</v>
      </c>
      <c r="I43" t="s">
        <v>21</v>
      </c>
      <c r="J43" s="12">
        <v>4.25</v>
      </c>
      <c r="K43" s="3">
        <v>176.72</v>
      </c>
      <c r="L43" s="3">
        <f t="shared" si="0"/>
        <v>41.581176470588233</v>
      </c>
      <c r="M43" s="13"/>
      <c r="N43">
        <f>_xlfn.XLOOKUP(G43,'Tarievensheet per persoon'!AE:AE,'Tarievensheet per persoon'!AF:AF)</f>
        <v>1.7068000000000001</v>
      </c>
      <c r="O43">
        <f>_xlfn.XLOOKUP(G43,AE:AE,'Tarievensheet per persoon'!AG:AG)</f>
        <v>1.5528</v>
      </c>
      <c r="P43">
        <f>_xlfn.XLOOKUP(G43,AE:AE,'Tarievensheet per persoon'!AH:AH)</f>
        <v>1.3391999999999999</v>
      </c>
      <c r="Q43">
        <f>_xlfn.XLOOKUP(G43,AE:AE,'Tarievensheet per persoon'!AI:AI)</f>
        <v>1.3391999999999999</v>
      </c>
      <c r="R43">
        <v>0</v>
      </c>
      <c r="S43" s="14">
        <v>2.99</v>
      </c>
      <c r="T43" s="10">
        <f t="shared" si="1"/>
        <v>32.671252000000003</v>
      </c>
      <c r="U43" s="10">
        <f t="shared" si="2"/>
        <v>41.582305360000007</v>
      </c>
      <c r="V43" s="10">
        <f t="shared" si="3"/>
        <v>42.122369200000009</v>
      </c>
      <c r="W43" s="10">
        <f t="shared" si="4"/>
        <v>54.273805600000003</v>
      </c>
      <c r="X43" s="10">
        <f t="shared" si="5"/>
        <v>59.674444000000001</v>
      </c>
      <c r="Y43" s="10">
        <f t="shared" si="6"/>
        <v>86.677636000000007</v>
      </c>
      <c r="Z43" s="10">
        <f t="shared" si="7"/>
        <v>30.729283199999998</v>
      </c>
      <c r="AA43" s="10">
        <f t="shared" si="8"/>
        <v>39.5090784</v>
      </c>
      <c r="AB43" s="10">
        <f t="shared" si="9"/>
        <v>43.898975999999998</v>
      </c>
      <c r="AC43" s="10">
        <f t="shared" si="10"/>
        <v>65.848463999999993</v>
      </c>
    </row>
    <row r="44" spans="1:29" x14ac:dyDescent="0.25">
      <c r="A44">
        <v>374420</v>
      </c>
      <c r="B44" t="s">
        <v>20</v>
      </c>
      <c r="C44" s="10">
        <v>16.7</v>
      </c>
      <c r="D44" s="10">
        <v>15.74</v>
      </c>
      <c r="E44" s="10">
        <v>0</v>
      </c>
      <c r="F44">
        <v>262</v>
      </c>
      <c r="G44" t="s">
        <v>12</v>
      </c>
      <c r="H44" s="11">
        <v>45985</v>
      </c>
      <c r="I44" t="s">
        <v>13</v>
      </c>
      <c r="J44" s="12">
        <v>7</v>
      </c>
      <c r="K44" s="3">
        <v>213.78</v>
      </c>
      <c r="L44" s="3">
        <f t="shared" si="0"/>
        <v>30.54</v>
      </c>
      <c r="M44" s="13"/>
      <c r="N44">
        <f>_xlfn.XLOOKUP(G44,'Tarievensheet per persoon'!AE:AE,'Tarievensheet per persoon'!AF:AF)</f>
        <v>1.6496999999999999</v>
      </c>
      <c r="O44">
        <f>_xlfn.XLOOKUP(G44,AE:AE,'Tarievensheet per persoon'!AG:AG)</f>
        <v>1.5022</v>
      </c>
      <c r="P44">
        <f>_xlfn.XLOOKUP(G44,AE:AE,'Tarievensheet per persoon'!AH:AH)</f>
        <v>1.2898000000000001</v>
      </c>
      <c r="Q44">
        <f>_xlfn.XLOOKUP(G44,AE:AE,'Tarievensheet per persoon'!AI:AI)</f>
        <v>1.2898000000000001</v>
      </c>
      <c r="R44">
        <v>0</v>
      </c>
      <c r="S44" s="14">
        <v>2.99</v>
      </c>
      <c r="T44" s="10">
        <f t="shared" si="1"/>
        <v>30.539989999999996</v>
      </c>
      <c r="U44" s="10">
        <f t="shared" si="2"/>
        <v>38.818614199999999</v>
      </c>
      <c r="V44" s="10">
        <f t="shared" si="3"/>
        <v>39.320349</v>
      </c>
      <c r="W44" s="10">
        <f t="shared" si="4"/>
        <v>50.609381999999997</v>
      </c>
      <c r="X44" s="10">
        <f t="shared" si="5"/>
        <v>55.626729999999995</v>
      </c>
      <c r="Y44" s="10">
        <f t="shared" si="6"/>
        <v>80.713470000000001</v>
      </c>
      <c r="Z44" s="10">
        <f t="shared" si="7"/>
        <v>28.4220328</v>
      </c>
      <c r="AA44" s="10">
        <f t="shared" si="8"/>
        <v>36.542613600000003</v>
      </c>
      <c r="AB44" s="10">
        <f t="shared" si="9"/>
        <v>40.602904000000002</v>
      </c>
      <c r="AC44" s="10">
        <f t="shared" si="10"/>
        <v>60.904356</v>
      </c>
    </row>
    <row r="45" spans="1:29" x14ac:dyDescent="0.25">
      <c r="A45">
        <v>374420</v>
      </c>
      <c r="B45" t="s">
        <v>20</v>
      </c>
      <c r="C45" s="10">
        <v>16.7</v>
      </c>
      <c r="D45" s="10">
        <v>15.74</v>
      </c>
      <c r="E45" s="10">
        <v>0</v>
      </c>
      <c r="F45">
        <v>262</v>
      </c>
      <c r="G45" t="s">
        <v>12</v>
      </c>
      <c r="H45" s="11">
        <v>45986</v>
      </c>
      <c r="I45" t="s">
        <v>13</v>
      </c>
      <c r="J45" s="12">
        <v>8</v>
      </c>
      <c r="K45" s="3">
        <v>244.32</v>
      </c>
      <c r="L45" s="3">
        <f t="shared" si="0"/>
        <v>30.54</v>
      </c>
      <c r="M45" s="13"/>
      <c r="N45">
        <f>_xlfn.XLOOKUP(G45,'Tarievensheet per persoon'!AE:AE,'Tarievensheet per persoon'!AF:AF)</f>
        <v>1.6496999999999999</v>
      </c>
      <c r="O45">
        <f>_xlfn.XLOOKUP(G45,AE:AE,'Tarievensheet per persoon'!AG:AG)</f>
        <v>1.5022</v>
      </c>
      <c r="P45">
        <f>_xlfn.XLOOKUP(G45,AE:AE,'Tarievensheet per persoon'!AH:AH)</f>
        <v>1.2898000000000001</v>
      </c>
      <c r="Q45">
        <f>_xlfn.XLOOKUP(G45,AE:AE,'Tarievensheet per persoon'!AI:AI)</f>
        <v>1.2898000000000001</v>
      </c>
      <c r="R45">
        <v>0</v>
      </c>
      <c r="S45" s="14">
        <v>2.99</v>
      </c>
      <c r="T45" s="10">
        <f t="shared" si="1"/>
        <v>30.539989999999996</v>
      </c>
      <c r="U45" s="10">
        <f t="shared" si="2"/>
        <v>38.818614199999999</v>
      </c>
      <c r="V45" s="10">
        <f t="shared" si="3"/>
        <v>39.320349</v>
      </c>
      <c r="W45" s="10">
        <f t="shared" si="4"/>
        <v>50.609381999999997</v>
      </c>
      <c r="X45" s="10">
        <f t="shared" si="5"/>
        <v>55.626729999999995</v>
      </c>
      <c r="Y45" s="10">
        <f t="shared" si="6"/>
        <v>80.713470000000001</v>
      </c>
      <c r="Z45" s="10">
        <f t="shared" si="7"/>
        <v>28.4220328</v>
      </c>
      <c r="AA45" s="10">
        <f t="shared" si="8"/>
        <v>36.542613600000003</v>
      </c>
      <c r="AB45" s="10">
        <f t="shared" si="9"/>
        <v>40.602904000000002</v>
      </c>
      <c r="AC45" s="10">
        <f t="shared" si="10"/>
        <v>60.904356</v>
      </c>
    </row>
    <row r="46" spans="1:29" x14ac:dyDescent="0.25">
      <c r="A46">
        <v>374420</v>
      </c>
      <c r="B46" t="s">
        <v>20</v>
      </c>
      <c r="C46" s="10">
        <v>16.7</v>
      </c>
      <c r="D46" s="10">
        <v>15.74</v>
      </c>
      <c r="E46" s="10">
        <v>0</v>
      </c>
      <c r="F46">
        <v>262</v>
      </c>
      <c r="G46" t="s">
        <v>12</v>
      </c>
      <c r="H46" s="11">
        <v>45987</v>
      </c>
      <c r="I46" t="s">
        <v>13</v>
      </c>
      <c r="J46" s="12">
        <v>8</v>
      </c>
      <c r="K46" s="3">
        <v>244.32</v>
      </c>
      <c r="L46" s="3">
        <f t="shared" si="0"/>
        <v>30.54</v>
      </c>
      <c r="M46" s="13"/>
      <c r="N46">
        <f>_xlfn.XLOOKUP(G46,'Tarievensheet per persoon'!AE:AE,'Tarievensheet per persoon'!AF:AF)</f>
        <v>1.6496999999999999</v>
      </c>
      <c r="O46">
        <f>_xlfn.XLOOKUP(G46,AE:AE,'Tarievensheet per persoon'!AG:AG)</f>
        <v>1.5022</v>
      </c>
      <c r="P46">
        <f>_xlfn.XLOOKUP(G46,AE:AE,'Tarievensheet per persoon'!AH:AH)</f>
        <v>1.2898000000000001</v>
      </c>
      <c r="Q46">
        <f>_xlfn.XLOOKUP(G46,AE:AE,'Tarievensheet per persoon'!AI:AI)</f>
        <v>1.2898000000000001</v>
      </c>
      <c r="R46">
        <v>0</v>
      </c>
      <c r="S46" s="14">
        <v>2.99</v>
      </c>
      <c r="T46" s="10">
        <f t="shared" si="1"/>
        <v>30.539989999999996</v>
      </c>
      <c r="U46" s="10">
        <f t="shared" si="2"/>
        <v>38.818614199999999</v>
      </c>
      <c r="V46" s="10">
        <f t="shared" si="3"/>
        <v>39.320349</v>
      </c>
      <c r="W46" s="10">
        <f t="shared" si="4"/>
        <v>50.609381999999997</v>
      </c>
      <c r="X46" s="10">
        <f t="shared" si="5"/>
        <v>55.626729999999995</v>
      </c>
      <c r="Y46" s="10">
        <f t="shared" si="6"/>
        <v>80.713470000000001</v>
      </c>
      <c r="Z46" s="10">
        <f t="shared" si="7"/>
        <v>28.4220328</v>
      </c>
      <c r="AA46" s="10">
        <f t="shared" si="8"/>
        <v>36.542613600000003</v>
      </c>
      <c r="AB46" s="10">
        <f t="shared" si="9"/>
        <v>40.602904000000002</v>
      </c>
      <c r="AC46" s="10">
        <f t="shared" si="10"/>
        <v>60.904356</v>
      </c>
    </row>
    <row r="47" spans="1:29" x14ac:dyDescent="0.25">
      <c r="A47">
        <v>374420</v>
      </c>
      <c r="B47" t="s">
        <v>20</v>
      </c>
      <c r="C47" s="10">
        <v>16.7</v>
      </c>
      <c r="D47" s="10">
        <v>15.74</v>
      </c>
      <c r="E47" s="10">
        <v>0</v>
      </c>
      <c r="F47">
        <v>262</v>
      </c>
      <c r="G47" t="s">
        <v>12</v>
      </c>
      <c r="H47" s="11">
        <v>45988</v>
      </c>
      <c r="I47" t="s">
        <v>13</v>
      </c>
      <c r="J47" s="12">
        <v>8.25</v>
      </c>
      <c r="K47" s="3">
        <v>251.96</v>
      </c>
      <c r="L47" s="3">
        <f t="shared" si="0"/>
        <v>30.540606060606063</v>
      </c>
      <c r="M47" s="13"/>
      <c r="N47">
        <f>_xlfn.XLOOKUP(G47,'Tarievensheet per persoon'!AE:AE,'Tarievensheet per persoon'!AF:AF)</f>
        <v>1.6496999999999999</v>
      </c>
      <c r="O47">
        <f>_xlfn.XLOOKUP(G47,AE:AE,'Tarievensheet per persoon'!AG:AG)</f>
        <v>1.5022</v>
      </c>
      <c r="P47">
        <f>_xlfn.XLOOKUP(G47,AE:AE,'Tarievensheet per persoon'!AH:AH)</f>
        <v>1.2898000000000001</v>
      </c>
      <c r="Q47">
        <f>_xlfn.XLOOKUP(G47,AE:AE,'Tarievensheet per persoon'!AI:AI)</f>
        <v>1.2898000000000001</v>
      </c>
      <c r="R47">
        <v>0</v>
      </c>
      <c r="S47" s="14">
        <v>2.99</v>
      </c>
      <c r="T47" s="10">
        <f t="shared" si="1"/>
        <v>30.539989999999996</v>
      </c>
      <c r="U47" s="10">
        <f t="shared" si="2"/>
        <v>38.818614199999999</v>
      </c>
      <c r="V47" s="10">
        <f t="shared" si="3"/>
        <v>39.320349</v>
      </c>
      <c r="W47" s="10">
        <f t="shared" si="4"/>
        <v>50.609381999999997</v>
      </c>
      <c r="X47" s="10">
        <f t="shared" si="5"/>
        <v>55.626729999999995</v>
      </c>
      <c r="Y47" s="10">
        <f t="shared" si="6"/>
        <v>80.713470000000001</v>
      </c>
      <c r="Z47" s="10">
        <f t="shared" si="7"/>
        <v>28.4220328</v>
      </c>
      <c r="AA47" s="10">
        <f t="shared" si="8"/>
        <v>36.542613600000003</v>
      </c>
      <c r="AB47" s="10">
        <f t="shared" si="9"/>
        <v>40.602904000000002</v>
      </c>
      <c r="AC47" s="10">
        <f t="shared" si="10"/>
        <v>60.904356</v>
      </c>
    </row>
    <row r="48" spans="1:29" x14ac:dyDescent="0.25">
      <c r="A48">
        <v>374420</v>
      </c>
      <c r="B48" t="s">
        <v>20</v>
      </c>
      <c r="C48" s="10">
        <v>16.7</v>
      </c>
      <c r="D48" s="10">
        <v>15.74</v>
      </c>
      <c r="E48" s="10">
        <v>0</v>
      </c>
      <c r="F48">
        <v>262</v>
      </c>
      <c r="G48" t="s">
        <v>12</v>
      </c>
      <c r="H48" s="11">
        <v>45989</v>
      </c>
      <c r="I48" t="s">
        <v>13</v>
      </c>
      <c r="J48" s="12">
        <v>8.5</v>
      </c>
      <c r="K48" s="3">
        <v>259.58999999999997</v>
      </c>
      <c r="L48" s="3">
        <f t="shared" si="0"/>
        <v>30.539999999999996</v>
      </c>
      <c r="M48" s="13"/>
      <c r="N48">
        <f>_xlfn.XLOOKUP(G48,'Tarievensheet per persoon'!AE:AE,'Tarievensheet per persoon'!AF:AF)</f>
        <v>1.6496999999999999</v>
      </c>
      <c r="O48">
        <f>_xlfn.XLOOKUP(G48,AE:AE,'Tarievensheet per persoon'!AG:AG)</f>
        <v>1.5022</v>
      </c>
      <c r="P48">
        <f>_xlfn.XLOOKUP(G48,AE:AE,'Tarievensheet per persoon'!AH:AH)</f>
        <v>1.2898000000000001</v>
      </c>
      <c r="Q48">
        <f>_xlfn.XLOOKUP(G48,AE:AE,'Tarievensheet per persoon'!AI:AI)</f>
        <v>1.2898000000000001</v>
      </c>
      <c r="R48">
        <v>0</v>
      </c>
      <c r="S48" s="14">
        <v>2.99</v>
      </c>
      <c r="T48" s="10">
        <f t="shared" si="1"/>
        <v>30.539989999999996</v>
      </c>
      <c r="U48" s="10">
        <f t="shared" si="2"/>
        <v>38.818614199999999</v>
      </c>
      <c r="V48" s="10">
        <f t="shared" si="3"/>
        <v>39.320349</v>
      </c>
      <c r="W48" s="10">
        <f t="shared" si="4"/>
        <v>50.609381999999997</v>
      </c>
      <c r="X48" s="10">
        <f t="shared" si="5"/>
        <v>55.626729999999995</v>
      </c>
      <c r="Y48" s="10">
        <f t="shared" si="6"/>
        <v>80.713470000000001</v>
      </c>
      <c r="Z48" s="10">
        <f t="shared" si="7"/>
        <v>28.4220328</v>
      </c>
      <c r="AA48" s="10">
        <f t="shared" si="8"/>
        <v>36.542613600000003</v>
      </c>
      <c r="AB48" s="10">
        <f t="shared" si="9"/>
        <v>40.602904000000002</v>
      </c>
      <c r="AC48" s="10">
        <f t="shared" si="10"/>
        <v>60.904356</v>
      </c>
    </row>
    <row r="49" spans="1:29" x14ac:dyDescent="0.25">
      <c r="A49">
        <v>374526</v>
      </c>
      <c r="B49" t="s">
        <v>26</v>
      </c>
      <c r="C49" s="10">
        <v>17.21</v>
      </c>
      <c r="D49" s="10">
        <v>16.22</v>
      </c>
      <c r="E49" s="10">
        <v>0</v>
      </c>
      <c r="F49">
        <v>258</v>
      </c>
      <c r="G49" t="s">
        <v>12</v>
      </c>
      <c r="H49" s="11">
        <v>45985</v>
      </c>
      <c r="I49" t="s">
        <v>13</v>
      </c>
      <c r="J49" s="12">
        <v>5.75</v>
      </c>
      <c r="K49" s="3">
        <v>180.44</v>
      </c>
      <c r="L49" s="3">
        <f t="shared" si="0"/>
        <v>31.380869565217392</v>
      </c>
      <c r="M49" s="13"/>
      <c r="N49">
        <f>_xlfn.XLOOKUP(G49,'Tarievensheet per persoon'!AE:AE,'Tarievensheet per persoon'!AF:AF)</f>
        <v>1.6496999999999999</v>
      </c>
      <c r="O49">
        <f>_xlfn.XLOOKUP(G49,AE:AE,'Tarievensheet per persoon'!AG:AG)</f>
        <v>1.5022</v>
      </c>
      <c r="P49">
        <f>_xlfn.XLOOKUP(G49,AE:AE,'Tarievensheet per persoon'!AH:AH)</f>
        <v>1.2898000000000001</v>
      </c>
      <c r="Q49">
        <f>_xlfn.XLOOKUP(G49,AE:AE,'Tarievensheet per persoon'!AI:AI)</f>
        <v>1.2898000000000001</v>
      </c>
      <c r="R49">
        <v>0</v>
      </c>
      <c r="S49" s="14">
        <v>2.99</v>
      </c>
      <c r="T49" s="10">
        <f t="shared" si="1"/>
        <v>31.381337000000002</v>
      </c>
      <c r="U49" s="10">
        <f t="shared" si="2"/>
        <v>39.912781460000005</v>
      </c>
      <c r="V49" s="10">
        <f t="shared" si="3"/>
        <v>40.429838700000005</v>
      </c>
      <c r="W49" s="10">
        <f t="shared" si="4"/>
        <v>52.063626600000006</v>
      </c>
      <c r="X49" s="10">
        <f t="shared" si="5"/>
        <v>57.234199000000004</v>
      </c>
      <c r="Y49" s="10">
        <f t="shared" si="6"/>
        <v>83.087061000000006</v>
      </c>
      <c r="Z49" s="10">
        <f t="shared" si="7"/>
        <v>29.288778399999998</v>
      </c>
      <c r="AA49" s="10">
        <f t="shared" si="8"/>
        <v>37.657000799999999</v>
      </c>
      <c r="AB49" s="10">
        <f t="shared" si="9"/>
        <v>41.841111999999995</v>
      </c>
      <c r="AC49" s="10">
        <f t="shared" si="10"/>
        <v>62.761668</v>
      </c>
    </row>
    <row r="50" spans="1:29" x14ac:dyDescent="0.25">
      <c r="A50">
        <v>374526</v>
      </c>
      <c r="B50" t="s">
        <v>26</v>
      </c>
      <c r="C50" s="10">
        <v>17.21</v>
      </c>
      <c r="D50" s="10">
        <v>16.22</v>
      </c>
      <c r="E50" s="10">
        <v>0</v>
      </c>
      <c r="F50">
        <v>258</v>
      </c>
      <c r="G50" t="s">
        <v>12</v>
      </c>
      <c r="H50" s="11">
        <v>45986</v>
      </c>
      <c r="I50" t="s">
        <v>13</v>
      </c>
      <c r="J50" s="12">
        <v>8.25</v>
      </c>
      <c r="K50" s="3">
        <v>258.89</v>
      </c>
      <c r="L50" s="3">
        <f t="shared" si="0"/>
        <v>31.380606060606059</v>
      </c>
      <c r="M50" s="13"/>
      <c r="N50">
        <f>_xlfn.XLOOKUP(G50,'Tarievensheet per persoon'!AE:AE,'Tarievensheet per persoon'!AF:AF)</f>
        <v>1.6496999999999999</v>
      </c>
      <c r="O50">
        <f>_xlfn.XLOOKUP(G50,AE:AE,'Tarievensheet per persoon'!AG:AG)</f>
        <v>1.5022</v>
      </c>
      <c r="P50">
        <f>_xlfn.XLOOKUP(G50,AE:AE,'Tarievensheet per persoon'!AH:AH)</f>
        <v>1.2898000000000001</v>
      </c>
      <c r="Q50">
        <f>_xlfn.XLOOKUP(G50,AE:AE,'Tarievensheet per persoon'!AI:AI)</f>
        <v>1.2898000000000001</v>
      </c>
      <c r="R50">
        <v>0</v>
      </c>
      <c r="S50" s="14">
        <v>2.99</v>
      </c>
      <c r="T50" s="10">
        <f t="shared" si="1"/>
        <v>31.381337000000002</v>
      </c>
      <c r="U50" s="10">
        <f t="shared" si="2"/>
        <v>39.912781460000005</v>
      </c>
      <c r="V50" s="10">
        <f t="shared" si="3"/>
        <v>40.429838700000005</v>
      </c>
      <c r="W50" s="10">
        <f t="shared" si="4"/>
        <v>52.063626600000006</v>
      </c>
      <c r="X50" s="10">
        <f t="shared" si="5"/>
        <v>57.234199000000004</v>
      </c>
      <c r="Y50" s="10">
        <f t="shared" si="6"/>
        <v>83.087061000000006</v>
      </c>
      <c r="Z50" s="10">
        <f t="shared" si="7"/>
        <v>29.288778399999998</v>
      </c>
      <c r="AA50" s="10">
        <f t="shared" si="8"/>
        <v>37.657000799999999</v>
      </c>
      <c r="AB50" s="10">
        <f t="shared" si="9"/>
        <v>41.841111999999995</v>
      </c>
      <c r="AC50" s="10">
        <f t="shared" si="10"/>
        <v>62.761668</v>
      </c>
    </row>
    <row r="51" spans="1:29" x14ac:dyDescent="0.25">
      <c r="A51">
        <v>374526</v>
      </c>
      <c r="B51" t="s">
        <v>26</v>
      </c>
      <c r="C51" s="10">
        <v>17.21</v>
      </c>
      <c r="D51" s="10">
        <v>16.22</v>
      </c>
      <c r="E51" s="10">
        <v>0</v>
      </c>
      <c r="F51">
        <v>258</v>
      </c>
      <c r="G51" t="s">
        <v>12</v>
      </c>
      <c r="H51" s="11">
        <v>45987</v>
      </c>
      <c r="I51" t="s">
        <v>13</v>
      </c>
      <c r="J51" s="12">
        <v>8</v>
      </c>
      <c r="K51" s="3">
        <v>251.04</v>
      </c>
      <c r="L51" s="3">
        <f t="shared" si="0"/>
        <v>31.38</v>
      </c>
      <c r="M51" s="13"/>
      <c r="N51">
        <f>_xlfn.XLOOKUP(G51,'Tarievensheet per persoon'!AE:AE,'Tarievensheet per persoon'!AF:AF)</f>
        <v>1.6496999999999999</v>
      </c>
      <c r="O51">
        <f>_xlfn.XLOOKUP(G51,AE:AE,'Tarievensheet per persoon'!AG:AG)</f>
        <v>1.5022</v>
      </c>
      <c r="P51">
        <f>_xlfn.XLOOKUP(G51,AE:AE,'Tarievensheet per persoon'!AH:AH)</f>
        <v>1.2898000000000001</v>
      </c>
      <c r="Q51">
        <f>_xlfn.XLOOKUP(G51,AE:AE,'Tarievensheet per persoon'!AI:AI)</f>
        <v>1.2898000000000001</v>
      </c>
      <c r="R51">
        <v>0</v>
      </c>
      <c r="S51" s="14">
        <v>2.99</v>
      </c>
      <c r="T51" s="10">
        <f t="shared" si="1"/>
        <v>31.381337000000002</v>
      </c>
      <c r="U51" s="10">
        <f t="shared" si="2"/>
        <v>39.912781460000005</v>
      </c>
      <c r="V51" s="10">
        <f t="shared" si="3"/>
        <v>40.429838700000005</v>
      </c>
      <c r="W51" s="10">
        <f t="shared" si="4"/>
        <v>52.063626600000006</v>
      </c>
      <c r="X51" s="10">
        <f t="shared" si="5"/>
        <v>57.234199000000004</v>
      </c>
      <c r="Y51" s="10">
        <f t="shared" si="6"/>
        <v>83.087061000000006</v>
      </c>
      <c r="Z51" s="10">
        <f t="shared" si="7"/>
        <v>29.288778399999998</v>
      </c>
      <c r="AA51" s="10">
        <f t="shared" si="8"/>
        <v>37.657000799999999</v>
      </c>
      <c r="AB51" s="10">
        <f t="shared" si="9"/>
        <v>41.841111999999995</v>
      </c>
      <c r="AC51" s="10">
        <f t="shared" si="10"/>
        <v>62.761668</v>
      </c>
    </row>
    <row r="52" spans="1:29" x14ac:dyDescent="0.25">
      <c r="A52">
        <v>374526</v>
      </c>
      <c r="B52" t="s">
        <v>26</v>
      </c>
      <c r="C52" s="10">
        <v>17.21</v>
      </c>
      <c r="D52" s="10">
        <v>16.22</v>
      </c>
      <c r="E52" s="10">
        <v>0</v>
      </c>
      <c r="F52">
        <v>258</v>
      </c>
      <c r="G52" t="s">
        <v>12</v>
      </c>
      <c r="H52" s="11">
        <v>45988</v>
      </c>
      <c r="I52" t="s">
        <v>13</v>
      </c>
      <c r="J52" s="12">
        <v>8</v>
      </c>
      <c r="K52" s="3">
        <v>251.04</v>
      </c>
      <c r="L52" s="3">
        <f t="shared" si="0"/>
        <v>31.38</v>
      </c>
      <c r="M52" s="13"/>
      <c r="N52">
        <f>_xlfn.XLOOKUP(G52,'Tarievensheet per persoon'!AE:AE,'Tarievensheet per persoon'!AF:AF)</f>
        <v>1.6496999999999999</v>
      </c>
      <c r="O52">
        <f>_xlfn.XLOOKUP(G52,AE:AE,'Tarievensheet per persoon'!AG:AG)</f>
        <v>1.5022</v>
      </c>
      <c r="P52">
        <f>_xlfn.XLOOKUP(G52,AE:AE,'Tarievensheet per persoon'!AH:AH)</f>
        <v>1.2898000000000001</v>
      </c>
      <c r="Q52">
        <f>_xlfn.XLOOKUP(G52,AE:AE,'Tarievensheet per persoon'!AI:AI)</f>
        <v>1.2898000000000001</v>
      </c>
      <c r="R52">
        <v>0</v>
      </c>
      <c r="S52" s="14">
        <v>2.99</v>
      </c>
      <c r="T52" s="10">
        <f t="shared" si="1"/>
        <v>31.381337000000002</v>
      </c>
      <c r="U52" s="10">
        <f t="shared" si="2"/>
        <v>39.912781460000005</v>
      </c>
      <c r="V52" s="10">
        <f t="shared" si="3"/>
        <v>40.429838700000005</v>
      </c>
      <c r="W52" s="10">
        <f t="shared" si="4"/>
        <v>52.063626600000006</v>
      </c>
      <c r="X52" s="10">
        <f t="shared" si="5"/>
        <v>57.234199000000004</v>
      </c>
      <c r="Y52" s="10">
        <f t="shared" si="6"/>
        <v>83.087061000000006</v>
      </c>
      <c r="Z52" s="10">
        <f t="shared" si="7"/>
        <v>29.288778399999998</v>
      </c>
      <c r="AA52" s="10">
        <f t="shared" si="8"/>
        <v>37.657000799999999</v>
      </c>
      <c r="AB52" s="10">
        <f t="shared" si="9"/>
        <v>41.841111999999995</v>
      </c>
      <c r="AC52" s="10">
        <f t="shared" si="10"/>
        <v>62.761668</v>
      </c>
    </row>
    <row r="53" spans="1:29" x14ac:dyDescent="0.25">
      <c r="A53">
        <v>374526</v>
      </c>
      <c r="B53" t="s">
        <v>26</v>
      </c>
      <c r="C53" s="10">
        <v>17.21</v>
      </c>
      <c r="D53" s="10">
        <v>16.22</v>
      </c>
      <c r="E53" s="10">
        <v>0</v>
      </c>
      <c r="F53">
        <v>258</v>
      </c>
      <c r="G53" t="s">
        <v>12</v>
      </c>
      <c r="H53" s="11">
        <v>45989</v>
      </c>
      <c r="I53" t="s">
        <v>13</v>
      </c>
      <c r="J53" s="12">
        <v>8</v>
      </c>
      <c r="K53" s="3">
        <v>251.04</v>
      </c>
      <c r="L53" s="3">
        <f t="shared" si="0"/>
        <v>31.38</v>
      </c>
      <c r="M53" s="13"/>
      <c r="N53">
        <f>_xlfn.XLOOKUP(G53,'Tarievensheet per persoon'!AE:AE,'Tarievensheet per persoon'!AF:AF)</f>
        <v>1.6496999999999999</v>
      </c>
      <c r="O53">
        <f>_xlfn.XLOOKUP(G53,AE:AE,'Tarievensheet per persoon'!AG:AG)</f>
        <v>1.5022</v>
      </c>
      <c r="P53">
        <f>_xlfn.XLOOKUP(G53,AE:AE,'Tarievensheet per persoon'!AH:AH)</f>
        <v>1.2898000000000001</v>
      </c>
      <c r="Q53">
        <f>_xlfn.XLOOKUP(G53,AE:AE,'Tarievensheet per persoon'!AI:AI)</f>
        <v>1.2898000000000001</v>
      </c>
      <c r="R53">
        <v>0</v>
      </c>
      <c r="S53" s="14">
        <v>2.99</v>
      </c>
      <c r="T53" s="10">
        <f t="shared" si="1"/>
        <v>31.381337000000002</v>
      </c>
      <c r="U53" s="10">
        <f t="shared" si="2"/>
        <v>39.912781460000005</v>
      </c>
      <c r="V53" s="10">
        <f t="shared" si="3"/>
        <v>40.429838700000005</v>
      </c>
      <c r="W53" s="10">
        <f t="shared" si="4"/>
        <v>52.063626600000006</v>
      </c>
      <c r="X53" s="10">
        <f t="shared" si="5"/>
        <v>57.234199000000004</v>
      </c>
      <c r="Y53" s="10">
        <f t="shared" si="6"/>
        <v>83.087061000000006</v>
      </c>
      <c r="Z53" s="10">
        <f t="shared" si="7"/>
        <v>29.288778399999998</v>
      </c>
      <c r="AA53" s="10">
        <f t="shared" si="8"/>
        <v>37.657000799999999</v>
      </c>
      <c r="AB53" s="10">
        <f t="shared" si="9"/>
        <v>41.841111999999995</v>
      </c>
      <c r="AC53" s="10">
        <f t="shared" si="10"/>
        <v>62.761668</v>
      </c>
    </row>
    <row r="54" spans="1:29" x14ac:dyDescent="0.25">
      <c r="A54">
        <v>374549</v>
      </c>
      <c r="B54" t="s">
        <v>27</v>
      </c>
      <c r="C54" s="10">
        <v>16.510000000000002</v>
      </c>
      <c r="D54" s="10">
        <v>15.56</v>
      </c>
      <c r="E54" s="10">
        <v>0</v>
      </c>
      <c r="F54">
        <v>198</v>
      </c>
      <c r="G54" t="s">
        <v>19</v>
      </c>
      <c r="H54" s="11">
        <v>45985</v>
      </c>
      <c r="I54" t="s">
        <v>13</v>
      </c>
      <c r="J54" s="12">
        <v>8.5</v>
      </c>
      <c r="K54" s="3">
        <v>264.95</v>
      </c>
      <c r="L54" s="3">
        <f t="shared" si="0"/>
        <v>31.170588235294115</v>
      </c>
      <c r="M54" s="13"/>
      <c r="N54">
        <f>_xlfn.XLOOKUP(G54,'Tarievensheet per persoon'!AE:AE,'Tarievensheet per persoon'!AF:AF)</f>
        <v>1.7068000000000001</v>
      </c>
      <c r="O54">
        <f>_xlfn.XLOOKUP(G54,AE:AE,'Tarievensheet per persoon'!AG:AG)</f>
        <v>1.5528</v>
      </c>
      <c r="P54">
        <f>_xlfn.XLOOKUP(G54,AE:AE,'Tarievensheet per persoon'!AH:AH)</f>
        <v>1.3391999999999999</v>
      </c>
      <c r="Q54">
        <f>_xlfn.XLOOKUP(G54,AE:AE,'Tarievensheet per persoon'!AI:AI)</f>
        <v>1.3391999999999999</v>
      </c>
      <c r="R54">
        <v>0</v>
      </c>
      <c r="S54" s="14">
        <v>2.99</v>
      </c>
      <c r="T54" s="10">
        <f t="shared" si="1"/>
        <v>31.169268000000002</v>
      </c>
      <c r="U54" s="10">
        <f t="shared" si="2"/>
        <v>39.629388240000004</v>
      </c>
      <c r="V54" s="10">
        <f t="shared" si="3"/>
        <v>40.142122800000003</v>
      </c>
      <c r="W54" s="10">
        <f t="shared" si="4"/>
        <v>51.678650400000009</v>
      </c>
      <c r="X54" s="10">
        <f t="shared" si="5"/>
        <v>56.805996000000007</v>
      </c>
      <c r="Y54" s="10">
        <f t="shared" si="6"/>
        <v>82.442723999999998</v>
      </c>
      <c r="Z54" s="10">
        <f t="shared" si="7"/>
        <v>29.173132799999998</v>
      </c>
      <c r="AA54" s="10">
        <f t="shared" si="8"/>
        <v>37.508313600000001</v>
      </c>
      <c r="AB54" s="10">
        <f t="shared" si="9"/>
        <v>41.675904000000003</v>
      </c>
      <c r="AC54" s="10">
        <f t="shared" si="10"/>
        <v>62.513855999999997</v>
      </c>
    </row>
    <row r="55" spans="1:29" x14ac:dyDescent="0.25">
      <c r="A55">
        <v>374549</v>
      </c>
      <c r="B55" t="s">
        <v>27</v>
      </c>
      <c r="C55" s="10">
        <v>16.510000000000002</v>
      </c>
      <c r="D55" s="10">
        <v>15.56</v>
      </c>
      <c r="E55" s="10">
        <v>0</v>
      </c>
      <c r="F55">
        <v>198</v>
      </c>
      <c r="G55" t="s">
        <v>19</v>
      </c>
      <c r="H55" s="11">
        <v>45986</v>
      </c>
      <c r="I55" t="s">
        <v>13</v>
      </c>
      <c r="J55" s="12">
        <v>8.5</v>
      </c>
      <c r="K55" s="3">
        <v>264.95</v>
      </c>
      <c r="L55" s="3">
        <f t="shared" si="0"/>
        <v>31.170588235294115</v>
      </c>
      <c r="M55" s="13"/>
      <c r="N55">
        <f>_xlfn.XLOOKUP(G55,'Tarievensheet per persoon'!AE:AE,'Tarievensheet per persoon'!AF:AF)</f>
        <v>1.7068000000000001</v>
      </c>
      <c r="O55">
        <f>_xlfn.XLOOKUP(G55,AE:AE,'Tarievensheet per persoon'!AG:AG)</f>
        <v>1.5528</v>
      </c>
      <c r="P55">
        <f>_xlfn.XLOOKUP(G55,AE:AE,'Tarievensheet per persoon'!AH:AH)</f>
        <v>1.3391999999999999</v>
      </c>
      <c r="Q55">
        <f>_xlfn.XLOOKUP(G55,AE:AE,'Tarievensheet per persoon'!AI:AI)</f>
        <v>1.3391999999999999</v>
      </c>
      <c r="R55">
        <v>0</v>
      </c>
      <c r="S55" s="14">
        <v>2.99</v>
      </c>
      <c r="T55" s="10">
        <f t="shared" si="1"/>
        <v>31.169268000000002</v>
      </c>
      <c r="U55" s="10">
        <f t="shared" si="2"/>
        <v>39.629388240000004</v>
      </c>
      <c r="V55" s="10">
        <f t="shared" si="3"/>
        <v>40.142122800000003</v>
      </c>
      <c r="W55" s="10">
        <f t="shared" si="4"/>
        <v>51.678650400000009</v>
      </c>
      <c r="X55" s="10">
        <f t="shared" si="5"/>
        <v>56.805996000000007</v>
      </c>
      <c r="Y55" s="10">
        <f t="shared" si="6"/>
        <v>82.442723999999998</v>
      </c>
      <c r="Z55" s="10">
        <f t="shared" si="7"/>
        <v>29.173132799999998</v>
      </c>
      <c r="AA55" s="10">
        <f t="shared" si="8"/>
        <v>37.508313600000001</v>
      </c>
      <c r="AB55" s="10">
        <f t="shared" si="9"/>
        <v>41.675904000000003</v>
      </c>
      <c r="AC55" s="10">
        <f t="shared" si="10"/>
        <v>62.513855999999997</v>
      </c>
    </row>
    <row r="56" spans="1:29" x14ac:dyDescent="0.25">
      <c r="A56">
        <v>374549</v>
      </c>
      <c r="B56" t="s">
        <v>27</v>
      </c>
      <c r="C56" s="10">
        <v>16.510000000000002</v>
      </c>
      <c r="D56" s="10">
        <v>15.56</v>
      </c>
      <c r="E56" s="10">
        <v>0</v>
      </c>
      <c r="F56">
        <v>198</v>
      </c>
      <c r="G56" t="s">
        <v>19</v>
      </c>
      <c r="H56" s="11">
        <v>45988</v>
      </c>
      <c r="I56" t="s">
        <v>13</v>
      </c>
      <c r="J56" s="12">
        <v>8.5</v>
      </c>
      <c r="K56" s="3">
        <v>264.95</v>
      </c>
      <c r="L56" s="3">
        <f t="shared" si="0"/>
        <v>31.170588235294115</v>
      </c>
      <c r="M56" s="13"/>
      <c r="N56">
        <f>_xlfn.XLOOKUP(G56,'Tarievensheet per persoon'!AE:AE,'Tarievensheet per persoon'!AF:AF)</f>
        <v>1.7068000000000001</v>
      </c>
      <c r="O56">
        <f>_xlfn.XLOOKUP(G56,AE:AE,'Tarievensheet per persoon'!AG:AG)</f>
        <v>1.5528</v>
      </c>
      <c r="P56">
        <f>_xlfn.XLOOKUP(G56,AE:AE,'Tarievensheet per persoon'!AH:AH)</f>
        <v>1.3391999999999999</v>
      </c>
      <c r="Q56">
        <f>_xlfn.XLOOKUP(G56,AE:AE,'Tarievensheet per persoon'!AI:AI)</f>
        <v>1.3391999999999999</v>
      </c>
      <c r="R56">
        <v>0</v>
      </c>
      <c r="S56" s="14">
        <v>2.99</v>
      </c>
      <c r="T56" s="10">
        <f t="shared" si="1"/>
        <v>31.169268000000002</v>
      </c>
      <c r="U56" s="10">
        <f t="shared" si="2"/>
        <v>39.629388240000004</v>
      </c>
      <c r="V56" s="10">
        <f t="shared" si="3"/>
        <v>40.142122800000003</v>
      </c>
      <c r="W56" s="10">
        <f t="shared" si="4"/>
        <v>51.678650400000009</v>
      </c>
      <c r="X56" s="10">
        <f t="shared" si="5"/>
        <v>56.805996000000007</v>
      </c>
      <c r="Y56" s="10">
        <f t="shared" si="6"/>
        <v>82.442723999999998</v>
      </c>
      <c r="Z56" s="10">
        <f t="shared" si="7"/>
        <v>29.173132799999998</v>
      </c>
      <c r="AA56" s="10">
        <f t="shared" si="8"/>
        <v>37.508313600000001</v>
      </c>
      <c r="AB56" s="10">
        <f t="shared" si="9"/>
        <v>41.675904000000003</v>
      </c>
      <c r="AC56" s="10">
        <f t="shared" si="10"/>
        <v>62.513855999999997</v>
      </c>
    </row>
    <row r="57" spans="1:29" x14ac:dyDescent="0.25">
      <c r="A57">
        <v>374549</v>
      </c>
      <c r="B57" t="s">
        <v>27</v>
      </c>
      <c r="C57" s="10">
        <v>16.510000000000002</v>
      </c>
      <c r="D57" s="10">
        <v>15.56</v>
      </c>
      <c r="E57" s="10">
        <v>0</v>
      </c>
      <c r="F57">
        <v>198</v>
      </c>
      <c r="G57" t="s">
        <v>19</v>
      </c>
      <c r="H57" s="11">
        <v>45989</v>
      </c>
      <c r="I57" t="s">
        <v>13</v>
      </c>
      <c r="J57" s="12">
        <v>8</v>
      </c>
      <c r="K57" s="3">
        <v>249.36</v>
      </c>
      <c r="L57" s="3">
        <f t="shared" si="0"/>
        <v>31.17</v>
      </c>
      <c r="M57" s="13"/>
      <c r="N57">
        <f>_xlfn.XLOOKUP(G57,'Tarievensheet per persoon'!AE:AE,'Tarievensheet per persoon'!AF:AF)</f>
        <v>1.7068000000000001</v>
      </c>
      <c r="O57">
        <f>_xlfn.XLOOKUP(G57,AE:AE,'Tarievensheet per persoon'!AG:AG)</f>
        <v>1.5528</v>
      </c>
      <c r="P57">
        <f>_xlfn.XLOOKUP(G57,AE:AE,'Tarievensheet per persoon'!AH:AH)</f>
        <v>1.3391999999999999</v>
      </c>
      <c r="Q57">
        <f>_xlfn.XLOOKUP(G57,AE:AE,'Tarievensheet per persoon'!AI:AI)</f>
        <v>1.3391999999999999</v>
      </c>
      <c r="R57">
        <v>0</v>
      </c>
      <c r="S57" s="14">
        <v>2.99</v>
      </c>
      <c r="T57" s="10">
        <f t="shared" si="1"/>
        <v>31.169268000000002</v>
      </c>
      <c r="U57" s="10">
        <f t="shared" si="2"/>
        <v>39.629388240000004</v>
      </c>
      <c r="V57" s="10">
        <f t="shared" si="3"/>
        <v>40.142122800000003</v>
      </c>
      <c r="W57" s="10">
        <f t="shared" si="4"/>
        <v>51.678650400000009</v>
      </c>
      <c r="X57" s="10">
        <f t="shared" si="5"/>
        <v>56.805996000000007</v>
      </c>
      <c r="Y57" s="10">
        <f t="shared" si="6"/>
        <v>82.442723999999998</v>
      </c>
      <c r="Z57" s="10">
        <f t="shared" si="7"/>
        <v>29.173132799999998</v>
      </c>
      <c r="AA57" s="10">
        <f t="shared" si="8"/>
        <v>37.508313600000001</v>
      </c>
      <c r="AB57" s="10">
        <f t="shared" si="9"/>
        <v>41.675904000000003</v>
      </c>
      <c r="AC57" s="10">
        <f t="shared" si="10"/>
        <v>62.513855999999997</v>
      </c>
    </row>
    <row r="58" spans="1:29" x14ac:dyDescent="0.25">
      <c r="A58">
        <v>374717</v>
      </c>
      <c r="B58" t="s">
        <v>28</v>
      </c>
      <c r="C58" s="10">
        <v>16.510000000000002</v>
      </c>
      <c r="D58" s="10">
        <v>15.56</v>
      </c>
      <c r="E58" s="10">
        <v>0</v>
      </c>
      <c r="F58">
        <v>204</v>
      </c>
      <c r="G58" t="s">
        <v>19</v>
      </c>
      <c r="H58" s="11">
        <v>45985</v>
      </c>
      <c r="I58" t="s">
        <v>13</v>
      </c>
      <c r="J58" s="12">
        <v>3</v>
      </c>
      <c r="K58" s="3">
        <v>93.51</v>
      </c>
      <c r="L58" s="3">
        <f t="shared" si="0"/>
        <v>31.17</v>
      </c>
      <c r="M58" s="13"/>
      <c r="N58">
        <f>_xlfn.XLOOKUP(G58,'Tarievensheet per persoon'!AE:AE,'Tarievensheet per persoon'!AF:AF)</f>
        <v>1.7068000000000001</v>
      </c>
      <c r="O58">
        <f>_xlfn.XLOOKUP(G58,AE:AE,'Tarievensheet per persoon'!AG:AG)</f>
        <v>1.5528</v>
      </c>
      <c r="P58">
        <f>_xlfn.XLOOKUP(G58,AE:AE,'Tarievensheet per persoon'!AH:AH)</f>
        <v>1.3391999999999999</v>
      </c>
      <c r="Q58">
        <f>_xlfn.XLOOKUP(G58,AE:AE,'Tarievensheet per persoon'!AI:AI)</f>
        <v>1.3391999999999999</v>
      </c>
      <c r="R58">
        <v>0</v>
      </c>
      <c r="S58" s="14">
        <v>2.99</v>
      </c>
      <c r="T58" s="10">
        <f t="shared" si="1"/>
        <v>31.169268000000002</v>
      </c>
      <c r="U58" s="10">
        <f t="shared" si="2"/>
        <v>39.629388240000004</v>
      </c>
      <c r="V58" s="10">
        <f t="shared" si="3"/>
        <v>40.142122800000003</v>
      </c>
      <c r="W58" s="10">
        <f t="shared" si="4"/>
        <v>51.678650400000009</v>
      </c>
      <c r="X58" s="10">
        <f t="shared" si="5"/>
        <v>56.805996000000007</v>
      </c>
      <c r="Y58" s="10">
        <f t="shared" si="6"/>
        <v>82.442723999999998</v>
      </c>
      <c r="Z58" s="10">
        <f t="shared" si="7"/>
        <v>29.173132799999998</v>
      </c>
      <c r="AA58" s="10">
        <f t="shared" si="8"/>
        <v>37.508313600000001</v>
      </c>
      <c r="AB58" s="10">
        <f t="shared" si="9"/>
        <v>41.675904000000003</v>
      </c>
      <c r="AC58" s="10">
        <f t="shared" si="10"/>
        <v>62.513855999999997</v>
      </c>
    </row>
    <row r="59" spans="1:29" x14ac:dyDescent="0.25">
      <c r="A59">
        <v>374717</v>
      </c>
      <c r="B59" t="s">
        <v>28</v>
      </c>
      <c r="C59" s="10">
        <v>16.510000000000002</v>
      </c>
      <c r="D59" s="10">
        <v>15.56</v>
      </c>
      <c r="E59" s="10">
        <v>0</v>
      </c>
      <c r="F59">
        <v>204</v>
      </c>
      <c r="G59" t="s">
        <v>19</v>
      </c>
      <c r="H59" s="11">
        <v>45985</v>
      </c>
      <c r="I59" t="s">
        <v>21</v>
      </c>
      <c r="J59" s="12">
        <v>5.25</v>
      </c>
      <c r="K59" s="3">
        <v>208.06</v>
      </c>
      <c r="L59" s="3">
        <f t="shared" si="0"/>
        <v>39.630476190476188</v>
      </c>
      <c r="M59" s="13"/>
      <c r="N59">
        <f>_xlfn.XLOOKUP(G59,'Tarievensheet per persoon'!AE:AE,'Tarievensheet per persoon'!AF:AF)</f>
        <v>1.7068000000000001</v>
      </c>
      <c r="O59">
        <f>_xlfn.XLOOKUP(G59,AE:AE,'Tarievensheet per persoon'!AG:AG)</f>
        <v>1.5528</v>
      </c>
      <c r="P59">
        <f>_xlfn.XLOOKUP(G59,AE:AE,'Tarievensheet per persoon'!AH:AH)</f>
        <v>1.3391999999999999</v>
      </c>
      <c r="Q59">
        <f>_xlfn.XLOOKUP(G59,AE:AE,'Tarievensheet per persoon'!AI:AI)</f>
        <v>1.3391999999999999</v>
      </c>
      <c r="R59">
        <v>0</v>
      </c>
      <c r="S59" s="14">
        <v>2.99</v>
      </c>
      <c r="T59" s="10">
        <f t="shared" si="1"/>
        <v>31.169268000000002</v>
      </c>
      <c r="U59" s="10">
        <f t="shared" si="2"/>
        <v>39.629388240000004</v>
      </c>
      <c r="V59" s="10">
        <f t="shared" si="3"/>
        <v>40.142122800000003</v>
      </c>
      <c r="W59" s="10">
        <f t="shared" si="4"/>
        <v>51.678650400000009</v>
      </c>
      <c r="X59" s="10">
        <f t="shared" si="5"/>
        <v>56.805996000000007</v>
      </c>
      <c r="Y59" s="10">
        <f t="shared" si="6"/>
        <v>82.442723999999998</v>
      </c>
      <c r="Z59" s="10">
        <f t="shared" si="7"/>
        <v>29.173132799999998</v>
      </c>
      <c r="AA59" s="10">
        <f t="shared" si="8"/>
        <v>37.508313600000001</v>
      </c>
      <c r="AB59" s="10">
        <f t="shared" si="9"/>
        <v>41.675904000000003</v>
      </c>
      <c r="AC59" s="10">
        <f t="shared" si="10"/>
        <v>62.513855999999997</v>
      </c>
    </row>
    <row r="60" spans="1:29" x14ac:dyDescent="0.25">
      <c r="A60">
        <v>374717</v>
      </c>
      <c r="B60" t="s">
        <v>28</v>
      </c>
      <c r="C60" s="10">
        <v>16.510000000000002</v>
      </c>
      <c r="D60" s="10">
        <v>15.56</v>
      </c>
      <c r="E60" s="10">
        <v>0</v>
      </c>
      <c r="F60">
        <v>204</v>
      </c>
      <c r="G60" t="s">
        <v>19</v>
      </c>
      <c r="H60" s="11">
        <v>45986</v>
      </c>
      <c r="I60" t="s">
        <v>13</v>
      </c>
      <c r="J60" s="12">
        <v>3</v>
      </c>
      <c r="K60" s="3">
        <v>93.51</v>
      </c>
      <c r="L60" s="3">
        <f t="shared" si="0"/>
        <v>31.17</v>
      </c>
      <c r="M60" s="13"/>
      <c r="N60">
        <f>_xlfn.XLOOKUP(G60,'Tarievensheet per persoon'!AE:AE,'Tarievensheet per persoon'!AF:AF)</f>
        <v>1.7068000000000001</v>
      </c>
      <c r="O60">
        <f>_xlfn.XLOOKUP(G60,AE:AE,'Tarievensheet per persoon'!AG:AG)</f>
        <v>1.5528</v>
      </c>
      <c r="P60">
        <f>_xlfn.XLOOKUP(G60,AE:AE,'Tarievensheet per persoon'!AH:AH)</f>
        <v>1.3391999999999999</v>
      </c>
      <c r="Q60">
        <f>_xlfn.XLOOKUP(G60,AE:AE,'Tarievensheet per persoon'!AI:AI)</f>
        <v>1.3391999999999999</v>
      </c>
      <c r="R60">
        <v>0</v>
      </c>
      <c r="S60" s="14">
        <v>2.99</v>
      </c>
      <c r="T60" s="10">
        <f t="shared" si="1"/>
        <v>31.169268000000002</v>
      </c>
      <c r="U60" s="10">
        <f t="shared" si="2"/>
        <v>39.629388240000004</v>
      </c>
      <c r="V60" s="10">
        <f t="shared" si="3"/>
        <v>40.142122800000003</v>
      </c>
      <c r="W60" s="10">
        <f t="shared" si="4"/>
        <v>51.678650400000009</v>
      </c>
      <c r="X60" s="10">
        <f t="shared" si="5"/>
        <v>56.805996000000007</v>
      </c>
      <c r="Y60" s="10">
        <f t="shared" si="6"/>
        <v>82.442723999999998</v>
      </c>
      <c r="Z60" s="10">
        <f t="shared" si="7"/>
        <v>29.173132799999998</v>
      </c>
      <c r="AA60" s="10">
        <f t="shared" si="8"/>
        <v>37.508313600000001</v>
      </c>
      <c r="AB60" s="10">
        <f t="shared" si="9"/>
        <v>41.675904000000003</v>
      </c>
      <c r="AC60" s="10">
        <f t="shared" si="10"/>
        <v>62.513855999999997</v>
      </c>
    </row>
    <row r="61" spans="1:29" x14ac:dyDescent="0.25">
      <c r="A61">
        <v>374717</v>
      </c>
      <c r="B61" t="s">
        <v>28</v>
      </c>
      <c r="C61" s="10">
        <v>16.510000000000002</v>
      </c>
      <c r="D61" s="10">
        <v>15.56</v>
      </c>
      <c r="E61" s="10">
        <v>0</v>
      </c>
      <c r="F61">
        <v>204</v>
      </c>
      <c r="G61" t="s">
        <v>19</v>
      </c>
      <c r="H61" s="11">
        <v>45986</v>
      </c>
      <c r="I61" t="s">
        <v>21</v>
      </c>
      <c r="J61" s="12">
        <v>5</v>
      </c>
      <c r="K61" s="3">
        <v>198.15</v>
      </c>
      <c r="L61" s="3">
        <f t="shared" si="0"/>
        <v>39.630000000000003</v>
      </c>
      <c r="M61" s="13"/>
      <c r="N61">
        <f>_xlfn.XLOOKUP(G61,'Tarievensheet per persoon'!AE:AE,'Tarievensheet per persoon'!AF:AF)</f>
        <v>1.7068000000000001</v>
      </c>
      <c r="O61">
        <f>_xlfn.XLOOKUP(G61,AE:AE,'Tarievensheet per persoon'!AG:AG)</f>
        <v>1.5528</v>
      </c>
      <c r="P61">
        <f>_xlfn.XLOOKUP(G61,AE:AE,'Tarievensheet per persoon'!AH:AH)</f>
        <v>1.3391999999999999</v>
      </c>
      <c r="Q61">
        <f>_xlfn.XLOOKUP(G61,AE:AE,'Tarievensheet per persoon'!AI:AI)</f>
        <v>1.3391999999999999</v>
      </c>
      <c r="R61">
        <v>0</v>
      </c>
      <c r="S61" s="14">
        <v>2.99</v>
      </c>
      <c r="T61" s="10">
        <f t="shared" si="1"/>
        <v>31.169268000000002</v>
      </c>
      <c r="U61" s="10">
        <f t="shared" si="2"/>
        <v>39.629388240000004</v>
      </c>
      <c r="V61" s="10">
        <f t="shared" si="3"/>
        <v>40.142122800000003</v>
      </c>
      <c r="W61" s="10">
        <f t="shared" si="4"/>
        <v>51.678650400000009</v>
      </c>
      <c r="X61" s="10">
        <f t="shared" si="5"/>
        <v>56.805996000000007</v>
      </c>
      <c r="Y61" s="10">
        <f t="shared" si="6"/>
        <v>82.442723999999998</v>
      </c>
      <c r="Z61" s="10">
        <f t="shared" si="7"/>
        <v>29.173132799999998</v>
      </c>
      <c r="AA61" s="10">
        <f t="shared" si="8"/>
        <v>37.508313600000001</v>
      </c>
      <c r="AB61" s="10">
        <f t="shared" si="9"/>
        <v>41.675904000000003</v>
      </c>
      <c r="AC61" s="10">
        <f t="shared" si="10"/>
        <v>62.513855999999997</v>
      </c>
    </row>
    <row r="62" spans="1:29" x14ac:dyDescent="0.25">
      <c r="A62">
        <v>374717</v>
      </c>
      <c r="B62" t="s">
        <v>28</v>
      </c>
      <c r="C62" s="10">
        <v>16.510000000000002</v>
      </c>
      <c r="D62" s="10">
        <v>15.56</v>
      </c>
      <c r="E62" s="10">
        <v>0</v>
      </c>
      <c r="F62">
        <v>204</v>
      </c>
      <c r="G62" t="s">
        <v>19</v>
      </c>
      <c r="H62" s="11">
        <v>45987</v>
      </c>
      <c r="I62" t="s">
        <v>13</v>
      </c>
      <c r="J62" s="12">
        <v>3</v>
      </c>
      <c r="K62" s="3">
        <v>93.51</v>
      </c>
      <c r="L62" s="3">
        <f t="shared" si="0"/>
        <v>31.17</v>
      </c>
      <c r="M62" s="13"/>
      <c r="N62">
        <f>_xlfn.XLOOKUP(G62,'Tarievensheet per persoon'!AE:AE,'Tarievensheet per persoon'!AF:AF)</f>
        <v>1.7068000000000001</v>
      </c>
      <c r="O62">
        <f>_xlfn.XLOOKUP(G62,AE:AE,'Tarievensheet per persoon'!AG:AG)</f>
        <v>1.5528</v>
      </c>
      <c r="P62">
        <f>_xlfn.XLOOKUP(G62,AE:AE,'Tarievensheet per persoon'!AH:AH)</f>
        <v>1.3391999999999999</v>
      </c>
      <c r="Q62">
        <f>_xlfn.XLOOKUP(G62,AE:AE,'Tarievensheet per persoon'!AI:AI)</f>
        <v>1.3391999999999999</v>
      </c>
      <c r="R62">
        <v>0</v>
      </c>
      <c r="S62" s="14">
        <v>2.99</v>
      </c>
      <c r="T62" s="10">
        <f t="shared" si="1"/>
        <v>31.169268000000002</v>
      </c>
      <c r="U62" s="10">
        <f t="shared" si="2"/>
        <v>39.629388240000004</v>
      </c>
      <c r="V62" s="10">
        <f t="shared" si="3"/>
        <v>40.142122800000003</v>
      </c>
      <c r="W62" s="10">
        <f t="shared" si="4"/>
        <v>51.678650400000009</v>
      </c>
      <c r="X62" s="10">
        <f t="shared" si="5"/>
        <v>56.805996000000007</v>
      </c>
      <c r="Y62" s="10">
        <f t="shared" si="6"/>
        <v>82.442723999999998</v>
      </c>
      <c r="Z62" s="10">
        <f t="shared" si="7"/>
        <v>29.173132799999998</v>
      </c>
      <c r="AA62" s="10">
        <f t="shared" si="8"/>
        <v>37.508313600000001</v>
      </c>
      <c r="AB62" s="10">
        <f t="shared" si="9"/>
        <v>41.675904000000003</v>
      </c>
      <c r="AC62" s="10">
        <f t="shared" si="10"/>
        <v>62.513855999999997</v>
      </c>
    </row>
    <row r="63" spans="1:29" x14ac:dyDescent="0.25">
      <c r="A63">
        <v>374717</v>
      </c>
      <c r="B63" t="s">
        <v>28</v>
      </c>
      <c r="C63" s="10">
        <v>16.510000000000002</v>
      </c>
      <c r="D63" s="10">
        <v>15.56</v>
      </c>
      <c r="E63" s="10">
        <v>0</v>
      </c>
      <c r="F63">
        <v>204</v>
      </c>
      <c r="G63" t="s">
        <v>19</v>
      </c>
      <c r="H63" s="11">
        <v>45987</v>
      </c>
      <c r="I63" t="s">
        <v>21</v>
      </c>
      <c r="J63" s="12">
        <v>4.75</v>
      </c>
      <c r="K63" s="3">
        <v>188.24</v>
      </c>
      <c r="L63" s="3">
        <f t="shared" si="0"/>
        <v>39.629473684210531</v>
      </c>
      <c r="M63" s="13"/>
      <c r="N63">
        <f>_xlfn.XLOOKUP(G63,'Tarievensheet per persoon'!AE:AE,'Tarievensheet per persoon'!AF:AF)</f>
        <v>1.7068000000000001</v>
      </c>
      <c r="O63">
        <f>_xlfn.XLOOKUP(G63,AE:AE,'Tarievensheet per persoon'!AG:AG)</f>
        <v>1.5528</v>
      </c>
      <c r="P63">
        <f>_xlfn.XLOOKUP(G63,AE:AE,'Tarievensheet per persoon'!AH:AH)</f>
        <v>1.3391999999999999</v>
      </c>
      <c r="Q63">
        <f>_xlfn.XLOOKUP(G63,AE:AE,'Tarievensheet per persoon'!AI:AI)</f>
        <v>1.3391999999999999</v>
      </c>
      <c r="R63">
        <v>0</v>
      </c>
      <c r="S63" s="14">
        <v>2.99</v>
      </c>
      <c r="T63" s="10">
        <f t="shared" si="1"/>
        <v>31.169268000000002</v>
      </c>
      <c r="U63" s="10">
        <f t="shared" si="2"/>
        <v>39.629388240000004</v>
      </c>
      <c r="V63" s="10">
        <f t="shared" si="3"/>
        <v>40.142122800000003</v>
      </c>
      <c r="W63" s="10">
        <f t="shared" si="4"/>
        <v>51.678650400000009</v>
      </c>
      <c r="X63" s="10">
        <f t="shared" si="5"/>
        <v>56.805996000000007</v>
      </c>
      <c r="Y63" s="10">
        <f t="shared" si="6"/>
        <v>82.442723999999998</v>
      </c>
      <c r="Z63" s="10">
        <f t="shared" si="7"/>
        <v>29.173132799999998</v>
      </c>
      <c r="AA63" s="10">
        <f t="shared" si="8"/>
        <v>37.508313600000001</v>
      </c>
      <c r="AB63" s="10">
        <f t="shared" si="9"/>
        <v>41.675904000000003</v>
      </c>
      <c r="AC63" s="10">
        <f t="shared" si="10"/>
        <v>62.513855999999997</v>
      </c>
    </row>
    <row r="64" spans="1:29" x14ac:dyDescent="0.25">
      <c r="A64">
        <v>374717</v>
      </c>
      <c r="B64" t="s">
        <v>28</v>
      </c>
      <c r="C64" s="10">
        <v>16.510000000000002</v>
      </c>
      <c r="D64" s="10">
        <v>15.56</v>
      </c>
      <c r="E64" s="10">
        <v>0</v>
      </c>
      <c r="F64">
        <v>204</v>
      </c>
      <c r="G64" t="s">
        <v>19</v>
      </c>
      <c r="H64" s="11">
        <v>45988</v>
      </c>
      <c r="I64" t="s">
        <v>13</v>
      </c>
      <c r="J64" s="12">
        <v>3</v>
      </c>
      <c r="K64" s="3">
        <v>93.51</v>
      </c>
      <c r="L64" s="3">
        <f t="shared" si="0"/>
        <v>31.17</v>
      </c>
      <c r="M64" s="13"/>
      <c r="N64">
        <f>_xlfn.XLOOKUP(G64,'Tarievensheet per persoon'!AE:AE,'Tarievensheet per persoon'!AF:AF)</f>
        <v>1.7068000000000001</v>
      </c>
      <c r="O64">
        <f>_xlfn.XLOOKUP(G64,AE:AE,'Tarievensheet per persoon'!AG:AG)</f>
        <v>1.5528</v>
      </c>
      <c r="P64">
        <f>_xlfn.XLOOKUP(G64,AE:AE,'Tarievensheet per persoon'!AH:AH)</f>
        <v>1.3391999999999999</v>
      </c>
      <c r="Q64">
        <f>_xlfn.XLOOKUP(G64,AE:AE,'Tarievensheet per persoon'!AI:AI)</f>
        <v>1.3391999999999999</v>
      </c>
      <c r="R64">
        <v>0</v>
      </c>
      <c r="S64" s="14">
        <v>2.99</v>
      </c>
      <c r="T64" s="10">
        <f t="shared" si="1"/>
        <v>31.169268000000002</v>
      </c>
      <c r="U64" s="10">
        <f t="shared" si="2"/>
        <v>39.629388240000004</v>
      </c>
      <c r="V64" s="10">
        <f t="shared" si="3"/>
        <v>40.142122800000003</v>
      </c>
      <c r="W64" s="10">
        <f t="shared" si="4"/>
        <v>51.678650400000009</v>
      </c>
      <c r="X64" s="10">
        <f t="shared" si="5"/>
        <v>56.805996000000007</v>
      </c>
      <c r="Y64" s="10">
        <f t="shared" si="6"/>
        <v>82.442723999999998</v>
      </c>
      <c r="Z64" s="10">
        <f t="shared" si="7"/>
        <v>29.173132799999998</v>
      </c>
      <c r="AA64" s="10">
        <f t="shared" si="8"/>
        <v>37.508313600000001</v>
      </c>
      <c r="AB64" s="10">
        <f t="shared" si="9"/>
        <v>41.675904000000003</v>
      </c>
      <c r="AC64" s="10">
        <f t="shared" si="10"/>
        <v>62.513855999999997</v>
      </c>
    </row>
    <row r="65" spans="1:29" x14ac:dyDescent="0.25">
      <c r="A65">
        <v>374717</v>
      </c>
      <c r="B65" t="s">
        <v>28</v>
      </c>
      <c r="C65" s="10">
        <v>16.510000000000002</v>
      </c>
      <c r="D65" s="10">
        <v>15.56</v>
      </c>
      <c r="E65" s="10">
        <v>0</v>
      </c>
      <c r="F65">
        <v>204</v>
      </c>
      <c r="G65" t="s">
        <v>19</v>
      </c>
      <c r="H65" s="11">
        <v>45988</v>
      </c>
      <c r="I65" t="s">
        <v>21</v>
      </c>
      <c r="J65" s="12">
        <v>5</v>
      </c>
      <c r="K65" s="3">
        <v>198.15</v>
      </c>
      <c r="L65" s="3">
        <f t="shared" si="0"/>
        <v>39.630000000000003</v>
      </c>
      <c r="M65" s="13"/>
      <c r="N65">
        <f>_xlfn.XLOOKUP(G65,'Tarievensheet per persoon'!AE:AE,'Tarievensheet per persoon'!AF:AF)</f>
        <v>1.7068000000000001</v>
      </c>
      <c r="O65">
        <f>_xlfn.XLOOKUP(G65,AE:AE,'Tarievensheet per persoon'!AG:AG)</f>
        <v>1.5528</v>
      </c>
      <c r="P65">
        <f>_xlfn.XLOOKUP(G65,AE:AE,'Tarievensheet per persoon'!AH:AH)</f>
        <v>1.3391999999999999</v>
      </c>
      <c r="Q65">
        <f>_xlfn.XLOOKUP(G65,AE:AE,'Tarievensheet per persoon'!AI:AI)</f>
        <v>1.3391999999999999</v>
      </c>
      <c r="R65">
        <v>0</v>
      </c>
      <c r="S65" s="14">
        <v>2.99</v>
      </c>
      <c r="T65" s="10">
        <f t="shared" si="1"/>
        <v>31.169268000000002</v>
      </c>
      <c r="U65" s="10">
        <f t="shared" si="2"/>
        <v>39.629388240000004</v>
      </c>
      <c r="V65" s="10">
        <f t="shared" si="3"/>
        <v>40.142122800000003</v>
      </c>
      <c r="W65" s="10">
        <f t="shared" si="4"/>
        <v>51.678650400000009</v>
      </c>
      <c r="X65" s="10">
        <f t="shared" si="5"/>
        <v>56.805996000000007</v>
      </c>
      <c r="Y65" s="10">
        <f t="shared" si="6"/>
        <v>82.442723999999998</v>
      </c>
      <c r="Z65" s="10">
        <f t="shared" si="7"/>
        <v>29.173132799999998</v>
      </c>
      <c r="AA65" s="10">
        <f t="shared" si="8"/>
        <v>37.508313600000001</v>
      </c>
      <c r="AB65" s="10">
        <f t="shared" si="9"/>
        <v>41.675904000000003</v>
      </c>
      <c r="AC65" s="10">
        <f t="shared" si="10"/>
        <v>62.513855999999997</v>
      </c>
    </row>
    <row r="66" spans="1:29" x14ac:dyDescent="0.25">
      <c r="A66">
        <v>374717</v>
      </c>
      <c r="B66" t="s">
        <v>28</v>
      </c>
      <c r="C66" s="10">
        <v>16.510000000000002</v>
      </c>
      <c r="D66" s="10">
        <v>15.56</v>
      </c>
      <c r="E66" s="10">
        <v>0</v>
      </c>
      <c r="F66">
        <v>204</v>
      </c>
      <c r="G66" t="s">
        <v>19</v>
      </c>
      <c r="H66" s="11">
        <v>45989</v>
      </c>
      <c r="I66" t="s">
        <v>13</v>
      </c>
      <c r="J66" s="12">
        <v>3</v>
      </c>
      <c r="K66" s="3">
        <v>93.51</v>
      </c>
      <c r="L66" s="3">
        <f t="shared" si="0"/>
        <v>31.17</v>
      </c>
      <c r="M66" s="13"/>
      <c r="N66">
        <f>_xlfn.XLOOKUP(G66,'Tarievensheet per persoon'!AE:AE,'Tarievensheet per persoon'!AF:AF)</f>
        <v>1.7068000000000001</v>
      </c>
      <c r="O66">
        <f>_xlfn.XLOOKUP(G66,AE:AE,'Tarievensheet per persoon'!AG:AG)</f>
        <v>1.5528</v>
      </c>
      <c r="P66">
        <f>_xlfn.XLOOKUP(G66,AE:AE,'Tarievensheet per persoon'!AH:AH)</f>
        <v>1.3391999999999999</v>
      </c>
      <c r="Q66">
        <f>_xlfn.XLOOKUP(G66,AE:AE,'Tarievensheet per persoon'!AI:AI)</f>
        <v>1.3391999999999999</v>
      </c>
      <c r="R66">
        <v>0</v>
      </c>
      <c r="S66" s="14">
        <v>2.99</v>
      </c>
      <c r="T66" s="10">
        <f t="shared" si="1"/>
        <v>31.169268000000002</v>
      </c>
      <c r="U66" s="10">
        <f t="shared" si="2"/>
        <v>39.629388240000004</v>
      </c>
      <c r="V66" s="10">
        <f t="shared" si="3"/>
        <v>40.142122800000003</v>
      </c>
      <c r="W66" s="10">
        <f t="shared" si="4"/>
        <v>51.678650400000009</v>
      </c>
      <c r="X66" s="10">
        <f t="shared" si="5"/>
        <v>56.805996000000007</v>
      </c>
      <c r="Y66" s="10">
        <f t="shared" si="6"/>
        <v>82.442723999999998</v>
      </c>
      <c r="Z66" s="10">
        <f t="shared" si="7"/>
        <v>29.173132799999998</v>
      </c>
      <c r="AA66" s="10">
        <f t="shared" si="8"/>
        <v>37.508313600000001</v>
      </c>
      <c r="AB66" s="10">
        <f t="shared" si="9"/>
        <v>41.675904000000003</v>
      </c>
      <c r="AC66" s="10">
        <f t="shared" si="10"/>
        <v>62.513855999999997</v>
      </c>
    </row>
    <row r="67" spans="1:29" x14ac:dyDescent="0.25">
      <c r="A67">
        <v>374717</v>
      </c>
      <c r="B67" t="s">
        <v>28</v>
      </c>
      <c r="C67" s="10">
        <v>16.510000000000002</v>
      </c>
      <c r="D67" s="10">
        <v>15.56</v>
      </c>
      <c r="E67" s="10">
        <v>0</v>
      </c>
      <c r="F67">
        <v>204</v>
      </c>
      <c r="G67" t="s">
        <v>19</v>
      </c>
      <c r="H67" s="11">
        <v>45989</v>
      </c>
      <c r="I67" t="s">
        <v>21</v>
      </c>
      <c r="J67" s="12">
        <v>5</v>
      </c>
      <c r="K67" s="3">
        <v>198.15</v>
      </c>
      <c r="L67" s="3">
        <f t="shared" ref="L67:L130" si="11">K67/J67</f>
        <v>39.630000000000003</v>
      </c>
      <c r="M67" s="13"/>
      <c r="N67">
        <f>_xlfn.XLOOKUP(G67,'Tarievensheet per persoon'!AE:AE,'Tarievensheet per persoon'!AF:AF)</f>
        <v>1.7068000000000001</v>
      </c>
      <c r="O67">
        <f>_xlfn.XLOOKUP(G67,AE:AE,'Tarievensheet per persoon'!AG:AG)</f>
        <v>1.5528</v>
      </c>
      <c r="P67">
        <f>_xlfn.XLOOKUP(G67,AE:AE,'Tarievensheet per persoon'!AH:AH)</f>
        <v>1.3391999999999999</v>
      </c>
      <c r="Q67">
        <f>_xlfn.XLOOKUP(G67,AE:AE,'Tarievensheet per persoon'!AI:AI)</f>
        <v>1.3391999999999999</v>
      </c>
      <c r="R67">
        <v>0</v>
      </c>
      <c r="S67" s="14">
        <v>2.99</v>
      </c>
      <c r="T67" s="10">
        <f t="shared" ref="T67:T130" si="12">C67*N67+C67*Q67*R67+S67+(E67*O67)</f>
        <v>31.169268000000002</v>
      </c>
      <c r="U67" s="10">
        <f t="shared" ref="U67:U130" si="13">T67+C67*(U$1-1)*O67</f>
        <v>39.629388240000004</v>
      </c>
      <c r="V67" s="10">
        <f t="shared" ref="V67:V130" si="14">T67+C67*(V$1-1)*O67</f>
        <v>40.142122800000003</v>
      </c>
      <c r="W67" s="10">
        <f t="shared" ref="W67:W130" si="15">T67+C67*(W$1-1)*O67</f>
        <v>51.678650400000009</v>
      </c>
      <c r="X67" s="10">
        <f t="shared" ref="X67:X130" si="16">T67+C67*(X$1-1)*O67</f>
        <v>56.805996000000007</v>
      </c>
      <c r="Y67" s="10">
        <f t="shared" ref="Y67:Y130" si="17">T67+C67*(Y$1-1)*O67</f>
        <v>82.442723999999998</v>
      </c>
      <c r="Z67" s="10">
        <f t="shared" ref="Z67:Z130" si="18">D67*Z$1*P67</f>
        <v>29.173132799999998</v>
      </c>
      <c r="AA67" s="10">
        <f t="shared" ref="AA67:AA130" si="19">D67*AA$1*P67</f>
        <v>37.508313600000001</v>
      </c>
      <c r="AB67" s="10">
        <f t="shared" ref="AB67:AB130" si="20">D67*AB$1*P67</f>
        <v>41.675904000000003</v>
      </c>
      <c r="AC67" s="10">
        <f t="shared" ref="AC67:AC130" si="21">D67*AC$1*P67</f>
        <v>62.513855999999997</v>
      </c>
    </row>
    <row r="68" spans="1:29" x14ac:dyDescent="0.25">
      <c r="A68">
        <v>374795</v>
      </c>
      <c r="B68" t="s">
        <v>141</v>
      </c>
      <c r="C68" s="10">
        <v>16.09</v>
      </c>
      <c r="D68" s="10">
        <v>15.17</v>
      </c>
      <c r="E68" s="10">
        <v>0</v>
      </c>
      <c r="F68">
        <v>109</v>
      </c>
      <c r="G68" t="s">
        <v>19</v>
      </c>
      <c r="H68" s="11">
        <v>45985</v>
      </c>
      <c r="I68" t="s">
        <v>13</v>
      </c>
      <c r="J68" s="12">
        <v>2.25</v>
      </c>
      <c r="K68" s="3">
        <v>68.510000000000005</v>
      </c>
      <c r="L68" s="3">
        <f t="shared" si="11"/>
        <v>30.448888888888892</v>
      </c>
      <c r="M68" s="13"/>
      <c r="N68">
        <f>_xlfn.XLOOKUP(G68,'Tarievensheet per persoon'!AE:AE,'Tarievensheet per persoon'!AF:AF)</f>
        <v>1.7068000000000001</v>
      </c>
      <c r="O68">
        <f>_xlfn.XLOOKUP(G68,AE:AE,'Tarievensheet per persoon'!AG:AG)</f>
        <v>1.5528</v>
      </c>
      <c r="P68">
        <f>_xlfn.XLOOKUP(G68,AE:AE,'Tarievensheet per persoon'!AH:AH)</f>
        <v>1.3391999999999999</v>
      </c>
      <c r="Q68">
        <f>_xlfn.XLOOKUP(G68,AE:AE,'Tarievensheet per persoon'!AI:AI)</f>
        <v>1.3391999999999999</v>
      </c>
      <c r="R68">
        <v>0</v>
      </c>
      <c r="S68" s="14">
        <v>2.99</v>
      </c>
      <c r="T68" s="10">
        <f t="shared" si="12"/>
        <v>30.452412000000002</v>
      </c>
      <c r="U68" s="10">
        <f t="shared" si="13"/>
        <v>38.697314160000005</v>
      </c>
      <c r="V68" s="10">
        <f t="shared" si="14"/>
        <v>39.197005200000007</v>
      </c>
      <c r="W68" s="10">
        <f t="shared" si="15"/>
        <v>50.440053599999999</v>
      </c>
      <c r="X68" s="10">
        <f t="shared" si="16"/>
        <v>55.436964000000003</v>
      </c>
      <c r="Y68" s="10">
        <f t="shared" si="17"/>
        <v>80.421515999999997</v>
      </c>
      <c r="Z68" s="10">
        <f t="shared" si="18"/>
        <v>28.441929599999998</v>
      </c>
      <c r="AA68" s="10">
        <f t="shared" si="19"/>
        <v>36.568195199999998</v>
      </c>
      <c r="AB68" s="10">
        <f t="shared" si="20"/>
        <v>40.631327999999996</v>
      </c>
      <c r="AC68" s="10">
        <f t="shared" si="21"/>
        <v>60.946991999999995</v>
      </c>
    </row>
    <row r="69" spans="1:29" x14ac:dyDescent="0.25">
      <c r="A69">
        <v>374795</v>
      </c>
      <c r="B69" t="s">
        <v>141</v>
      </c>
      <c r="C69" s="10">
        <v>16.09</v>
      </c>
      <c r="D69" s="10">
        <v>15.17</v>
      </c>
      <c r="E69" s="10">
        <v>0</v>
      </c>
      <c r="F69">
        <v>109</v>
      </c>
      <c r="G69" t="s">
        <v>19</v>
      </c>
      <c r="H69" s="11">
        <v>45985</v>
      </c>
      <c r="I69" t="s">
        <v>21</v>
      </c>
      <c r="J69" s="12">
        <v>5.25</v>
      </c>
      <c r="K69" s="3">
        <v>203.12</v>
      </c>
      <c r="L69" s="3">
        <f t="shared" si="11"/>
        <v>38.689523809523813</v>
      </c>
      <c r="M69" s="13"/>
      <c r="N69">
        <f>_xlfn.XLOOKUP(G69,'Tarievensheet per persoon'!AE:AE,'Tarievensheet per persoon'!AF:AF)</f>
        <v>1.7068000000000001</v>
      </c>
      <c r="O69">
        <f>_xlfn.XLOOKUP(G69,AE:AE,'Tarievensheet per persoon'!AG:AG)</f>
        <v>1.5528</v>
      </c>
      <c r="P69">
        <f>_xlfn.XLOOKUP(G69,AE:AE,'Tarievensheet per persoon'!AH:AH)</f>
        <v>1.3391999999999999</v>
      </c>
      <c r="Q69">
        <f>_xlfn.XLOOKUP(G69,AE:AE,'Tarievensheet per persoon'!AI:AI)</f>
        <v>1.3391999999999999</v>
      </c>
      <c r="R69">
        <v>0</v>
      </c>
      <c r="S69" s="14">
        <v>2.99</v>
      </c>
      <c r="T69" s="10">
        <f t="shared" si="12"/>
        <v>30.452412000000002</v>
      </c>
      <c r="U69" s="10">
        <f t="shared" si="13"/>
        <v>38.697314160000005</v>
      </c>
      <c r="V69" s="10">
        <f t="shared" si="14"/>
        <v>39.197005200000007</v>
      </c>
      <c r="W69" s="10">
        <f t="shared" si="15"/>
        <v>50.440053599999999</v>
      </c>
      <c r="X69" s="10">
        <f t="shared" si="16"/>
        <v>55.436964000000003</v>
      </c>
      <c r="Y69" s="10">
        <f t="shared" si="17"/>
        <v>80.421515999999997</v>
      </c>
      <c r="Z69" s="10">
        <f t="shared" si="18"/>
        <v>28.441929599999998</v>
      </c>
      <c r="AA69" s="10">
        <f t="shared" si="19"/>
        <v>36.568195199999998</v>
      </c>
      <c r="AB69" s="10">
        <f t="shared" si="20"/>
        <v>40.631327999999996</v>
      </c>
      <c r="AC69" s="10">
        <f t="shared" si="21"/>
        <v>60.946991999999995</v>
      </c>
    </row>
    <row r="70" spans="1:29" x14ac:dyDescent="0.25">
      <c r="A70">
        <v>374795</v>
      </c>
      <c r="B70" t="s">
        <v>141</v>
      </c>
      <c r="C70" s="10">
        <v>16.09</v>
      </c>
      <c r="D70" s="10">
        <v>15.17</v>
      </c>
      <c r="E70" s="10">
        <v>0</v>
      </c>
      <c r="F70">
        <v>109</v>
      </c>
      <c r="G70" t="s">
        <v>19</v>
      </c>
      <c r="H70" s="11">
        <v>45986</v>
      </c>
      <c r="I70" t="s">
        <v>13</v>
      </c>
      <c r="J70" s="12">
        <v>2.5</v>
      </c>
      <c r="K70" s="3">
        <v>76.13</v>
      </c>
      <c r="L70" s="3">
        <f t="shared" si="11"/>
        <v>30.451999999999998</v>
      </c>
      <c r="M70" s="13"/>
      <c r="N70">
        <f>_xlfn.XLOOKUP(G70,'Tarievensheet per persoon'!AE:AE,'Tarievensheet per persoon'!AF:AF)</f>
        <v>1.7068000000000001</v>
      </c>
      <c r="O70">
        <f>_xlfn.XLOOKUP(G70,AE:AE,'Tarievensheet per persoon'!AG:AG)</f>
        <v>1.5528</v>
      </c>
      <c r="P70">
        <f>_xlfn.XLOOKUP(G70,AE:AE,'Tarievensheet per persoon'!AH:AH)</f>
        <v>1.3391999999999999</v>
      </c>
      <c r="Q70">
        <f>_xlfn.XLOOKUP(G70,AE:AE,'Tarievensheet per persoon'!AI:AI)</f>
        <v>1.3391999999999999</v>
      </c>
      <c r="R70">
        <v>0</v>
      </c>
      <c r="S70" s="14">
        <v>2.99</v>
      </c>
      <c r="T70" s="10">
        <f t="shared" si="12"/>
        <v>30.452412000000002</v>
      </c>
      <c r="U70" s="10">
        <f t="shared" si="13"/>
        <v>38.697314160000005</v>
      </c>
      <c r="V70" s="10">
        <f t="shared" si="14"/>
        <v>39.197005200000007</v>
      </c>
      <c r="W70" s="10">
        <f t="shared" si="15"/>
        <v>50.440053599999999</v>
      </c>
      <c r="X70" s="10">
        <f t="shared" si="16"/>
        <v>55.436964000000003</v>
      </c>
      <c r="Y70" s="10">
        <f t="shared" si="17"/>
        <v>80.421515999999997</v>
      </c>
      <c r="Z70" s="10">
        <f t="shared" si="18"/>
        <v>28.441929599999998</v>
      </c>
      <c r="AA70" s="10">
        <f t="shared" si="19"/>
        <v>36.568195199999998</v>
      </c>
      <c r="AB70" s="10">
        <f t="shared" si="20"/>
        <v>40.631327999999996</v>
      </c>
      <c r="AC70" s="10">
        <f t="shared" si="21"/>
        <v>60.946991999999995</v>
      </c>
    </row>
    <row r="71" spans="1:29" x14ac:dyDescent="0.25">
      <c r="A71">
        <v>374795</v>
      </c>
      <c r="B71" t="s">
        <v>141</v>
      </c>
      <c r="C71" s="10">
        <v>16.09</v>
      </c>
      <c r="D71" s="10">
        <v>15.17</v>
      </c>
      <c r="E71" s="10">
        <v>0</v>
      </c>
      <c r="F71">
        <v>109</v>
      </c>
      <c r="G71" t="s">
        <v>19</v>
      </c>
      <c r="H71" s="11">
        <v>45986</v>
      </c>
      <c r="I71" t="s">
        <v>21</v>
      </c>
      <c r="J71" s="12">
        <v>5.25</v>
      </c>
      <c r="K71" s="3">
        <v>203.12</v>
      </c>
      <c r="L71" s="3">
        <f t="shared" si="11"/>
        <v>38.689523809523813</v>
      </c>
      <c r="M71" s="13"/>
      <c r="N71">
        <f>_xlfn.XLOOKUP(G71,'Tarievensheet per persoon'!AE:AE,'Tarievensheet per persoon'!AF:AF)</f>
        <v>1.7068000000000001</v>
      </c>
      <c r="O71">
        <f>_xlfn.XLOOKUP(G71,AE:AE,'Tarievensheet per persoon'!AG:AG)</f>
        <v>1.5528</v>
      </c>
      <c r="P71">
        <f>_xlfn.XLOOKUP(G71,AE:AE,'Tarievensheet per persoon'!AH:AH)</f>
        <v>1.3391999999999999</v>
      </c>
      <c r="Q71">
        <f>_xlfn.XLOOKUP(G71,AE:AE,'Tarievensheet per persoon'!AI:AI)</f>
        <v>1.3391999999999999</v>
      </c>
      <c r="R71">
        <v>0</v>
      </c>
      <c r="S71" s="14">
        <v>2.99</v>
      </c>
      <c r="T71" s="10">
        <f t="shared" si="12"/>
        <v>30.452412000000002</v>
      </c>
      <c r="U71" s="10">
        <f t="shared" si="13"/>
        <v>38.697314160000005</v>
      </c>
      <c r="V71" s="10">
        <f t="shared" si="14"/>
        <v>39.197005200000007</v>
      </c>
      <c r="W71" s="10">
        <f t="shared" si="15"/>
        <v>50.440053599999999</v>
      </c>
      <c r="X71" s="10">
        <f t="shared" si="16"/>
        <v>55.436964000000003</v>
      </c>
      <c r="Y71" s="10">
        <f t="shared" si="17"/>
        <v>80.421515999999997</v>
      </c>
      <c r="Z71" s="10">
        <f t="shared" si="18"/>
        <v>28.441929599999998</v>
      </c>
      <c r="AA71" s="10">
        <f t="shared" si="19"/>
        <v>36.568195199999998</v>
      </c>
      <c r="AB71" s="10">
        <f t="shared" si="20"/>
        <v>40.631327999999996</v>
      </c>
      <c r="AC71" s="10">
        <f t="shared" si="21"/>
        <v>60.946991999999995</v>
      </c>
    </row>
    <row r="72" spans="1:29" x14ac:dyDescent="0.25">
      <c r="A72">
        <v>374795</v>
      </c>
      <c r="B72" t="s">
        <v>141</v>
      </c>
      <c r="C72" s="10">
        <v>16.09</v>
      </c>
      <c r="D72" s="10">
        <v>15.17</v>
      </c>
      <c r="E72" s="10">
        <v>0</v>
      </c>
      <c r="F72">
        <v>109</v>
      </c>
      <c r="G72" t="s">
        <v>19</v>
      </c>
      <c r="H72" s="11">
        <v>45987</v>
      </c>
      <c r="I72" t="s">
        <v>13</v>
      </c>
      <c r="J72" s="12">
        <v>2.25</v>
      </c>
      <c r="K72" s="3">
        <v>68.510000000000005</v>
      </c>
      <c r="L72" s="3">
        <f t="shared" si="11"/>
        <v>30.448888888888892</v>
      </c>
      <c r="M72" s="13"/>
      <c r="N72">
        <f>_xlfn.XLOOKUP(G72,'Tarievensheet per persoon'!AE:AE,'Tarievensheet per persoon'!AF:AF)</f>
        <v>1.7068000000000001</v>
      </c>
      <c r="O72">
        <f>_xlfn.XLOOKUP(G72,AE:AE,'Tarievensheet per persoon'!AG:AG)</f>
        <v>1.5528</v>
      </c>
      <c r="P72">
        <f>_xlfn.XLOOKUP(G72,AE:AE,'Tarievensheet per persoon'!AH:AH)</f>
        <v>1.3391999999999999</v>
      </c>
      <c r="Q72">
        <f>_xlfn.XLOOKUP(G72,AE:AE,'Tarievensheet per persoon'!AI:AI)</f>
        <v>1.3391999999999999</v>
      </c>
      <c r="R72">
        <v>0</v>
      </c>
      <c r="S72" s="14">
        <v>2.99</v>
      </c>
      <c r="T72" s="10">
        <f t="shared" si="12"/>
        <v>30.452412000000002</v>
      </c>
      <c r="U72" s="10">
        <f t="shared" si="13"/>
        <v>38.697314160000005</v>
      </c>
      <c r="V72" s="10">
        <f t="shared" si="14"/>
        <v>39.197005200000007</v>
      </c>
      <c r="W72" s="10">
        <f t="shared" si="15"/>
        <v>50.440053599999999</v>
      </c>
      <c r="X72" s="10">
        <f t="shared" si="16"/>
        <v>55.436964000000003</v>
      </c>
      <c r="Y72" s="10">
        <f t="shared" si="17"/>
        <v>80.421515999999997</v>
      </c>
      <c r="Z72" s="10">
        <f t="shared" si="18"/>
        <v>28.441929599999998</v>
      </c>
      <c r="AA72" s="10">
        <f t="shared" si="19"/>
        <v>36.568195199999998</v>
      </c>
      <c r="AB72" s="10">
        <f t="shared" si="20"/>
        <v>40.631327999999996</v>
      </c>
      <c r="AC72" s="10">
        <f t="shared" si="21"/>
        <v>60.946991999999995</v>
      </c>
    </row>
    <row r="73" spans="1:29" x14ac:dyDescent="0.25">
      <c r="A73">
        <v>374795</v>
      </c>
      <c r="B73" t="s">
        <v>141</v>
      </c>
      <c r="C73" s="10">
        <v>16.09</v>
      </c>
      <c r="D73" s="10">
        <v>15.17</v>
      </c>
      <c r="E73" s="10">
        <v>0</v>
      </c>
      <c r="F73">
        <v>109</v>
      </c>
      <c r="G73" t="s">
        <v>19</v>
      </c>
      <c r="H73" s="11">
        <v>45987</v>
      </c>
      <c r="I73" t="s">
        <v>21</v>
      </c>
      <c r="J73" s="12">
        <v>5</v>
      </c>
      <c r="K73" s="3">
        <v>193.45</v>
      </c>
      <c r="L73" s="3">
        <f t="shared" si="11"/>
        <v>38.69</v>
      </c>
      <c r="M73" s="13"/>
      <c r="N73">
        <f>_xlfn.XLOOKUP(G73,'Tarievensheet per persoon'!AE:AE,'Tarievensheet per persoon'!AF:AF)</f>
        <v>1.7068000000000001</v>
      </c>
      <c r="O73">
        <f>_xlfn.XLOOKUP(G73,AE:AE,'Tarievensheet per persoon'!AG:AG)</f>
        <v>1.5528</v>
      </c>
      <c r="P73">
        <f>_xlfn.XLOOKUP(G73,AE:AE,'Tarievensheet per persoon'!AH:AH)</f>
        <v>1.3391999999999999</v>
      </c>
      <c r="Q73">
        <f>_xlfn.XLOOKUP(G73,AE:AE,'Tarievensheet per persoon'!AI:AI)</f>
        <v>1.3391999999999999</v>
      </c>
      <c r="R73">
        <v>0</v>
      </c>
      <c r="S73" s="14">
        <v>2.99</v>
      </c>
      <c r="T73" s="10">
        <f t="shared" si="12"/>
        <v>30.452412000000002</v>
      </c>
      <c r="U73" s="10">
        <f t="shared" si="13"/>
        <v>38.697314160000005</v>
      </c>
      <c r="V73" s="10">
        <f t="shared" si="14"/>
        <v>39.197005200000007</v>
      </c>
      <c r="W73" s="10">
        <f t="shared" si="15"/>
        <v>50.440053599999999</v>
      </c>
      <c r="X73" s="10">
        <f t="shared" si="16"/>
        <v>55.436964000000003</v>
      </c>
      <c r="Y73" s="10">
        <f t="shared" si="17"/>
        <v>80.421515999999997</v>
      </c>
      <c r="Z73" s="10">
        <f t="shared" si="18"/>
        <v>28.441929599999998</v>
      </c>
      <c r="AA73" s="10">
        <f t="shared" si="19"/>
        <v>36.568195199999998</v>
      </c>
      <c r="AB73" s="10">
        <f t="shared" si="20"/>
        <v>40.631327999999996</v>
      </c>
      <c r="AC73" s="10">
        <f t="shared" si="21"/>
        <v>60.946991999999995</v>
      </c>
    </row>
    <row r="74" spans="1:29" x14ac:dyDescent="0.25">
      <c r="A74">
        <v>374795</v>
      </c>
      <c r="B74" t="s">
        <v>141</v>
      </c>
      <c r="C74" s="10">
        <v>16.09</v>
      </c>
      <c r="D74" s="10">
        <v>15.17</v>
      </c>
      <c r="E74" s="10">
        <v>0</v>
      </c>
      <c r="F74">
        <v>109</v>
      </c>
      <c r="G74" t="s">
        <v>19</v>
      </c>
      <c r="H74" s="11">
        <v>45988</v>
      </c>
      <c r="I74" t="s">
        <v>13</v>
      </c>
      <c r="J74" s="12">
        <v>2.25</v>
      </c>
      <c r="K74" s="3">
        <v>68.510000000000005</v>
      </c>
      <c r="L74" s="3">
        <f t="shared" si="11"/>
        <v>30.448888888888892</v>
      </c>
      <c r="M74" s="13"/>
      <c r="N74">
        <f>_xlfn.XLOOKUP(G74,'Tarievensheet per persoon'!AE:AE,'Tarievensheet per persoon'!AF:AF)</f>
        <v>1.7068000000000001</v>
      </c>
      <c r="O74">
        <f>_xlfn.XLOOKUP(G74,AE:AE,'Tarievensheet per persoon'!AG:AG)</f>
        <v>1.5528</v>
      </c>
      <c r="P74">
        <f>_xlfn.XLOOKUP(G74,AE:AE,'Tarievensheet per persoon'!AH:AH)</f>
        <v>1.3391999999999999</v>
      </c>
      <c r="Q74">
        <f>_xlfn.XLOOKUP(G74,AE:AE,'Tarievensheet per persoon'!AI:AI)</f>
        <v>1.3391999999999999</v>
      </c>
      <c r="R74">
        <v>0</v>
      </c>
      <c r="S74" s="14">
        <v>2.99</v>
      </c>
      <c r="T74" s="10">
        <f t="shared" si="12"/>
        <v>30.452412000000002</v>
      </c>
      <c r="U74" s="10">
        <f t="shared" si="13"/>
        <v>38.697314160000005</v>
      </c>
      <c r="V74" s="10">
        <f t="shared" si="14"/>
        <v>39.197005200000007</v>
      </c>
      <c r="W74" s="10">
        <f t="shared" si="15"/>
        <v>50.440053599999999</v>
      </c>
      <c r="X74" s="10">
        <f t="shared" si="16"/>
        <v>55.436964000000003</v>
      </c>
      <c r="Y74" s="10">
        <f t="shared" si="17"/>
        <v>80.421515999999997</v>
      </c>
      <c r="Z74" s="10">
        <f t="shared" si="18"/>
        <v>28.441929599999998</v>
      </c>
      <c r="AA74" s="10">
        <f t="shared" si="19"/>
        <v>36.568195199999998</v>
      </c>
      <c r="AB74" s="10">
        <f t="shared" si="20"/>
        <v>40.631327999999996</v>
      </c>
      <c r="AC74" s="10">
        <f t="shared" si="21"/>
        <v>60.946991999999995</v>
      </c>
    </row>
    <row r="75" spans="1:29" x14ac:dyDescent="0.25">
      <c r="A75">
        <v>374795</v>
      </c>
      <c r="B75" t="s">
        <v>141</v>
      </c>
      <c r="C75" s="10">
        <v>16.09</v>
      </c>
      <c r="D75" s="10">
        <v>15.17</v>
      </c>
      <c r="E75" s="10">
        <v>0</v>
      </c>
      <c r="F75">
        <v>109</v>
      </c>
      <c r="G75" t="s">
        <v>19</v>
      </c>
      <c r="H75" s="11">
        <v>45988</v>
      </c>
      <c r="I75" t="s">
        <v>21</v>
      </c>
      <c r="J75" s="12">
        <v>5.25</v>
      </c>
      <c r="K75" s="3">
        <v>203.12</v>
      </c>
      <c r="L75" s="3">
        <f t="shared" si="11"/>
        <v>38.689523809523813</v>
      </c>
      <c r="M75" s="13"/>
      <c r="N75">
        <f>_xlfn.XLOOKUP(G75,'Tarievensheet per persoon'!AE:AE,'Tarievensheet per persoon'!AF:AF)</f>
        <v>1.7068000000000001</v>
      </c>
      <c r="O75">
        <f>_xlfn.XLOOKUP(G75,AE:AE,'Tarievensheet per persoon'!AG:AG)</f>
        <v>1.5528</v>
      </c>
      <c r="P75">
        <f>_xlfn.XLOOKUP(G75,AE:AE,'Tarievensheet per persoon'!AH:AH)</f>
        <v>1.3391999999999999</v>
      </c>
      <c r="Q75">
        <f>_xlfn.XLOOKUP(G75,AE:AE,'Tarievensheet per persoon'!AI:AI)</f>
        <v>1.3391999999999999</v>
      </c>
      <c r="R75">
        <v>0</v>
      </c>
      <c r="S75" s="14">
        <v>2.99</v>
      </c>
      <c r="T75" s="10">
        <f t="shared" si="12"/>
        <v>30.452412000000002</v>
      </c>
      <c r="U75" s="10">
        <f t="shared" si="13"/>
        <v>38.697314160000005</v>
      </c>
      <c r="V75" s="10">
        <f t="shared" si="14"/>
        <v>39.197005200000007</v>
      </c>
      <c r="W75" s="10">
        <f t="shared" si="15"/>
        <v>50.440053599999999</v>
      </c>
      <c r="X75" s="10">
        <f t="shared" si="16"/>
        <v>55.436964000000003</v>
      </c>
      <c r="Y75" s="10">
        <f t="shared" si="17"/>
        <v>80.421515999999997</v>
      </c>
      <c r="Z75" s="10">
        <f t="shared" si="18"/>
        <v>28.441929599999998</v>
      </c>
      <c r="AA75" s="10">
        <f t="shared" si="19"/>
        <v>36.568195199999998</v>
      </c>
      <c r="AB75" s="10">
        <f t="shared" si="20"/>
        <v>40.631327999999996</v>
      </c>
      <c r="AC75" s="10">
        <f t="shared" si="21"/>
        <v>60.946991999999995</v>
      </c>
    </row>
    <row r="76" spans="1:29" x14ac:dyDescent="0.25">
      <c r="A76">
        <v>374795</v>
      </c>
      <c r="B76" t="s">
        <v>141</v>
      </c>
      <c r="C76" s="10">
        <v>16.09</v>
      </c>
      <c r="D76" s="10">
        <v>15.17</v>
      </c>
      <c r="E76" s="10">
        <v>0</v>
      </c>
      <c r="F76">
        <v>109</v>
      </c>
      <c r="G76" t="s">
        <v>19</v>
      </c>
      <c r="H76" s="11">
        <v>45989</v>
      </c>
      <c r="I76" t="s">
        <v>13</v>
      </c>
      <c r="J76" s="12">
        <v>2.5</v>
      </c>
      <c r="K76" s="3">
        <v>76.13</v>
      </c>
      <c r="L76" s="3">
        <f t="shared" si="11"/>
        <v>30.451999999999998</v>
      </c>
      <c r="M76" s="13"/>
      <c r="N76">
        <f>_xlfn.XLOOKUP(G76,'Tarievensheet per persoon'!AE:AE,'Tarievensheet per persoon'!AF:AF)</f>
        <v>1.7068000000000001</v>
      </c>
      <c r="O76">
        <f>_xlfn.XLOOKUP(G76,AE:AE,'Tarievensheet per persoon'!AG:AG)</f>
        <v>1.5528</v>
      </c>
      <c r="P76">
        <f>_xlfn.XLOOKUP(G76,AE:AE,'Tarievensheet per persoon'!AH:AH)</f>
        <v>1.3391999999999999</v>
      </c>
      <c r="Q76">
        <f>_xlfn.XLOOKUP(G76,AE:AE,'Tarievensheet per persoon'!AI:AI)</f>
        <v>1.3391999999999999</v>
      </c>
      <c r="R76">
        <v>0</v>
      </c>
      <c r="S76" s="14">
        <v>2.99</v>
      </c>
      <c r="T76" s="10">
        <f t="shared" si="12"/>
        <v>30.452412000000002</v>
      </c>
      <c r="U76" s="10">
        <f t="shared" si="13"/>
        <v>38.697314160000005</v>
      </c>
      <c r="V76" s="10">
        <f t="shared" si="14"/>
        <v>39.197005200000007</v>
      </c>
      <c r="W76" s="10">
        <f t="shared" si="15"/>
        <v>50.440053599999999</v>
      </c>
      <c r="X76" s="10">
        <f t="shared" si="16"/>
        <v>55.436964000000003</v>
      </c>
      <c r="Y76" s="10">
        <f t="shared" si="17"/>
        <v>80.421515999999997</v>
      </c>
      <c r="Z76" s="10">
        <f t="shared" si="18"/>
        <v>28.441929599999998</v>
      </c>
      <c r="AA76" s="10">
        <f t="shared" si="19"/>
        <v>36.568195199999998</v>
      </c>
      <c r="AB76" s="10">
        <f t="shared" si="20"/>
        <v>40.631327999999996</v>
      </c>
      <c r="AC76" s="10">
        <f t="shared" si="21"/>
        <v>60.946991999999995</v>
      </c>
    </row>
    <row r="77" spans="1:29" x14ac:dyDescent="0.25">
      <c r="A77">
        <v>374795</v>
      </c>
      <c r="B77" t="s">
        <v>141</v>
      </c>
      <c r="C77" s="10">
        <v>16.09</v>
      </c>
      <c r="D77" s="10">
        <v>15.17</v>
      </c>
      <c r="E77" s="10">
        <v>0</v>
      </c>
      <c r="F77">
        <v>109</v>
      </c>
      <c r="G77" t="s">
        <v>19</v>
      </c>
      <c r="H77" s="11">
        <v>45989</v>
      </c>
      <c r="I77" t="s">
        <v>21</v>
      </c>
      <c r="J77" s="12">
        <v>3.75</v>
      </c>
      <c r="K77" s="3">
        <v>145.09</v>
      </c>
      <c r="L77" s="3">
        <f t="shared" si="11"/>
        <v>38.690666666666665</v>
      </c>
      <c r="M77" s="13"/>
      <c r="N77">
        <f>_xlfn.XLOOKUP(G77,'Tarievensheet per persoon'!AE:AE,'Tarievensheet per persoon'!AF:AF)</f>
        <v>1.7068000000000001</v>
      </c>
      <c r="O77">
        <f>_xlfn.XLOOKUP(G77,AE:AE,'Tarievensheet per persoon'!AG:AG)</f>
        <v>1.5528</v>
      </c>
      <c r="P77">
        <f>_xlfn.XLOOKUP(G77,AE:AE,'Tarievensheet per persoon'!AH:AH)</f>
        <v>1.3391999999999999</v>
      </c>
      <c r="Q77">
        <f>_xlfn.XLOOKUP(G77,AE:AE,'Tarievensheet per persoon'!AI:AI)</f>
        <v>1.3391999999999999</v>
      </c>
      <c r="R77">
        <v>0</v>
      </c>
      <c r="S77" s="14">
        <v>2.99</v>
      </c>
      <c r="T77" s="10">
        <f t="shared" si="12"/>
        <v>30.452412000000002</v>
      </c>
      <c r="U77" s="10">
        <f t="shared" si="13"/>
        <v>38.697314160000005</v>
      </c>
      <c r="V77" s="10">
        <f t="shared" si="14"/>
        <v>39.197005200000007</v>
      </c>
      <c r="W77" s="10">
        <f t="shared" si="15"/>
        <v>50.440053599999999</v>
      </c>
      <c r="X77" s="10">
        <f t="shared" si="16"/>
        <v>55.436964000000003</v>
      </c>
      <c r="Y77" s="10">
        <f t="shared" si="17"/>
        <v>80.421515999999997</v>
      </c>
      <c r="Z77" s="10">
        <f t="shared" si="18"/>
        <v>28.441929599999998</v>
      </c>
      <c r="AA77" s="10">
        <f t="shared" si="19"/>
        <v>36.568195199999998</v>
      </c>
      <c r="AB77" s="10">
        <f t="shared" si="20"/>
        <v>40.631327999999996</v>
      </c>
      <c r="AC77" s="10">
        <f t="shared" si="21"/>
        <v>60.946991999999995</v>
      </c>
    </row>
    <row r="78" spans="1:29" x14ac:dyDescent="0.25">
      <c r="A78">
        <v>374801</v>
      </c>
      <c r="B78" t="s">
        <v>11</v>
      </c>
      <c r="C78" s="10">
        <v>17.63</v>
      </c>
      <c r="D78" s="10">
        <v>16.61</v>
      </c>
      <c r="E78" s="10">
        <v>0</v>
      </c>
      <c r="F78">
        <v>226</v>
      </c>
      <c r="G78" t="s">
        <v>12</v>
      </c>
      <c r="H78" s="11">
        <v>45985</v>
      </c>
      <c r="I78" t="s">
        <v>13</v>
      </c>
      <c r="J78" s="12">
        <v>2.5</v>
      </c>
      <c r="K78" s="3">
        <v>80.180000000000007</v>
      </c>
      <c r="L78" s="3">
        <f t="shared" si="11"/>
        <v>32.072000000000003</v>
      </c>
      <c r="M78" s="13"/>
      <c r="N78">
        <f>_xlfn.XLOOKUP(G78,'Tarievensheet per persoon'!AE:AE,'Tarievensheet per persoon'!AF:AF)</f>
        <v>1.6496999999999999</v>
      </c>
      <c r="O78">
        <f>_xlfn.XLOOKUP(G78,AE:AE,'Tarievensheet per persoon'!AG:AG)</f>
        <v>1.5022</v>
      </c>
      <c r="P78">
        <f>_xlfn.XLOOKUP(G78,AE:AE,'Tarievensheet per persoon'!AH:AH)</f>
        <v>1.2898000000000001</v>
      </c>
      <c r="Q78">
        <f>_xlfn.XLOOKUP(G78,AE:AE,'Tarievensheet per persoon'!AI:AI)</f>
        <v>1.2898000000000001</v>
      </c>
      <c r="R78">
        <v>0</v>
      </c>
      <c r="S78" s="14">
        <v>2.99</v>
      </c>
      <c r="T78" s="10">
        <f t="shared" si="12"/>
        <v>32.074210999999998</v>
      </c>
      <c r="U78" s="10">
        <f t="shared" si="13"/>
        <v>40.813860380000001</v>
      </c>
      <c r="V78" s="10">
        <f t="shared" si="14"/>
        <v>41.343536100000001</v>
      </c>
      <c r="W78" s="10">
        <f t="shared" si="15"/>
        <v>53.261239799999998</v>
      </c>
      <c r="X78" s="10">
        <f t="shared" si="16"/>
        <v>58.557997</v>
      </c>
      <c r="Y78" s="10">
        <f t="shared" si="17"/>
        <v>85.041782999999995</v>
      </c>
      <c r="Z78" s="10">
        <f t="shared" si="18"/>
        <v>29.993009199999999</v>
      </c>
      <c r="AA78" s="10">
        <f t="shared" si="19"/>
        <v>38.5624404</v>
      </c>
      <c r="AB78" s="10">
        <f t="shared" si="20"/>
        <v>42.847155999999998</v>
      </c>
      <c r="AC78" s="10">
        <f t="shared" si="21"/>
        <v>64.270734000000004</v>
      </c>
    </row>
    <row r="79" spans="1:29" x14ac:dyDescent="0.25">
      <c r="A79">
        <v>374801</v>
      </c>
      <c r="B79" t="s">
        <v>11</v>
      </c>
      <c r="C79" s="10">
        <v>17.63</v>
      </c>
      <c r="D79" s="10">
        <v>16.61</v>
      </c>
      <c r="E79" s="10">
        <v>0</v>
      </c>
      <c r="F79">
        <v>226</v>
      </c>
      <c r="G79" t="s">
        <v>12</v>
      </c>
      <c r="H79" s="11">
        <v>45985</v>
      </c>
      <c r="I79" t="s">
        <v>21</v>
      </c>
      <c r="J79" s="12">
        <v>5.5</v>
      </c>
      <c r="K79" s="3">
        <v>224.46</v>
      </c>
      <c r="L79" s="3">
        <f t="shared" si="11"/>
        <v>40.810909090909092</v>
      </c>
      <c r="M79" s="13"/>
      <c r="N79">
        <f>_xlfn.XLOOKUP(G79,'Tarievensheet per persoon'!AE:AE,'Tarievensheet per persoon'!AF:AF)</f>
        <v>1.6496999999999999</v>
      </c>
      <c r="O79">
        <f>_xlfn.XLOOKUP(G79,AE:AE,'Tarievensheet per persoon'!AG:AG)</f>
        <v>1.5022</v>
      </c>
      <c r="P79">
        <f>_xlfn.XLOOKUP(G79,AE:AE,'Tarievensheet per persoon'!AH:AH)</f>
        <v>1.2898000000000001</v>
      </c>
      <c r="Q79">
        <f>_xlfn.XLOOKUP(G79,AE:AE,'Tarievensheet per persoon'!AI:AI)</f>
        <v>1.2898000000000001</v>
      </c>
      <c r="R79">
        <v>0</v>
      </c>
      <c r="S79" s="14">
        <v>2.99</v>
      </c>
      <c r="T79" s="10">
        <f t="shared" si="12"/>
        <v>32.074210999999998</v>
      </c>
      <c r="U79" s="10">
        <f t="shared" si="13"/>
        <v>40.813860380000001</v>
      </c>
      <c r="V79" s="10">
        <f t="shared" si="14"/>
        <v>41.343536100000001</v>
      </c>
      <c r="W79" s="10">
        <f t="shared" si="15"/>
        <v>53.261239799999998</v>
      </c>
      <c r="X79" s="10">
        <f t="shared" si="16"/>
        <v>58.557997</v>
      </c>
      <c r="Y79" s="10">
        <f t="shared" si="17"/>
        <v>85.041782999999995</v>
      </c>
      <c r="Z79" s="10">
        <f t="shared" si="18"/>
        <v>29.993009199999999</v>
      </c>
      <c r="AA79" s="10">
        <f t="shared" si="19"/>
        <v>38.5624404</v>
      </c>
      <c r="AB79" s="10">
        <f t="shared" si="20"/>
        <v>42.847155999999998</v>
      </c>
      <c r="AC79" s="10">
        <f t="shared" si="21"/>
        <v>64.270734000000004</v>
      </c>
    </row>
    <row r="80" spans="1:29" x14ac:dyDescent="0.25">
      <c r="A80">
        <v>374801</v>
      </c>
      <c r="B80" t="s">
        <v>11</v>
      </c>
      <c r="C80" s="10">
        <v>17.63</v>
      </c>
      <c r="D80" s="10">
        <v>16.61</v>
      </c>
      <c r="E80" s="10">
        <v>0</v>
      </c>
      <c r="F80">
        <v>226</v>
      </c>
      <c r="G80" t="s">
        <v>12</v>
      </c>
      <c r="H80" s="11">
        <v>45985</v>
      </c>
      <c r="I80" t="s">
        <v>22</v>
      </c>
      <c r="J80" s="12">
        <v>0.5</v>
      </c>
      <c r="K80" s="3">
        <v>20.67</v>
      </c>
      <c r="L80" s="3">
        <f t="shared" si="11"/>
        <v>41.34</v>
      </c>
      <c r="M80" s="13"/>
      <c r="N80">
        <f>_xlfn.XLOOKUP(G80,'Tarievensheet per persoon'!AE:AE,'Tarievensheet per persoon'!AF:AF)</f>
        <v>1.6496999999999999</v>
      </c>
      <c r="O80">
        <f>_xlfn.XLOOKUP(G80,AE:AE,'Tarievensheet per persoon'!AG:AG)</f>
        <v>1.5022</v>
      </c>
      <c r="P80">
        <f>_xlfn.XLOOKUP(G80,AE:AE,'Tarievensheet per persoon'!AH:AH)</f>
        <v>1.2898000000000001</v>
      </c>
      <c r="Q80">
        <f>_xlfn.XLOOKUP(G80,AE:AE,'Tarievensheet per persoon'!AI:AI)</f>
        <v>1.2898000000000001</v>
      </c>
      <c r="R80">
        <v>0</v>
      </c>
      <c r="S80" s="14">
        <v>2.99</v>
      </c>
      <c r="T80" s="10">
        <f t="shared" si="12"/>
        <v>32.074210999999998</v>
      </c>
      <c r="U80" s="10">
        <f t="shared" si="13"/>
        <v>40.813860380000001</v>
      </c>
      <c r="V80" s="10">
        <f t="shared" si="14"/>
        <v>41.343536100000001</v>
      </c>
      <c r="W80" s="10">
        <f t="shared" si="15"/>
        <v>53.261239799999998</v>
      </c>
      <c r="X80" s="10">
        <f t="shared" si="16"/>
        <v>58.557997</v>
      </c>
      <c r="Y80" s="10">
        <f t="shared" si="17"/>
        <v>85.041782999999995</v>
      </c>
      <c r="Z80" s="10">
        <f t="shared" si="18"/>
        <v>29.993009199999999</v>
      </c>
      <c r="AA80" s="10">
        <f t="shared" si="19"/>
        <v>38.5624404</v>
      </c>
      <c r="AB80" s="10">
        <f t="shared" si="20"/>
        <v>42.847155999999998</v>
      </c>
      <c r="AC80" s="10">
        <f t="shared" si="21"/>
        <v>64.270734000000004</v>
      </c>
    </row>
    <row r="81" spans="1:29" x14ac:dyDescent="0.25">
      <c r="A81">
        <v>374801</v>
      </c>
      <c r="B81" t="s">
        <v>11</v>
      </c>
      <c r="C81" s="10">
        <v>17.63</v>
      </c>
      <c r="D81" s="10">
        <v>16.61</v>
      </c>
      <c r="E81" s="10">
        <v>0</v>
      </c>
      <c r="F81">
        <v>226</v>
      </c>
      <c r="G81" t="s">
        <v>12</v>
      </c>
      <c r="H81" s="11">
        <v>45986</v>
      </c>
      <c r="I81" t="s">
        <v>13</v>
      </c>
      <c r="J81" s="12">
        <v>2.5</v>
      </c>
      <c r="K81" s="3">
        <v>80.180000000000007</v>
      </c>
      <c r="L81" s="3">
        <f t="shared" si="11"/>
        <v>32.072000000000003</v>
      </c>
      <c r="M81" s="13"/>
      <c r="N81">
        <f>_xlfn.XLOOKUP(G81,'Tarievensheet per persoon'!AE:AE,'Tarievensheet per persoon'!AF:AF)</f>
        <v>1.6496999999999999</v>
      </c>
      <c r="O81">
        <f>_xlfn.XLOOKUP(G81,AE:AE,'Tarievensheet per persoon'!AG:AG)</f>
        <v>1.5022</v>
      </c>
      <c r="P81">
        <f>_xlfn.XLOOKUP(G81,AE:AE,'Tarievensheet per persoon'!AH:AH)</f>
        <v>1.2898000000000001</v>
      </c>
      <c r="Q81">
        <f>_xlfn.XLOOKUP(G81,AE:AE,'Tarievensheet per persoon'!AI:AI)</f>
        <v>1.2898000000000001</v>
      </c>
      <c r="R81">
        <v>0</v>
      </c>
      <c r="S81" s="14">
        <v>2.99</v>
      </c>
      <c r="T81" s="10">
        <f t="shared" si="12"/>
        <v>32.074210999999998</v>
      </c>
      <c r="U81" s="10">
        <f t="shared" si="13"/>
        <v>40.813860380000001</v>
      </c>
      <c r="V81" s="10">
        <f t="shared" si="14"/>
        <v>41.343536100000001</v>
      </c>
      <c r="W81" s="10">
        <f t="shared" si="15"/>
        <v>53.261239799999998</v>
      </c>
      <c r="X81" s="10">
        <f t="shared" si="16"/>
        <v>58.557997</v>
      </c>
      <c r="Y81" s="10">
        <f t="shared" si="17"/>
        <v>85.041782999999995</v>
      </c>
      <c r="Z81" s="10">
        <f t="shared" si="18"/>
        <v>29.993009199999999</v>
      </c>
      <c r="AA81" s="10">
        <f t="shared" si="19"/>
        <v>38.5624404</v>
      </c>
      <c r="AB81" s="10">
        <f t="shared" si="20"/>
        <v>42.847155999999998</v>
      </c>
      <c r="AC81" s="10">
        <f t="shared" si="21"/>
        <v>64.270734000000004</v>
      </c>
    </row>
    <row r="82" spans="1:29" x14ac:dyDescent="0.25">
      <c r="A82">
        <v>374801</v>
      </c>
      <c r="B82" t="s">
        <v>11</v>
      </c>
      <c r="C82" s="10">
        <v>17.63</v>
      </c>
      <c r="D82" s="10">
        <v>16.61</v>
      </c>
      <c r="E82" s="10">
        <v>0</v>
      </c>
      <c r="F82">
        <v>226</v>
      </c>
      <c r="G82" t="s">
        <v>12</v>
      </c>
      <c r="H82" s="11">
        <v>45986</v>
      </c>
      <c r="I82" t="s">
        <v>21</v>
      </c>
      <c r="J82" s="12">
        <v>5.5</v>
      </c>
      <c r="K82" s="3">
        <v>224.46</v>
      </c>
      <c r="L82" s="3">
        <f t="shared" si="11"/>
        <v>40.810909090909092</v>
      </c>
      <c r="M82" s="13"/>
      <c r="N82">
        <f>_xlfn.XLOOKUP(G82,'Tarievensheet per persoon'!AE:AE,'Tarievensheet per persoon'!AF:AF)</f>
        <v>1.6496999999999999</v>
      </c>
      <c r="O82">
        <f>_xlfn.XLOOKUP(G82,AE:AE,'Tarievensheet per persoon'!AG:AG)</f>
        <v>1.5022</v>
      </c>
      <c r="P82">
        <f>_xlfn.XLOOKUP(G82,AE:AE,'Tarievensheet per persoon'!AH:AH)</f>
        <v>1.2898000000000001</v>
      </c>
      <c r="Q82">
        <f>_xlfn.XLOOKUP(G82,AE:AE,'Tarievensheet per persoon'!AI:AI)</f>
        <v>1.2898000000000001</v>
      </c>
      <c r="R82">
        <v>0</v>
      </c>
      <c r="S82" s="14">
        <v>2.99</v>
      </c>
      <c r="T82" s="10">
        <f t="shared" si="12"/>
        <v>32.074210999999998</v>
      </c>
      <c r="U82" s="10">
        <f t="shared" si="13"/>
        <v>40.813860380000001</v>
      </c>
      <c r="V82" s="10">
        <f t="shared" si="14"/>
        <v>41.343536100000001</v>
      </c>
      <c r="W82" s="10">
        <f t="shared" si="15"/>
        <v>53.261239799999998</v>
      </c>
      <c r="X82" s="10">
        <f t="shared" si="16"/>
        <v>58.557997</v>
      </c>
      <c r="Y82" s="10">
        <f t="shared" si="17"/>
        <v>85.041782999999995</v>
      </c>
      <c r="Z82" s="10">
        <f t="shared" si="18"/>
        <v>29.993009199999999</v>
      </c>
      <c r="AA82" s="10">
        <f t="shared" si="19"/>
        <v>38.5624404</v>
      </c>
      <c r="AB82" s="10">
        <f t="shared" si="20"/>
        <v>42.847155999999998</v>
      </c>
      <c r="AC82" s="10">
        <f t="shared" si="21"/>
        <v>64.270734000000004</v>
      </c>
    </row>
    <row r="83" spans="1:29" x14ac:dyDescent="0.25">
      <c r="A83">
        <v>374801</v>
      </c>
      <c r="B83" t="s">
        <v>11</v>
      </c>
      <c r="C83" s="10">
        <v>17.63</v>
      </c>
      <c r="D83" s="10">
        <v>16.61</v>
      </c>
      <c r="E83" s="10">
        <v>0</v>
      </c>
      <c r="F83">
        <v>226</v>
      </c>
      <c r="G83" t="s">
        <v>12</v>
      </c>
      <c r="H83" s="11">
        <v>45986</v>
      </c>
      <c r="I83" t="s">
        <v>22</v>
      </c>
      <c r="J83" s="12">
        <v>1</v>
      </c>
      <c r="K83" s="3">
        <v>41.34</v>
      </c>
      <c r="L83" s="3">
        <f t="shared" si="11"/>
        <v>41.34</v>
      </c>
      <c r="M83" s="13"/>
      <c r="N83">
        <f>_xlfn.XLOOKUP(G83,'Tarievensheet per persoon'!AE:AE,'Tarievensheet per persoon'!AF:AF)</f>
        <v>1.6496999999999999</v>
      </c>
      <c r="O83">
        <f>_xlfn.XLOOKUP(G83,AE:AE,'Tarievensheet per persoon'!AG:AG)</f>
        <v>1.5022</v>
      </c>
      <c r="P83">
        <f>_xlfn.XLOOKUP(G83,AE:AE,'Tarievensheet per persoon'!AH:AH)</f>
        <v>1.2898000000000001</v>
      </c>
      <c r="Q83">
        <f>_xlfn.XLOOKUP(G83,AE:AE,'Tarievensheet per persoon'!AI:AI)</f>
        <v>1.2898000000000001</v>
      </c>
      <c r="R83">
        <v>0</v>
      </c>
      <c r="S83" s="14">
        <v>2.99</v>
      </c>
      <c r="T83" s="10">
        <f t="shared" si="12"/>
        <v>32.074210999999998</v>
      </c>
      <c r="U83" s="10">
        <f t="shared" si="13"/>
        <v>40.813860380000001</v>
      </c>
      <c r="V83" s="10">
        <f t="shared" si="14"/>
        <v>41.343536100000001</v>
      </c>
      <c r="W83" s="10">
        <f t="shared" si="15"/>
        <v>53.261239799999998</v>
      </c>
      <c r="X83" s="10">
        <f t="shared" si="16"/>
        <v>58.557997</v>
      </c>
      <c r="Y83" s="10">
        <f t="shared" si="17"/>
        <v>85.041782999999995</v>
      </c>
      <c r="Z83" s="10">
        <f t="shared" si="18"/>
        <v>29.993009199999999</v>
      </c>
      <c r="AA83" s="10">
        <f t="shared" si="19"/>
        <v>38.5624404</v>
      </c>
      <c r="AB83" s="10">
        <f t="shared" si="20"/>
        <v>42.847155999999998</v>
      </c>
      <c r="AC83" s="10">
        <f t="shared" si="21"/>
        <v>64.270734000000004</v>
      </c>
    </row>
    <row r="84" spans="1:29" x14ac:dyDescent="0.25">
      <c r="A84">
        <v>374801</v>
      </c>
      <c r="B84" t="s">
        <v>11</v>
      </c>
      <c r="C84" s="10">
        <v>17.63</v>
      </c>
      <c r="D84" s="10">
        <v>16.61</v>
      </c>
      <c r="E84" s="10">
        <v>0</v>
      </c>
      <c r="F84">
        <v>226</v>
      </c>
      <c r="G84" t="s">
        <v>12</v>
      </c>
      <c r="H84" s="11">
        <v>45988</v>
      </c>
      <c r="I84" t="s">
        <v>13</v>
      </c>
      <c r="J84" s="12">
        <v>2.5</v>
      </c>
      <c r="K84" s="3">
        <v>80.180000000000007</v>
      </c>
      <c r="L84" s="3">
        <f t="shared" si="11"/>
        <v>32.072000000000003</v>
      </c>
      <c r="M84" s="13"/>
      <c r="N84">
        <f>_xlfn.XLOOKUP(G84,'Tarievensheet per persoon'!AE:AE,'Tarievensheet per persoon'!AF:AF)</f>
        <v>1.6496999999999999</v>
      </c>
      <c r="O84">
        <f>_xlfn.XLOOKUP(G84,AE:AE,'Tarievensheet per persoon'!AG:AG)</f>
        <v>1.5022</v>
      </c>
      <c r="P84">
        <f>_xlfn.XLOOKUP(G84,AE:AE,'Tarievensheet per persoon'!AH:AH)</f>
        <v>1.2898000000000001</v>
      </c>
      <c r="Q84">
        <f>_xlfn.XLOOKUP(G84,AE:AE,'Tarievensheet per persoon'!AI:AI)</f>
        <v>1.2898000000000001</v>
      </c>
      <c r="R84">
        <v>0</v>
      </c>
      <c r="S84" s="14">
        <v>2.99</v>
      </c>
      <c r="T84" s="10">
        <f t="shared" si="12"/>
        <v>32.074210999999998</v>
      </c>
      <c r="U84" s="10">
        <f t="shared" si="13"/>
        <v>40.813860380000001</v>
      </c>
      <c r="V84" s="10">
        <f t="shared" si="14"/>
        <v>41.343536100000001</v>
      </c>
      <c r="W84" s="10">
        <f t="shared" si="15"/>
        <v>53.261239799999998</v>
      </c>
      <c r="X84" s="10">
        <f t="shared" si="16"/>
        <v>58.557997</v>
      </c>
      <c r="Y84" s="10">
        <f t="shared" si="17"/>
        <v>85.041782999999995</v>
      </c>
      <c r="Z84" s="10">
        <f t="shared" si="18"/>
        <v>29.993009199999999</v>
      </c>
      <c r="AA84" s="10">
        <f t="shared" si="19"/>
        <v>38.5624404</v>
      </c>
      <c r="AB84" s="10">
        <f t="shared" si="20"/>
        <v>42.847155999999998</v>
      </c>
      <c r="AC84" s="10">
        <f t="shared" si="21"/>
        <v>64.270734000000004</v>
      </c>
    </row>
    <row r="85" spans="1:29" x14ac:dyDescent="0.25">
      <c r="A85">
        <v>374801</v>
      </c>
      <c r="B85" t="s">
        <v>11</v>
      </c>
      <c r="C85" s="10">
        <v>17.63</v>
      </c>
      <c r="D85" s="10">
        <v>16.61</v>
      </c>
      <c r="E85" s="10">
        <v>0</v>
      </c>
      <c r="F85">
        <v>226</v>
      </c>
      <c r="G85" t="s">
        <v>12</v>
      </c>
      <c r="H85" s="11">
        <v>45988</v>
      </c>
      <c r="I85" t="s">
        <v>21</v>
      </c>
      <c r="J85" s="12">
        <v>5.5</v>
      </c>
      <c r="K85" s="3">
        <v>224.46</v>
      </c>
      <c r="L85" s="3">
        <f t="shared" si="11"/>
        <v>40.810909090909092</v>
      </c>
      <c r="M85" s="13"/>
      <c r="N85">
        <f>_xlfn.XLOOKUP(G85,'Tarievensheet per persoon'!AE:AE,'Tarievensheet per persoon'!AF:AF)</f>
        <v>1.6496999999999999</v>
      </c>
      <c r="O85">
        <f>_xlfn.XLOOKUP(G85,AE:AE,'Tarievensheet per persoon'!AG:AG)</f>
        <v>1.5022</v>
      </c>
      <c r="P85">
        <f>_xlfn.XLOOKUP(G85,AE:AE,'Tarievensheet per persoon'!AH:AH)</f>
        <v>1.2898000000000001</v>
      </c>
      <c r="Q85">
        <f>_xlfn.XLOOKUP(G85,AE:AE,'Tarievensheet per persoon'!AI:AI)</f>
        <v>1.2898000000000001</v>
      </c>
      <c r="R85">
        <v>0</v>
      </c>
      <c r="S85" s="14">
        <v>2.99</v>
      </c>
      <c r="T85" s="10">
        <f t="shared" si="12"/>
        <v>32.074210999999998</v>
      </c>
      <c r="U85" s="10">
        <f t="shared" si="13"/>
        <v>40.813860380000001</v>
      </c>
      <c r="V85" s="10">
        <f t="shared" si="14"/>
        <v>41.343536100000001</v>
      </c>
      <c r="W85" s="10">
        <f t="shared" si="15"/>
        <v>53.261239799999998</v>
      </c>
      <c r="X85" s="10">
        <f t="shared" si="16"/>
        <v>58.557997</v>
      </c>
      <c r="Y85" s="10">
        <f t="shared" si="17"/>
        <v>85.041782999999995</v>
      </c>
      <c r="Z85" s="10">
        <f t="shared" si="18"/>
        <v>29.993009199999999</v>
      </c>
      <c r="AA85" s="10">
        <f t="shared" si="19"/>
        <v>38.5624404</v>
      </c>
      <c r="AB85" s="10">
        <f t="shared" si="20"/>
        <v>42.847155999999998</v>
      </c>
      <c r="AC85" s="10">
        <f t="shared" si="21"/>
        <v>64.270734000000004</v>
      </c>
    </row>
    <row r="86" spans="1:29" x14ac:dyDescent="0.25">
      <c r="A86">
        <v>374801</v>
      </c>
      <c r="B86" t="s">
        <v>11</v>
      </c>
      <c r="C86" s="10">
        <v>17.63</v>
      </c>
      <c r="D86" s="10">
        <v>16.61</v>
      </c>
      <c r="E86" s="10">
        <v>0</v>
      </c>
      <c r="F86">
        <v>226</v>
      </c>
      <c r="G86" t="s">
        <v>12</v>
      </c>
      <c r="H86" s="11">
        <v>45988</v>
      </c>
      <c r="I86" t="s">
        <v>22</v>
      </c>
      <c r="J86" s="12">
        <v>0.5</v>
      </c>
      <c r="K86" s="3">
        <v>20.67</v>
      </c>
      <c r="L86" s="3">
        <f t="shared" si="11"/>
        <v>41.34</v>
      </c>
      <c r="M86" s="13"/>
      <c r="N86">
        <f>_xlfn.XLOOKUP(G86,'Tarievensheet per persoon'!AE:AE,'Tarievensheet per persoon'!AF:AF)</f>
        <v>1.6496999999999999</v>
      </c>
      <c r="O86">
        <f>_xlfn.XLOOKUP(G86,AE:AE,'Tarievensheet per persoon'!AG:AG)</f>
        <v>1.5022</v>
      </c>
      <c r="P86">
        <f>_xlfn.XLOOKUP(G86,AE:AE,'Tarievensheet per persoon'!AH:AH)</f>
        <v>1.2898000000000001</v>
      </c>
      <c r="Q86">
        <f>_xlfn.XLOOKUP(G86,AE:AE,'Tarievensheet per persoon'!AI:AI)</f>
        <v>1.2898000000000001</v>
      </c>
      <c r="R86">
        <v>0</v>
      </c>
      <c r="S86" s="14">
        <v>2.99</v>
      </c>
      <c r="T86" s="10">
        <f t="shared" si="12"/>
        <v>32.074210999999998</v>
      </c>
      <c r="U86" s="10">
        <f t="shared" si="13"/>
        <v>40.813860380000001</v>
      </c>
      <c r="V86" s="10">
        <f t="shared" si="14"/>
        <v>41.343536100000001</v>
      </c>
      <c r="W86" s="10">
        <f t="shared" si="15"/>
        <v>53.261239799999998</v>
      </c>
      <c r="X86" s="10">
        <f t="shared" si="16"/>
        <v>58.557997</v>
      </c>
      <c r="Y86" s="10">
        <f t="shared" si="17"/>
        <v>85.041782999999995</v>
      </c>
      <c r="Z86" s="10">
        <f t="shared" si="18"/>
        <v>29.993009199999999</v>
      </c>
      <c r="AA86" s="10">
        <f t="shared" si="19"/>
        <v>38.5624404</v>
      </c>
      <c r="AB86" s="10">
        <f t="shared" si="20"/>
        <v>42.847155999999998</v>
      </c>
      <c r="AC86" s="10">
        <f t="shared" si="21"/>
        <v>64.270734000000004</v>
      </c>
    </row>
    <row r="87" spans="1:29" x14ac:dyDescent="0.25">
      <c r="A87">
        <v>374801</v>
      </c>
      <c r="B87" t="s">
        <v>11</v>
      </c>
      <c r="C87" s="10">
        <v>17.63</v>
      </c>
      <c r="D87" s="10">
        <v>16.61</v>
      </c>
      <c r="E87" s="10">
        <v>0</v>
      </c>
      <c r="F87">
        <v>226</v>
      </c>
      <c r="G87" t="s">
        <v>12</v>
      </c>
      <c r="H87" s="11">
        <v>45989</v>
      </c>
      <c r="I87" t="s">
        <v>13</v>
      </c>
      <c r="J87" s="12">
        <v>2.5</v>
      </c>
      <c r="K87" s="3">
        <v>80.180000000000007</v>
      </c>
      <c r="L87" s="3">
        <f t="shared" si="11"/>
        <v>32.072000000000003</v>
      </c>
      <c r="M87" s="13"/>
      <c r="N87">
        <f>_xlfn.XLOOKUP(G87,'Tarievensheet per persoon'!AE:AE,'Tarievensheet per persoon'!AF:AF)</f>
        <v>1.6496999999999999</v>
      </c>
      <c r="O87">
        <f>_xlfn.XLOOKUP(G87,AE:AE,'Tarievensheet per persoon'!AG:AG)</f>
        <v>1.5022</v>
      </c>
      <c r="P87">
        <f>_xlfn.XLOOKUP(G87,AE:AE,'Tarievensheet per persoon'!AH:AH)</f>
        <v>1.2898000000000001</v>
      </c>
      <c r="Q87">
        <f>_xlfn.XLOOKUP(G87,AE:AE,'Tarievensheet per persoon'!AI:AI)</f>
        <v>1.2898000000000001</v>
      </c>
      <c r="R87">
        <v>0</v>
      </c>
      <c r="S87" s="14">
        <v>2.99</v>
      </c>
      <c r="T87" s="10">
        <f t="shared" si="12"/>
        <v>32.074210999999998</v>
      </c>
      <c r="U87" s="10">
        <f t="shared" si="13"/>
        <v>40.813860380000001</v>
      </c>
      <c r="V87" s="10">
        <f t="shared" si="14"/>
        <v>41.343536100000001</v>
      </c>
      <c r="W87" s="10">
        <f t="shared" si="15"/>
        <v>53.261239799999998</v>
      </c>
      <c r="X87" s="10">
        <f t="shared" si="16"/>
        <v>58.557997</v>
      </c>
      <c r="Y87" s="10">
        <f t="shared" si="17"/>
        <v>85.041782999999995</v>
      </c>
      <c r="Z87" s="10">
        <f t="shared" si="18"/>
        <v>29.993009199999999</v>
      </c>
      <c r="AA87" s="10">
        <f t="shared" si="19"/>
        <v>38.5624404</v>
      </c>
      <c r="AB87" s="10">
        <f t="shared" si="20"/>
        <v>42.847155999999998</v>
      </c>
      <c r="AC87" s="10">
        <f t="shared" si="21"/>
        <v>64.270734000000004</v>
      </c>
    </row>
    <row r="88" spans="1:29" x14ac:dyDescent="0.25">
      <c r="A88">
        <v>374801</v>
      </c>
      <c r="B88" t="s">
        <v>11</v>
      </c>
      <c r="C88" s="10">
        <v>17.63</v>
      </c>
      <c r="D88" s="10">
        <v>16.61</v>
      </c>
      <c r="E88" s="10">
        <v>0</v>
      </c>
      <c r="F88">
        <v>226</v>
      </c>
      <c r="G88" t="s">
        <v>12</v>
      </c>
      <c r="H88" s="11">
        <v>45989</v>
      </c>
      <c r="I88" t="s">
        <v>21</v>
      </c>
      <c r="J88" s="12">
        <v>5.5</v>
      </c>
      <c r="K88" s="3">
        <v>224.46</v>
      </c>
      <c r="L88" s="3">
        <f t="shared" si="11"/>
        <v>40.810909090909092</v>
      </c>
      <c r="M88" s="13"/>
      <c r="N88">
        <f>_xlfn.XLOOKUP(G88,'Tarievensheet per persoon'!AE:AE,'Tarievensheet per persoon'!AF:AF)</f>
        <v>1.6496999999999999</v>
      </c>
      <c r="O88">
        <f>_xlfn.XLOOKUP(G88,AE:AE,'Tarievensheet per persoon'!AG:AG)</f>
        <v>1.5022</v>
      </c>
      <c r="P88">
        <f>_xlfn.XLOOKUP(G88,AE:AE,'Tarievensheet per persoon'!AH:AH)</f>
        <v>1.2898000000000001</v>
      </c>
      <c r="Q88">
        <f>_xlfn.XLOOKUP(G88,AE:AE,'Tarievensheet per persoon'!AI:AI)</f>
        <v>1.2898000000000001</v>
      </c>
      <c r="R88">
        <v>0</v>
      </c>
      <c r="S88" s="14">
        <v>2.99</v>
      </c>
      <c r="T88" s="10">
        <f t="shared" si="12"/>
        <v>32.074210999999998</v>
      </c>
      <c r="U88" s="10">
        <f t="shared" si="13"/>
        <v>40.813860380000001</v>
      </c>
      <c r="V88" s="10">
        <f t="shared" si="14"/>
        <v>41.343536100000001</v>
      </c>
      <c r="W88" s="10">
        <f t="shared" si="15"/>
        <v>53.261239799999998</v>
      </c>
      <c r="X88" s="10">
        <f t="shared" si="16"/>
        <v>58.557997</v>
      </c>
      <c r="Y88" s="10">
        <f t="shared" si="17"/>
        <v>85.041782999999995</v>
      </c>
      <c r="Z88" s="10">
        <f t="shared" si="18"/>
        <v>29.993009199999999</v>
      </c>
      <c r="AA88" s="10">
        <f t="shared" si="19"/>
        <v>38.5624404</v>
      </c>
      <c r="AB88" s="10">
        <f t="shared" si="20"/>
        <v>42.847155999999998</v>
      </c>
      <c r="AC88" s="10">
        <f t="shared" si="21"/>
        <v>64.270734000000004</v>
      </c>
    </row>
    <row r="89" spans="1:29" x14ac:dyDescent="0.25">
      <c r="A89">
        <v>374801</v>
      </c>
      <c r="B89" t="s">
        <v>11</v>
      </c>
      <c r="C89" s="10">
        <v>17.63</v>
      </c>
      <c r="D89" s="10">
        <v>16.61</v>
      </c>
      <c r="E89" s="10">
        <v>0</v>
      </c>
      <c r="F89">
        <v>226</v>
      </c>
      <c r="G89" t="s">
        <v>12</v>
      </c>
      <c r="H89" s="11">
        <v>45989</v>
      </c>
      <c r="I89" t="s">
        <v>22</v>
      </c>
      <c r="J89" s="12">
        <v>0.25</v>
      </c>
      <c r="K89" s="3">
        <v>10.34</v>
      </c>
      <c r="L89" s="3">
        <f t="shared" si="11"/>
        <v>41.36</v>
      </c>
      <c r="M89" s="13"/>
      <c r="N89">
        <f>_xlfn.XLOOKUP(G89,'Tarievensheet per persoon'!AE:AE,'Tarievensheet per persoon'!AF:AF)</f>
        <v>1.6496999999999999</v>
      </c>
      <c r="O89">
        <f>_xlfn.XLOOKUP(G89,AE:AE,'Tarievensheet per persoon'!AG:AG)</f>
        <v>1.5022</v>
      </c>
      <c r="P89">
        <f>_xlfn.XLOOKUP(G89,AE:AE,'Tarievensheet per persoon'!AH:AH)</f>
        <v>1.2898000000000001</v>
      </c>
      <c r="Q89">
        <f>_xlfn.XLOOKUP(G89,AE:AE,'Tarievensheet per persoon'!AI:AI)</f>
        <v>1.2898000000000001</v>
      </c>
      <c r="R89">
        <v>0</v>
      </c>
      <c r="S89" s="14">
        <v>2.99</v>
      </c>
      <c r="T89" s="10">
        <f t="shared" si="12"/>
        <v>32.074210999999998</v>
      </c>
      <c r="U89" s="10">
        <f t="shared" si="13"/>
        <v>40.813860380000001</v>
      </c>
      <c r="V89" s="10">
        <f t="shared" si="14"/>
        <v>41.343536100000001</v>
      </c>
      <c r="W89" s="10">
        <f t="shared" si="15"/>
        <v>53.261239799999998</v>
      </c>
      <c r="X89" s="10">
        <f t="shared" si="16"/>
        <v>58.557997</v>
      </c>
      <c r="Y89" s="10">
        <f t="shared" si="17"/>
        <v>85.041782999999995</v>
      </c>
      <c r="Z89" s="10">
        <f t="shared" si="18"/>
        <v>29.993009199999999</v>
      </c>
      <c r="AA89" s="10">
        <f t="shared" si="19"/>
        <v>38.5624404</v>
      </c>
      <c r="AB89" s="10">
        <f t="shared" si="20"/>
        <v>42.847155999999998</v>
      </c>
      <c r="AC89" s="10">
        <f t="shared" si="21"/>
        <v>64.270734000000004</v>
      </c>
    </row>
    <row r="90" spans="1:29" x14ac:dyDescent="0.25">
      <c r="A90">
        <v>374814</v>
      </c>
      <c r="B90" t="s">
        <v>107</v>
      </c>
      <c r="C90" s="10">
        <v>17.87</v>
      </c>
      <c r="D90" s="10">
        <v>16.84</v>
      </c>
      <c r="E90" s="10">
        <v>0</v>
      </c>
      <c r="F90">
        <v>307</v>
      </c>
      <c r="G90" t="s">
        <v>12</v>
      </c>
      <c r="H90" s="11">
        <v>45985</v>
      </c>
      <c r="I90" t="s">
        <v>13</v>
      </c>
      <c r="J90" s="12">
        <v>6.5</v>
      </c>
      <c r="K90" s="3">
        <v>211.06</v>
      </c>
      <c r="L90" s="3">
        <f t="shared" si="11"/>
        <v>32.470769230769228</v>
      </c>
      <c r="M90" s="13"/>
      <c r="N90">
        <f>_xlfn.XLOOKUP(G90,'Tarievensheet per persoon'!AE:AE,'Tarievensheet per persoon'!AF:AF)</f>
        <v>1.6496999999999999</v>
      </c>
      <c r="O90">
        <f>_xlfn.XLOOKUP(G90,AE:AE,'Tarievensheet per persoon'!AG:AG)</f>
        <v>1.5022</v>
      </c>
      <c r="P90">
        <f>_xlfn.XLOOKUP(G90,AE:AE,'Tarievensheet per persoon'!AH:AH)</f>
        <v>1.2898000000000001</v>
      </c>
      <c r="Q90">
        <f>_xlfn.XLOOKUP(G90,AE:AE,'Tarievensheet per persoon'!AI:AI)</f>
        <v>1.2898000000000001</v>
      </c>
      <c r="R90">
        <v>0</v>
      </c>
      <c r="S90" s="14">
        <v>2.99</v>
      </c>
      <c r="T90" s="10">
        <f t="shared" si="12"/>
        <v>32.470139000000003</v>
      </c>
      <c r="U90" s="10">
        <f t="shared" si="13"/>
        <v>41.328762620000006</v>
      </c>
      <c r="V90" s="10">
        <f t="shared" si="14"/>
        <v>41.865648900000004</v>
      </c>
      <c r="W90" s="10">
        <f t="shared" si="15"/>
        <v>53.945590200000005</v>
      </c>
      <c r="X90" s="10">
        <f t="shared" si="16"/>
        <v>59.314453</v>
      </c>
      <c r="Y90" s="10">
        <f t="shared" si="17"/>
        <v>86.158767000000012</v>
      </c>
      <c r="Z90" s="10">
        <f t="shared" si="18"/>
        <v>30.408324799999999</v>
      </c>
      <c r="AA90" s="10">
        <f t="shared" si="19"/>
        <v>39.096417600000002</v>
      </c>
      <c r="AB90" s="10">
        <f t="shared" si="20"/>
        <v>43.440463999999999</v>
      </c>
      <c r="AC90" s="10">
        <f t="shared" si="21"/>
        <v>65.160696000000002</v>
      </c>
    </row>
    <row r="91" spans="1:29" x14ac:dyDescent="0.25">
      <c r="A91">
        <v>374814</v>
      </c>
      <c r="B91" t="s">
        <v>107</v>
      </c>
      <c r="C91" s="10">
        <v>17.87</v>
      </c>
      <c r="D91" s="10">
        <v>16.84</v>
      </c>
      <c r="E91" s="10">
        <v>0</v>
      </c>
      <c r="F91">
        <v>307</v>
      </c>
      <c r="G91" t="s">
        <v>12</v>
      </c>
      <c r="H91" s="11">
        <v>45985</v>
      </c>
      <c r="I91" t="s">
        <v>22</v>
      </c>
      <c r="J91" s="12">
        <v>0.75</v>
      </c>
      <c r="K91" s="3">
        <v>31.4</v>
      </c>
      <c r="L91" s="3">
        <f t="shared" si="11"/>
        <v>41.866666666666667</v>
      </c>
      <c r="M91" s="13"/>
      <c r="N91">
        <f>_xlfn.XLOOKUP(G91,'Tarievensheet per persoon'!AE:AE,'Tarievensheet per persoon'!AF:AF)</f>
        <v>1.6496999999999999</v>
      </c>
      <c r="O91">
        <f>_xlfn.XLOOKUP(G91,AE:AE,'Tarievensheet per persoon'!AG:AG)</f>
        <v>1.5022</v>
      </c>
      <c r="P91">
        <f>_xlfn.XLOOKUP(G91,AE:AE,'Tarievensheet per persoon'!AH:AH)</f>
        <v>1.2898000000000001</v>
      </c>
      <c r="Q91">
        <f>_xlfn.XLOOKUP(G91,AE:AE,'Tarievensheet per persoon'!AI:AI)</f>
        <v>1.2898000000000001</v>
      </c>
      <c r="R91">
        <v>0</v>
      </c>
      <c r="S91" s="14">
        <v>2.99</v>
      </c>
      <c r="T91" s="10">
        <f t="shared" si="12"/>
        <v>32.470139000000003</v>
      </c>
      <c r="U91" s="10">
        <f t="shared" si="13"/>
        <v>41.328762620000006</v>
      </c>
      <c r="V91" s="10">
        <f t="shared" si="14"/>
        <v>41.865648900000004</v>
      </c>
      <c r="W91" s="10">
        <f t="shared" si="15"/>
        <v>53.945590200000005</v>
      </c>
      <c r="X91" s="10">
        <f t="shared" si="16"/>
        <v>59.314453</v>
      </c>
      <c r="Y91" s="10">
        <f t="shared" si="17"/>
        <v>86.158767000000012</v>
      </c>
      <c r="Z91" s="10">
        <f t="shared" si="18"/>
        <v>30.408324799999999</v>
      </c>
      <c r="AA91" s="10">
        <f t="shared" si="19"/>
        <v>39.096417600000002</v>
      </c>
      <c r="AB91" s="10">
        <f t="shared" si="20"/>
        <v>43.440463999999999</v>
      </c>
      <c r="AC91" s="10">
        <f t="shared" si="21"/>
        <v>65.160696000000002</v>
      </c>
    </row>
    <row r="92" spans="1:29" x14ac:dyDescent="0.25">
      <c r="A92">
        <v>374814</v>
      </c>
      <c r="B92" t="s">
        <v>107</v>
      </c>
      <c r="C92" s="10">
        <v>17.87</v>
      </c>
      <c r="D92" s="10">
        <v>16.84</v>
      </c>
      <c r="E92" s="10">
        <v>0</v>
      </c>
      <c r="F92">
        <v>307</v>
      </c>
      <c r="G92" t="s">
        <v>12</v>
      </c>
      <c r="H92" s="11">
        <v>45986</v>
      </c>
      <c r="I92" t="s">
        <v>13</v>
      </c>
      <c r="J92" s="12">
        <v>6.25</v>
      </c>
      <c r="K92" s="3">
        <v>202.94</v>
      </c>
      <c r="L92" s="3">
        <f t="shared" si="11"/>
        <v>32.470399999999998</v>
      </c>
      <c r="M92" s="13"/>
      <c r="N92">
        <f>_xlfn.XLOOKUP(G92,'Tarievensheet per persoon'!AE:AE,'Tarievensheet per persoon'!AF:AF)</f>
        <v>1.6496999999999999</v>
      </c>
      <c r="O92">
        <f>_xlfn.XLOOKUP(G92,AE:AE,'Tarievensheet per persoon'!AG:AG)</f>
        <v>1.5022</v>
      </c>
      <c r="P92">
        <f>_xlfn.XLOOKUP(G92,AE:AE,'Tarievensheet per persoon'!AH:AH)</f>
        <v>1.2898000000000001</v>
      </c>
      <c r="Q92">
        <f>_xlfn.XLOOKUP(G92,AE:AE,'Tarievensheet per persoon'!AI:AI)</f>
        <v>1.2898000000000001</v>
      </c>
      <c r="R92">
        <v>0</v>
      </c>
      <c r="S92" s="14">
        <v>2.99</v>
      </c>
      <c r="T92" s="10">
        <f t="shared" si="12"/>
        <v>32.470139000000003</v>
      </c>
      <c r="U92" s="10">
        <f t="shared" si="13"/>
        <v>41.328762620000006</v>
      </c>
      <c r="V92" s="10">
        <f t="shared" si="14"/>
        <v>41.865648900000004</v>
      </c>
      <c r="W92" s="10">
        <f t="shared" si="15"/>
        <v>53.945590200000005</v>
      </c>
      <c r="X92" s="10">
        <f t="shared" si="16"/>
        <v>59.314453</v>
      </c>
      <c r="Y92" s="10">
        <f t="shared" si="17"/>
        <v>86.158767000000012</v>
      </c>
      <c r="Z92" s="10">
        <f t="shared" si="18"/>
        <v>30.408324799999999</v>
      </c>
      <c r="AA92" s="10">
        <f t="shared" si="19"/>
        <v>39.096417600000002</v>
      </c>
      <c r="AB92" s="10">
        <f t="shared" si="20"/>
        <v>43.440463999999999</v>
      </c>
      <c r="AC92" s="10">
        <f t="shared" si="21"/>
        <v>65.160696000000002</v>
      </c>
    </row>
    <row r="93" spans="1:29" x14ac:dyDescent="0.25">
      <c r="A93">
        <v>374814</v>
      </c>
      <c r="B93" t="s">
        <v>107</v>
      </c>
      <c r="C93" s="10">
        <v>17.87</v>
      </c>
      <c r="D93" s="10">
        <v>16.84</v>
      </c>
      <c r="E93" s="10">
        <v>0</v>
      </c>
      <c r="F93">
        <v>307</v>
      </c>
      <c r="G93" t="s">
        <v>12</v>
      </c>
      <c r="H93" s="11">
        <v>45986</v>
      </c>
      <c r="I93" t="s">
        <v>22</v>
      </c>
      <c r="J93" s="12">
        <v>1.75</v>
      </c>
      <c r="K93" s="3">
        <v>73.260000000000005</v>
      </c>
      <c r="L93" s="3">
        <f t="shared" si="11"/>
        <v>41.862857142857145</v>
      </c>
      <c r="M93" s="13"/>
      <c r="N93">
        <f>_xlfn.XLOOKUP(G93,'Tarievensheet per persoon'!AE:AE,'Tarievensheet per persoon'!AF:AF)</f>
        <v>1.6496999999999999</v>
      </c>
      <c r="O93">
        <f>_xlfn.XLOOKUP(G93,AE:AE,'Tarievensheet per persoon'!AG:AG)</f>
        <v>1.5022</v>
      </c>
      <c r="P93">
        <f>_xlfn.XLOOKUP(G93,AE:AE,'Tarievensheet per persoon'!AH:AH)</f>
        <v>1.2898000000000001</v>
      </c>
      <c r="Q93">
        <f>_xlfn.XLOOKUP(G93,AE:AE,'Tarievensheet per persoon'!AI:AI)</f>
        <v>1.2898000000000001</v>
      </c>
      <c r="R93">
        <v>0</v>
      </c>
      <c r="S93" s="14">
        <v>2.99</v>
      </c>
      <c r="T93" s="10">
        <f t="shared" si="12"/>
        <v>32.470139000000003</v>
      </c>
      <c r="U93" s="10">
        <f t="shared" si="13"/>
        <v>41.328762620000006</v>
      </c>
      <c r="V93" s="10">
        <f t="shared" si="14"/>
        <v>41.865648900000004</v>
      </c>
      <c r="W93" s="10">
        <f t="shared" si="15"/>
        <v>53.945590200000005</v>
      </c>
      <c r="X93" s="10">
        <f t="shared" si="16"/>
        <v>59.314453</v>
      </c>
      <c r="Y93" s="10">
        <f t="shared" si="17"/>
        <v>86.158767000000012</v>
      </c>
      <c r="Z93" s="10">
        <f t="shared" si="18"/>
        <v>30.408324799999999</v>
      </c>
      <c r="AA93" s="10">
        <f t="shared" si="19"/>
        <v>39.096417600000002</v>
      </c>
      <c r="AB93" s="10">
        <f t="shared" si="20"/>
        <v>43.440463999999999</v>
      </c>
      <c r="AC93" s="10">
        <f t="shared" si="21"/>
        <v>65.160696000000002</v>
      </c>
    </row>
    <row r="94" spans="1:29" x14ac:dyDescent="0.25">
      <c r="A94">
        <v>374814</v>
      </c>
      <c r="B94" t="s">
        <v>107</v>
      </c>
      <c r="C94" s="10">
        <v>17.87</v>
      </c>
      <c r="D94" s="10">
        <v>16.84</v>
      </c>
      <c r="E94" s="10">
        <v>0</v>
      </c>
      <c r="F94">
        <v>307</v>
      </c>
      <c r="G94" t="s">
        <v>12</v>
      </c>
      <c r="H94" s="11">
        <v>45987</v>
      </c>
      <c r="I94" t="s">
        <v>13</v>
      </c>
      <c r="J94" s="12">
        <v>5.25</v>
      </c>
      <c r="K94" s="3">
        <v>170.47</v>
      </c>
      <c r="L94" s="3">
        <f t="shared" si="11"/>
        <v>32.470476190476191</v>
      </c>
      <c r="M94" s="13"/>
      <c r="N94">
        <f>_xlfn.XLOOKUP(G94,'Tarievensheet per persoon'!AE:AE,'Tarievensheet per persoon'!AF:AF)</f>
        <v>1.6496999999999999</v>
      </c>
      <c r="O94">
        <f>_xlfn.XLOOKUP(G94,AE:AE,'Tarievensheet per persoon'!AG:AG)</f>
        <v>1.5022</v>
      </c>
      <c r="P94">
        <f>_xlfn.XLOOKUP(G94,AE:AE,'Tarievensheet per persoon'!AH:AH)</f>
        <v>1.2898000000000001</v>
      </c>
      <c r="Q94">
        <f>_xlfn.XLOOKUP(G94,AE:AE,'Tarievensheet per persoon'!AI:AI)</f>
        <v>1.2898000000000001</v>
      </c>
      <c r="R94">
        <v>0</v>
      </c>
      <c r="S94" s="14">
        <v>2.99</v>
      </c>
      <c r="T94" s="10">
        <f t="shared" si="12"/>
        <v>32.470139000000003</v>
      </c>
      <c r="U94" s="10">
        <f t="shared" si="13"/>
        <v>41.328762620000006</v>
      </c>
      <c r="V94" s="10">
        <f t="shared" si="14"/>
        <v>41.865648900000004</v>
      </c>
      <c r="W94" s="10">
        <f t="shared" si="15"/>
        <v>53.945590200000005</v>
      </c>
      <c r="X94" s="10">
        <f t="shared" si="16"/>
        <v>59.314453</v>
      </c>
      <c r="Y94" s="10">
        <f t="shared" si="17"/>
        <v>86.158767000000012</v>
      </c>
      <c r="Z94" s="10">
        <f t="shared" si="18"/>
        <v>30.408324799999999</v>
      </c>
      <c r="AA94" s="10">
        <f t="shared" si="19"/>
        <v>39.096417600000002</v>
      </c>
      <c r="AB94" s="10">
        <f t="shared" si="20"/>
        <v>43.440463999999999</v>
      </c>
      <c r="AC94" s="10">
        <f t="shared" si="21"/>
        <v>65.160696000000002</v>
      </c>
    </row>
    <row r="95" spans="1:29" x14ac:dyDescent="0.25">
      <c r="A95">
        <v>374814</v>
      </c>
      <c r="B95" t="s">
        <v>107</v>
      </c>
      <c r="C95" s="10">
        <v>17.87</v>
      </c>
      <c r="D95" s="10">
        <v>16.84</v>
      </c>
      <c r="E95" s="10">
        <v>0</v>
      </c>
      <c r="F95">
        <v>307</v>
      </c>
      <c r="G95" t="s">
        <v>12</v>
      </c>
      <c r="H95" s="11">
        <v>45987</v>
      </c>
      <c r="I95" t="s">
        <v>23</v>
      </c>
      <c r="J95" s="12">
        <v>0.75</v>
      </c>
      <c r="K95" s="3">
        <v>22.81</v>
      </c>
      <c r="L95" s="3">
        <f t="shared" si="11"/>
        <v>30.41333333333333</v>
      </c>
      <c r="M95" s="13"/>
      <c r="N95">
        <f>_xlfn.XLOOKUP(G95,'Tarievensheet per persoon'!AE:AE,'Tarievensheet per persoon'!AF:AF)</f>
        <v>1.6496999999999999</v>
      </c>
      <c r="O95">
        <f>_xlfn.XLOOKUP(G95,AE:AE,'Tarievensheet per persoon'!AG:AG)</f>
        <v>1.5022</v>
      </c>
      <c r="P95">
        <f>_xlfn.XLOOKUP(G95,AE:AE,'Tarievensheet per persoon'!AH:AH)</f>
        <v>1.2898000000000001</v>
      </c>
      <c r="Q95">
        <f>_xlfn.XLOOKUP(G95,AE:AE,'Tarievensheet per persoon'!AI:AI)</f>
        <v>1.2898000000000001</v>
      </c>
      <c r="R95">
        <v>0</v>
      </c>
      <c r="S95" s="14">
        <v>2.99</v>
      </c>
      <c r="T95" s="10">
        <f t="shared" si="12"/>
        <v>32.470139000000003</v>
      </c>
      <c r="U95" s="10">
        <f t="shared" si="13"/>
        <v>41.328762620000006</v>
      </c>
      <c r="V95" s="10">
        <f t="shared" si="14"/>
        <v>41.865648900000004</v>
      </c>
      <c r="W95" s="10">
        <f t="shared" si="15"/>
        <v>53.945590200000005</v>
      </c>
      <c r="X95" s="10">
        <f t="shared" si="16"/>
        <v>59.314453</v>
      </c>
      <c r="Y95" s="10">
        <f t="shared" si="17"/>
        <v>86.158767000000012</v>
      </c>
      <c r="Z95" s="10">
        <f t="shared" si="18"/>
        <v>30.408324799999999</v>
      </c>
      <c r="AA95" s="10">
        <f t="shared" si="19"/>
        <v>39.096417600000002</v>
      </c>
      <c r="AB95" s="10">
        <f t="shared" si="20"/>
        <v>43.440463999999999</v>
      </c>
      <c r="AC95" s="10">
        <f t="shared" si="21"/>
        <v>65.160696000000002</v>
      </c>
    </row>
    <row r="96" spans="1:29" x14ac:dyDescent="0.25">
      <c r="A96">
        <v>374814</v>
      </c>
      <c r="B96" t="s">
        <v>107</v>
      </c>
      <c r="C96" s="10">
        <v>17.87</v>
      </c>
      <c r="D96" s="10">
        <v>16.84</v>
      </c>
      <c r="E96" s="10">
        <v>0</v>
      </c>
      <c r="F96">
        <v>307</v>
      </c>
      <c r="G96" t="s">
        <v>12</v>
      </c>
      <c r="H96" s="11">
        <v>45987</v>
      </c>
      <c r="I96" t="s">
        <v>22</v>
      </c>
      <c r="J96" s="12">
        <v>2.5</v>
      </c>
      <c r="K96" s="3">
        <v>104.65</v>
      </c>
      <c r="L96" s="3">
        <f t="shared" si="11"/>
        <v>41.86</v>
      </c>
      <c r="M96" s="13"/>
      <c r="N96">
        <f>_xlfn.XLOOKUP(G96,'Tarievensheet per persoon'!AE:AE,'Tarievensheet per persoon'!AF:AF)</f>
        <v>1.6496999999999999</v>
      </c>
      <c r="O96">
        <f>_xlfn.XLOOKUP(G96,AE:AE,'Tarievensheet per persoon'!AG:AG)</f>
        <v>1.5022</v>
      </c>
      <c r="P96">
        <f>_xlfn.XLOOKUP(G96,AE:AE,'Tarievensheet per persoon'!AH:AH)</f>
        <v>1.2898000000000001</v>
      </c>
      <c r="Q96">
        <f>_xlfn.XLOOKUP(G96,AE:AE,'Tarievensheet per persoon'!AI:AI)</f>
        <v>1.2898000000000001</v>
      </c>
      <c r="R96">
        <v>0</v>
      </c>
      <c r="S96" s="14">
        <v>2.99</v>
      </c>
      <c r="T96" s="10">
        <f t="shared" si="12"/>
        <v>32.470139000000003</v>
      </c>
      <c r="U96" s="10">
        <f t="shared" si="13"/>
        <v>41.328762620000006</v>
      </c>
      <c r="V96" s="10">
        <f t="shared" si="14"/>
        <v>41.865648900000004</v>
      </c>
      <c r="W96" s="10">
        <f t="shared" si="15"/>
        <v>53.945590200000005</v>
      </c>
      <c r="X96" s="10">
        <f t="shared" si="16"/>
        <v>59.314453</v>
      </c>
      <c r="Y96" s="10">
        <f t="shared" si="17"/>
        <v>86.158767000000012</v>
      </c>
      <c r="Z96" s="10">
        <f t="shared" si="18"/>
        <v>30.408324799999999</v>
      </c>
      <c r="AA96" s="10">
        <f t="shared" si="19"/>
        <v>39.096417600000002</v>
      </c>
      <c r="AB96" s="10">
        <f t="shared" si="20"/>
        <v>43.440463999999999</v>
      </c>
      <c r="AC96" s="10">
        <f t="shared" si="21"/>
        <v>65.160696000000002</v>
      </c>
    </row>
    <row r="97" spans="1:29" x14ac:dyDescent="0.25">
      <c r="A97">
        <v>374814</v>
      </c>
      <c r="B97" t="s">
        <v>107</v>
      </c>
      <c r="C97" s="10">
        <v>17.87</v>
      </c>
      <c r="D97" s="10">
        <v>16.84</v>
      </c>
      <c r="E97" s="10">
        <v>0</v>
      </c>
      <c r="F97">
        <v>307</v>
      </c>
      <c r="G97" t="s">
        <v>12</v>
      </c>
      <c r="H97" s="11">
        <v>45988</v>
      </c>
      <c r="I97" t="s">
        <v>13</v>
      </c>
      <c r="J97" s="12">
        <v>6</v>
      </c>
      <c r="K97" s="3">
        <v>194.82</v>
      </c>
      <c r="L97" s="3">
        <f t="shared" si="11"/>
        <v>32.47</v>
      </c>
      <c r="M97" s="13"/>
      <c r="N97">
        <f>_xlfn.XLOOKUP(G97,'Tarievensheet per persoon'!AE:AE,'Tarievensheet per persoon'!AF:AF)</f>
        <v>1.6496999999999999</v>
      </c>
      <c r="O97">
        <f>_xlfn.XLOOKUP(G97,AE:AE,'Tarievensheet per persoon'!AG:AG)</f>
        <v>1.5022</v>
      </c>
      <c r="P97">
        <f>_xlfn.XLOOKUP(G97,AE:AE,'Tarievensheet per persoon'!AH:AH)</f>
        <v>1.2898000000000001</v>
      </c>
      <c r="Q97">
        <f>_xlfn.XLOOKUP(G97,AE:AE,'Tarievensheet per persoon'!AI:AI)</f>
        <v>1.2898000000000001</v>
      </c>
      <c r="R97">
        <v>0</v>
      </c>
      <c r="S97" s="14">
        <v>2.99</v>
      </c>
      <c r="T97" s="10">
        <f t="shared" si="12"/>
        <v>32.470139000000003</v>
      </c>
      <c r="U97" s="10">
        <f t="shared" si="13"/>
        <v>41.328762620000006</v>
      </c>
      <c r="V97" s="10">
        <f t="shared" si="14"/>
        <v>41.865648900000004</v>
      </c>
      <c r="W97" s="10">
        <f t="shared" si="15"/>
        <v>53.945590200000005</v>
      </c>
      <c r="X97" s="10">
        <f t="shared" si="16"/>
        <v>59.314453</v>
      </c>
      <c r="Y97" s="10">
        <f t="shared" si="17"/>
        <v>86.158767000000012</v>
      </c>
      <c r="Z97" s="10">
        <f t="shared" si="18"/>
        <v>30.408324799999999</v>
      </c>
      <c r="AA97" s="10">
        <f t="shared" si="19"/>
        <v>39.096417600000002</v>
      </c>
      <c r="AB97" s="10">
        <f t="shared" si="20"/>
        <v>43.440463999999999</v>
      </c>
      <c r="AC97" s="10">
        <f t="shared" si="21"/>
        <v>65.160696000000002</v>
      </c>
    </row>
    <row r="98" spans="1:29" x14ac:dyDescent="0.25">
      <c r="A98">
        <v>374814</v>
      </c>
      <c r="B98" t="s">
        <v>107</v>
      </c>
      <c r="C98" s="10">
        <v>17.87</v>
      </c>
      <c r="D98" s="10">
        <v>16.84</v>
      </c>
      <c r="E98" s="10">
        <v>0</v>
      </c>
      <c r="F98">
        <v>307</v>
      </c>
      <c r="G98" t="s">
        <v>12</v>
      </c>
      <c r="H98" s="11">
        <v>45988</v>
      </c>
      <c r="I98" t="s">
        <v>22</v>
      </c>
      <c r="J98" s="12">
        <v>2.5</v>
      </c>
      <c r="K98" s="3">
        <v>104.65</v>
      </c>
      <c r="L98" s="3">
        <f t="shared" si="11"/>
        <v>41.86</v>
      </c>
      <c r="M98" s="13"/>
      <c r="N98">
        <f>_xlfn.XLOOKUP(G98,'Tarievensheet per persoon'!AE:AE,'Tarievensheet per persoon'!AF:AF)</f>
        <v>1.6496999999999999</v>
      </c>
      <c r="O98">
        <f>_xlfn.XLOOKUP(G98,AE:AE,'Tarievensheet per persoon'!AG:AG)</f>
        <v>1.5022</v>
      </c>
      <c r="P98">
        <f>_xlfn.XLOOKUP(G98,AE:AE,'Tarievensheet per persoon'!AH:AH)</f>
        <v>1.2898000000000001</v>
      </c>
      <c r="Q98">
        <f>_xlfn.XLOOKUP(G98,AE:AE,'Tarievensheet per persoon'!AI:AI)</f>
        <v>1.2898000000000001</v>
      </c>
      <c r="R98">
        <v>0</v>
      </c>
      <c r="S98" s="14">
        <v>2.99</v>
      </c>
      <c r="T98" s="10">
        <f t="shared" si="12"/>
        <v>32.470139000000003</v>
      </c>
      <c r="U98" s="10">
        <f t="shared" si="13"/>
        <v>41.328762620000006</v>
      </c>
      <c r="V98" s="10">
        <f t="shared" si="14"/>
        <v>41.865648900000004</v>
      </c>
      <c r="W98" s="10">
        <f t="shared" si="15"/>
        <v>53.945590200000005</v>
      </c>
      <c r="X98" s="10">
        <f t="shared" si="16"/>
        <v>59.314453</v>
      </c>
      <c r="Y98" s="10">
        <f t="shared" si="17"/>
        <v>86.158767000000012</v>
      </c>
      <c r="Z98" s="10">
        <f t="shared" si="18"/>
        <v>30.408324799999999</v>
      </c>
      <c r="AA98" s="10">
        <f t="shared" si="19"/>
        <v>39.096417600000002</v>
      </c>
      <c r="AB98" s="10">
        <f t="shared" si="20"/>
        <v>43.440463999999999</v>
      </c>
      <c r="AC98" s="10">
        <f t="shared" si="21"/>
        <v>65.160696000000002</v>
      </c>
    </row>
    <row r="99" spans="1:29" x14ac:dyDescent="0.25">
      <c r="A99">
        <v>374814</v>
      </c>
      <c r="B99" t="s">
        <v>107</v>
      </c>
      <c r="C99" s="10">
        <v>17.87</v>
      </c>
      <c r="D99" s="10">
        <v>16.84</v>
      </c>
      <c r="E99" s="10">
        <v>0</v>
      </c>
      <c r="F99">
        <v>307</v>
      </c>
      <c r="G99" t="s">
        <v>12</v>
      </c>
      <c r="H99" s="11">
        <v>45989</v>
      </c>
      <c r="I99" t="s">
        <v>13</v>
      </c>
      <c r="J99" s="12">
        <v>6</v>
      </c>
      <c r="K99" s="3">
        <v>194.82</v>
      </c>
      <c r="L99" s="3">
        <f t="shared" si="11"/>
        <v>32.47</v>
      </c>
      <c r="M99" s="13"/>
      <c r="N99">
        <f>_xlfn.XLOOKUP(G99,'Tarievensheet per persoon'!AE:AE,'Tarievensheet per persoon'!AF:AF)</f>
        <v>1.6496999999999999</v>
      </c>
      <c r="O99">
        <f>_xlfn.XLOOKUP(G99,AE:AE,'Tarievensheet per persoon'!AG:AG)</f>
        <v>1.5022</v>
      </c>
      <c r="P99">
        <f>_xlfn.XLOOKUP(G99,AE:AE,'Tarievensheet per persoon'!AH:AH)</f>
        <v>1.2898000000000001</v>
      </c>
      <c r="Q99">
        <f>_xlfn.XLOOKUP(G99,AE:AE,'Tarievensheet per persoon'!AI:AI)</f>
        <v>1.2898000000000001</v>
      </c>
      <c r="R99">
        <v>0</v>
      </c>
      <c r="S99" s="14">
        <v>2.99</v>
      </c>
      <c r="T99" s="10">
        <f t="shared" si="12"/>
        <v>32.470139000000003</v>
      </c>
      <c r="U99" s="10">
        <f t="shared" si="13"/>
        <v>41.328762620000006</v>
      </c>
      <c r="V99" s="10">
        <f t="shared" si="14"/>
        <v>41.865648900000004</v>
      </c>
      <c r="W99" s="10">
        <f t="shared" si="15"/>
        <v>53.945590200000005</v>
      </c>
      <c r="X99" s="10">
        <f t="shared" si="16"/>
        <v>59.314453</v>
      </c>
      <c r="Y99" s="10">
        <f t="shared" si="17"/>
        <v>86.158767000000012</v>
      </c>
      <c r="Z99" s="10">
        <f t="shared" si="18"/>
        <v>30.408324799999999</v>
      </c>
      <c r="AA99" s="10">
        <f t="shared" si="19"/>
        <v>39.096417600000002</v>
      </c>
      <c r="AB99" s="10">
        <f t="shared" si="20"/>
        <v>43.440463999999999</v>
      </c>
      <c r="AC99" s="10">
        <f t="shared" si="21"/>
        <v>65.160696000000002</v>
      </c>
    </row>
    <row r="100" spans="1:29" x14ac:dyDescent="0.25">
      <c r="A100">
        <v>374814</v>
      </c>
      <c r="B100" t="s">
        <v>107</v>
      </c>
      <c r="C100" s="10">
        <v>17.87</v>
      </c>
      <c r="D100" s="10">
        <v>16.84</v>
      </c>
      <c r="E100" s="10">
        <v>0</v>
      </c>
      <c r="F100">
        <v>307</v>
      </c>
      <c r="G100" t="s">
        <v>12</v>
      </c>
      <c r="H100" s="11">
        <v>45989</v>
      </c>
      <c r="I100" t="s">
        <v>22</v>
      </c>
      <c r="J100" s="12">
        <v>2.5</v>
      </c>
      <c r="K100" s="3">
        <v>104.65</v>
      </c>
      <c r="L100" s="3">
        <f t="shared" si="11"/>
        <v>41.86</v>
      </c>
      <c r="M100" s="13"/>
      <c r="N100">
        <f>_xlfn.XLOOKUP(G100,'Tarievensheet per persoon'!AE:AE,'Tarievensheet per persoon'!AF:AF)</f>
        <v>1.6496999999999999</v>
      </c>
      <c r="O100">
        <f>_xlfn.XLOOKUP(G100,AE:AE,'Tarievensheet per persoon'!AG:AG)</f>
        <v>1.5022</v>
      </c>
      <c r="P100">
        <f>_xlfn.XLOOKUP(G100,AE:AE,'Tarievensheet per persoon'!AH:AH)</f>
        <v>1.2898000000000001</v>
      </c>
      <c r="Q100">
        <f>_xlfn.XLOOKUP(G100,AE:AE,'Tarievensheet per persoon'!AI:AI)</f>
        <v>1.2898000000000001</v>
      </c>
      <c r="R100">
        <v>0</v>
      </c>
      <c r="S100" s="14">
        <v>2.99</v>
      </c>
      <c r="T100" s="10">
        <f t="shared" si="12"/>
        <v>32.470139000000003</v>
      </c>
      <c r="U100" s="10">
        <f t="shared" si="13"/>
        <v>41.328762620000006</v>
      </c>
      <c r="V100" s="10">
        <f t="shared" si="14"/>
        <v>41.865648900000004</v>
      </c>
      <c r="W100" s="10">
        <f t="shared" si="15"/>
        <v>53.945590200000005</v>
      </c>
      <c r="X100" s="10">
        <f t="shared" si="16"/>
        <v>59.314453</v>
      </c>
      <c r="Y100" s="10">
        <f t="shared" si="17"/>
        <v>86.158767000000012</v>
      </c>
      <c r="Z100" s="10">
        <f t="shared" si="18"/>
        <v>30.408324799999999</v>
      </c>
      <c r="AA100" s="10">
        <f t="shared" si="19"/>
        <v>39.096417600000002</v>
      </c>
      <c r="AB100" s="10">
        <f t="shared" si="20"/>
        <v>43.440463999999999</v>
      </c>
      <c r="AC100" s="10">
        <f t="shared" si="21"/>
        <v>65.160696000000002</v>
      </c>
    </row>
    <row r="101" spans="1:29" x14ac:dyDescent="0.25">
      <c r="A101">
        <v>374816</v>
      </c>
      <c r="B101" t="s">
        <v>29</v>
      </c>
      <c r="C101" s="10">
        <v>16.510000000000002</v>
      </c>
      <c r="D101" s="10">
        <v>15.56</v>
      </c>
      <c r="E101" s="10">
        <v>0</v>
      </c>
      <c r="F101">
        <v>181</v>
      </c>
      <c r="G101" t="s">
        <v>19</v>
      </c>
      <c r="H101" s="11">
        <v>45985</v>
      </c>
      <c r="I101" t="s">
        <v>13</v>
      </c>
      <c r="J101" s="12">
        <v>8</v>
      </c>
      <c r="K101" s="3">
        <v>249.36</v>
      </c>
      <c r="L101" s="3">
        <f t="shared" si="11"/>
        <v>31.17</v>
      </c>
      <c r="M101" s="13"/>
      <c r="N101">
        <f>_xlfn.XLOOKUP(G101,'Tarievensheet per persoon'!AE:AE,'Tarievensheet per persoon'!AF:AF)</f>
        <v>1.7068000000000001</v>
      </c>
      <c r="O101">
        <f>_xlfn.XLOOKUP(G101,AE:AE,'Tarievensheet per persoon'!AG:AG)</f>
        <v>1.5528</v>
      </c>
      <c r="P101">
        <f>_xlfn.XLOOKUP(G101,AE:AE,'Tarievensheet per persoon'!AH:AH)</f>
        <v>1.3391999999999999</v>
      </c>
      <c r="Q101">
        <f>_xlfn.XLOOKUP(G101,AE:AE,'Tarievensheet per persoon'!AI:AI)</f>
        <v>1.3391999999999999</v>
      </c>
      <c r="R101">
        <v>0</v>
      </c>
      <c r="S101" s="14">
        <v>2.99</v>
      </c>
      <c r="T101" s="10">
        <f t="shared" si="12"/>
        <v>31.169268000000002</v>
      </c>
      <c r="U101" s="10">
        <f t="shared" si="13"/>
        <v>39.629388240000004</v>
      </c>
      <c r="V101" s="10">
        <f t="shared" si="14"/>
        <v>40.142122800000003</v>
      </c>
      <c r="W101" s="10">
        <f t="shared" si="15"/>
        <v>51.678650400000009</v>
      </c>
      <c r="X101" s="10">
        <f t="shared" si="16"/>
        <v>56.805996000000007</v>
      </c>
      <c r="Y101" s="10">
        <f t="shared" si="17"/>
        <v>82.442723999999998</v>
      </c>
      <c r="Z101" s="10">
        <f t="shared" si="18"/>
        <v>29.173132799999998</v>
      </c>
      <c r="AA101" s="10">
        <f t="shared" si="19"/>
        <v>37.508313600000001</v>
      </c>
      <c r="AB101" s="10">
        <f t="shared" si="20"/>
        <v>41.675904000000003</v>
      </c>
      <c r="AC101" s="10">
        <f t="shared" si="21"/>
        <v>62.513855999999997</v>
      </c>
    </row>
    <row r="102" spans="1:29" x14ac:dyDescent="0.25">
      <c r="A102">
        <v>374816</v>
      </c>
      <c r="B102" t="s">
        <v>29</v>
      </c>
      <c r="C102" s="10">
        <v>16.510000000000002</v>
      </c>
      <c r="D102" s="10">
        <v>15.56</v>
      </c>
      <c r="E102" s="10">
        <v>0</v>
      </c>
      <c r="F102">
        <v>181</v>
      </c>
      <c r="G102" t="s">
        <v>19</v>
      </c>
      <c r="H102" s="11">
        <v>45986</v>
      </c>
      <c r="I102" t="s">
        <v>13</v>
      </c>
      <c r="J102" s="12">
        <v>8</v>
      </c>
      <c r="K102" s="3">
        <v>249.36</v>
      </c>
      <c r="L102" s="3">
        <f t="shared" si="11"/>
        <v>31.17</v>
      </c>
      <c r="M102" s="13"/>
      <c r="N102">
        <f>_xlfn.XLOOKUP(G102,'Tarievensheet per persoon'!AE:AE,'Tarievensheet per persoon'!AF:AF)</f>
        <v>1.7068000000000001</v>
      </c>
      <c r="O102">
        <f>_xlfn.XLOOKUP(G102,AE:AE,'Tarievensheet per persoon'!AG:AG)</f>
        <v>1.5528</v>
      </c>
      <c r="P102">
        <f>_xlfn.XLOOKUP(G102,AE:AE,'Tarievensheet per persoon'!AH:AH)</f>
        <v>1.3391999999999999</v>
      </c>
      <c r="Q102">
        <f>_xlfn.XLOOKUP(G102,AE:AE,'Tarievensheet per persoon'!AI:AI)</f>
        <v>1.3391999999999999</v>
      </c>
      <c r="R102">
        <v>0</v>
      </c>
      <c r="S102" s="14">
        <v>2.99</v>
      </c>
      <c r="T102" s="10">
        <f t="shared" si="12"/>
        <v>31.169268000000002</v>
      </c>
      <c r="U102" s="10">
        <f t="shared" si="13"/>
        <v>39.629388240000004</v>
      </c>
      <c r="V102" s="10">
        <f t="shared" si="14"/>
        <v>40.142122800000003</v>
      </c>
      <c r="W102" s="10">
        <f t="shared" si="15"/>
        <v>51.678650400000009</v>
      </c>
      <c r="X102" s="10">
        <f t="shared" si="16"/>
        <v>56.805996000000007</v>
      </c>
      <c r="Y102" s="10">
        <f t="shared" si="17"/>
        <v>82.442723999999998</v>
      </c>
      <c r="Z102" s="10">
        <f t="shared" si="18"/>
        <v>29.173132799999998</v>
      </c>
      <c r="AA102" s="10">
        <f t="shared" si="19"/>
        <v>37.508313600000001</v>
      </c>
      <c r="AB102" s="10">
        <f t="shared" si="20"/>
        <v>41.675904000000003</v>
      </c>
      <c r="AC102" s="10">
        <f t="shared" si="21"/>
        <v>62.513855999999997</v>
      </c>
    </row>
    <row r="103" spans="1:29" x14ac:dyDescent="0.25">
      <c r="A103">
        <v>374816</v>
      </c>
      <c r="B103" t="s">
        <v>29</v>
      </c>
      <c r="C103" s="10">
        <v>16.510000000000002</v>
      </c>
      <c r="D103" s="10">
        <v>15.56</v>
      </c>
      <c r="E103" s="10">
        <v>0</v>
      </c>
      <c r="F103">
        <v>181</v>
      </c>
      <c r="G103" t="s">
        <v>19</v>
      </c>
      <c r="H103" s="11">
        <v>45987</v>
      </c>
      <c r="I103" t="s">
        <v>13</v>
      </c>
      <c r="J103" s="12">
        <v>8</v>
      </c>
      <c r="K103" s="3">
        <v>249.36</v>
      </c>
      <c r="L103" s="3">
        <f t="shared" si="11"/>
        <v>31.17</v>
      </c>
      <c r="M103" s="13"/>
      <c r="N103">
        <f>_xlfn.XLOOKUP(G103,'Tarievensheet per persoon'!AE:AE,'Tarievensheet per persoon'!AF:AF)</f>
        <v>1.7068000000000001</v>
      </c>
      <c r="O103">
        <f>_xlfn.XLOOKUP(G103,AE:AE,'Tarievensheet per persoon'!AG:AG)</f>
        <v>1.5528</v>
      </c>
      <c r="P103">
        <f>_xlfn.XLOOKUP(G103,AE:AE,'Tarievensheet per persoon'!AH:AH)</f>
        <v>1.3391999999999999</v>
      </c>
      <c r="Q103">
        <f>_xlfn.XLOOKUP(G103,AE:AE,'Tarievensheet per persoon'!AI:AI)</f>
        <v>1.3391999999999999</v>
      </c>
      <c r="R103">
        <v>0</v>
      </c>
      <c r="S103" s="14">
        <v>2.99</v>
      </c>
      <c r="T103" s="10">
        <f t="shared" si="12"/>
        <v>31.169268000000002</v>
      </c>
      <c r="U103" s="10">
        <f t="shared" si="13"/>
        <v>39.629388240000004</v>
      </c>
      <c r="V103" s="10">
        <f t="shared" si="14"/>
        <v>40.142122800000003</v>
      </c>
      <c r="W103" s="10">
        <f t="shared" si="15"/>
        <v>51.678650400000009</v>
      </c>
      <c r="X103" s="10">
        <f t="shared" si="16"/>
        <v>56.805996000000007</v>
      </c>
      <c r="Y103" s="10">
        <f t="shared" si="17"/>
        <v>82.442723999999998</v>
      </c>
      <c r="Z103" s="10">
        <f t="shared" si="18"/>
        <v>29.173132799999998</v>
      </c>
      <c r="AA103" s="10">
        <f t="shared" si="19"/>
        <v>37.508313600000001</v>
      </c>
      <c r="AB103" s="10">
        <f t="shared" si="20"/>
        <v>41.675904000000003</v>
      </c>
      <c r="AC103" s="10">
        <f t="shared" si="21"/>
        <v>62.513855999999997</v>
      </c>
    </row>
    <row r="104" spans="1:29" x14ac:dyDescent="0.25">
      <c r="A104">
        <v>374816</v>
      </c>
      <c r="B104" t="s">
        <v>29</v>
      </c>
      <c r="C104" s="10">
        <v>16.510000000000002</v>
      </c>
      <c r="D104" s="10">
        <v>15.56</v>
      </c>
      <c r="E104" s="10">
        <v>0</v>
      </c>
      <c r="F104">
        <v>181</v>
      </c>
      <c r="G104" t="s">
        <v>19</v>
      </c>
      <c r="H104" s="11">
        <v>45988</v>
      </c>
      <c r="I104" t="s">
        <v>13</v>
      </c>
      <c r="J104" s="12">
        <v>8</v>
      </c>
      <c r="K104" s="3">
        <v>249.36</v>
      </c>
      <c r="L104" s="3">
        <f t="shared" si="11"/>
        <v>31.17</v>
      </c>
      <c r="M104" s="13"/>
      <c r="N104">
        <f>_xlfn.XLOOKUP(G104,'Tarievensheet per persoon'!AE:AE,'Tarievensheet per persoon'!AF:AF)</f>
        <v>1.7068000000000001</v>
      </c>
      <c r="O104">
        <f>_xlfn.XLOOKUP(G104,AE:AE,'Tarievensheet per persoon'!AG:AG)</f>
        <v>1.5528</v>
      </c>
      <c r="P104">
        <f>_xlfn.XLOOKUP(G104,AE:AE,'Tarievensheet per persoon'!AH:AH)</f>
        <v>1.3391999999999999</v>
      </c>
      <c r="Q104">
        <f>_xlfn.XLOOKUP(G104,AE:AE,'Tarievensheet per persoon'!AI:AI)</f>
        <v>1.3391999999999999</v>
      </c>
      <c r="R104">
        <v>0</v>
      </c>
      <c r="S104" s="14">
        <v>2.99</v>
      </c>
      <c r="T104" s="10">
        <f t="shared" si="12"/>
        <v>31.169268000000002</v>
      </c>
      <c r="U104" s="10">
        <f t="shared" si="13"/>
        <v>39.629388240000004</v>
      </c>
      <c r="V104" s="10">
        <f t="shared" si="14"/>
        <v>40.142122800000003</v>
      </c>
      <c r="W104" s="10">
        <f t="shared" si="15"/>
        <v>51.678650400000009</v>
      </c>
      <c r="X104" s="10">
        <f t="shared" si="16"/>
        <v>56.805996000000007</v>
      </c>
      <c r="Y104" s="10">
        <f t="shared" si="17"/>
        <v>82.442723999999998</v>
      </c>
      <c r="Z104" s="10">
        <f t="shared" si="18"/>
        <v>29.173132799999998</v>
      </c>
      <c r="AA104" s="10">
        <f t="shared" si="19"/>
        <v>37.508313600000001</v>
      </c>
      <c r="AB104" s="10">
        <f t="shared" si="20"/>
        <v>41.675904000000003</v>
      </c>
      <c r="AC104" s="10">
        <f t="shared" si="21"/>
        <v>62.513855999999997</v>
      </c>
    </row>
    <row r="105" spans="1:29" x14ac:dyDescent="0.25">
      <c r="A105">
        <v>374816</v>
      </c>
      <c r="B105" t="s">
        <v>29</v>
      </c>
      <c r="C105" s="10">
        <v>16.510000000000002</v>
      </c>
      <c r="D105" s="10">
        <v>15.56</v>
      </c>
      <c r="E105" s="10">
        <v>0</v>
      </c>
      <c r="F105">
        <v>181</v>
      </c>
      <c r="G105" t="s">
        <v>19</v>
      </c>
      <c r="H105" s="11">
        <v>45989</v>
      </c>
      <c r="I105" t="s">
        <v>13</v>
      </c>
      <c r="J105" s="12">
        <v>7.5</v>
      </c>
      <c r="K105" s="3">
        <v>233.78</v>
      </c>
      <c r="L105" s="3">
        <f t="shared" si="11"/>
        <v>31.170666666666666</v>
      </c>
      <c r="M105" s="13"/>
      <c r="N105">
        <f>_xlfn.XLOOKUP(G105,'Tarievensheet per persoon'!AE:AE,'Tarievensheet per persoon'!AF:AF)</f>
        <v>1.7068000000000001</v>
      </c>
      <c r="O105">
        <f>_xlfn.XLOOKUP(G105,AE:AE,'Tarievensheet per persoon'!AG:AG)</f>
        <v>1.5528</v>
      </c>
      <c r="P105">
        <f>_xlfn.XLOOKUP(G105,AE:AE,'Tarievensheet per persoon'!AH:AH)</f>
        <v>1.3391999999999999</v>
      </c>
      <c r="Q105">
        <f>_xlfn.XLOOKUP(G105,AE:AE,'Tarievensheet per persoon'!AI:AI)</f>
        <v>1.3391999999999999</v>
      </c>
      <c r="R105">
        <v>0</v>
      </c>
      <c r="S105" s="14">
        <v>2.99</v>
      </c>
      <c r="T105" s="10">
        <f t="shared" si="12"/>
        <v>31.169268000000002</v>
      </c>
      <c r="U105" s="10">
        <f t="shared" si="13"/>
        <v>39.629388240000004</v>
      </c>
      <c r="V105" s="10">
        <f t="shared" si="14"/>
        <v>40.142122800000003</v>
      </c>
      <c r="W105" s="10">
        <f t="shared" si="15"/>
        <v>51.678650400000009</v>
      </c>
      <c r="X105" s="10">
        <f t="shared" si="16"/>
        <v>56.805996000000007</v>
      </c>
      <c r="Y105" s="10">
        <f t="shared" si="17"/>
        <v>82.442723999999998</v>
      </c>
      <c r="Z105" s="10">
        <f t="shared" si="18"/>
        <v>29.173132799999998</v>
      </c>
      <c r="AA105" s="10">
        <f t="shared" si="19"/>
        <v>37.508313600000001</v>
      </c>
      <c r="AB105" s="10">
        <f t="shared" si="20"/>
        <v>41.675904000000003</v>
      </c>
      <c r="AC105" s="10">
        <f t="shared" si="21"/>
        <v>62.513855999999997</v>
      </c>
    </row>
    <row r="106" spans="1:29" x14ac:dyDescent="0.25">
      <c r="A106">
        <v>374877</v>
      </c>
      <c r="B106" t="s">
        <v>30</v>
      </c>
      <c r="C106" s="10">
        <v>16.510000000000002</v>
      </c>
      <c r="D106" s="10">
        <v>15.56</v>
      </c>
      <c r="E106" s="10">
        <v>0</v>
      </c>
      <c r="F106">
        <v>195</v>
      </c>
      <c r="G106" t="s">
        <v>19</v>
      </c>
      <c r="H106" s="11">
        <v>45985</v>
      </c>
      <c r="I106" t="s">
        <v>13</v>
      </c>
      <c r="J106" s="12">
        <v>1</v>
      </c>
      <c r="K106" s="3">
        <v>31.17</v>
      </c>
      <c r="L106" s="3">
        <f t="shared" si="11"/>
        <v>31.17</v>
      </c>
      <c r="M106" s="13"/>
      <c r="N106">
        <f>_xlfn.XLOOKUP(G106,'Tarievensheet per persoon'!AE:AE,'Tarievensheet per persoon'!AF:AF)</f>
        <v>1.7068000000000001</v>
      </c>
      <c r="O106">
        <f>_xlfn.XLOOKUP(G106,AE:AE,'Tarievensheet per persoon'!AG:AG)</f>
        <v>1.5528</v>
      </c>
      <c r="P106">
        <f>_xlfn.XLOOKUP(G106,AE:AE,'Tarievensheet per persoon'!AH:AH)</f>
        <v>1.3391999999999999</v>
      </c>
      <c r="Q106">
        <f>_xlfn.XLOOKUP(G106,AE:AE,'Tarievensheet per persoon'!AI:AI)</f>
        <v>1.3391999999999999</v>
      </c>
      <c r="R106">
        <v>0</v>
      </c>
      <c r="S106" s="14">
        <v>2.99</v>
      </c>
      <c r="T106" s="10">
        <f t="shared" si="12"/>
        <v>31.169268000000002</v>
      </c>
      <c r="U106" s="10">
        <f t="shared" si="13"/>
        <v>39.629388240000004</v>
      </c>
      <c r="V106" s="10">
        <f t="shared" si="14"/>
        <v>40.142122800000003</v>
      </c>
      <c r="W106" s="10">
        <f t="shared" si="15"/>
        <v>51.678650400000009</v>
      </c>
      <c r="X106" s="10">
        <f t="shared" si="16"/>
        <v>56.805996000000007</v>
      </c>
      <c r="Y106" s="10">
        <f t="shared" si="17"/>
        <v>82.442723999999998</v>
      </c>
      <c r="Z106" s="10">
        <f t="shared" si="18"/>
        <v>29.173132799999998</v>
      </c>
      <c r="AA106" s="10">
        <f t="shared" si="19"/>
        <v>37.508313600000001</v>
      </c>
      <c r="AB106" s="10">
        <f t="shared" si="20"/>
        <v>41.675904000000003</v>
      </c>
      <c r="AC106" s="10">
        <f t="shared" si="21"/>
        <v>62.513855999999997</v>
      </c>
    </row>
    <row r="107" spans="1:29" x14ac:dyDescent="0.25">
      <c r="A107">
        <v>374877</v>
      </c>
      <c r="B107" t="s">
        <v>30</v>
      </c>
      <c r="C107" s="10">
        <v>16.510000000000002</v>
      </c>
      <c r="D107" s="10">
        <v>15.56</v>
      </c>
      <c r="E107" s="10">
        <v>0</v>
      </c>
      <c r="F107">
        <v>195</v>
      </c>
      <c r="G107" t="s">
        <v>19</v>
      </c>
      <c r="H107" s="11">
        <v>45985</v>
      </c>
      <c r="I107" t="s">
        <v>21</v>
      </c>
      <c r="J107" s="12">
        <v>5</v>
      </c>
      <c r="K107" s="3">
        <v>198.15</v>
      </c>
      <c r="L107" s="3">
        <f t="shared" si="11"/>
        <v>39.630000000000003</v>
      </c>
      <c r="M107" s="13"/>
      <c r="N107">
        <f>_xlfn.XLOOKUP(G107,'Tarievensheet per persoon'!AE:AE,'Tarievensheet per persoon'!AF:AF)</f>
        <v>1.7068000000000001</v>
      </c>
      <c r="O107">
        <f>_xlfn.XLOOKUP(G107,AE:AE,'Tarievensheet per persoon'!AG:AG)</f>
        <v>1.5528</v>
      </c>
      <c r="P107">
        <f>_xlfn.XLOOKUP(G107,AE:AE,'Tarievensheet per persoon'!AH:AH)</f>
        <v>1.3391999999999999</v>
      </c>
      <c r="Q107">
        <f>_xlfn.XLOOKUP(G107,AE:AE,'Tarievensheet per persoon'!AI:AI)</f>
        <v>1.3391999999999999</v>
      </c>
      <c r="R107">
        <v>0</v>
      </c>
      <c r="S107" s="14">
        <v>2.99</v>
      </c>
      <c r="T107" s="10">
        <f t="shared" si="12"/>
        <v>31.169268000000002</v>
      </c>
      <c r="U107" s="10">
        <f t="shared" si="13"/>
        <v>39.629388240000004</v>
      </c>
      <c r="V107" s="10">
        <f t="shared" si="14"/>
        <v>40.142122800000003</v>
      </c>
      <c r="W107" s="10">
        <f t="shared" si="15"/>
        <v>51.678650400000009</v>
      </c>
      <c r="X107" s="10">
        <f t="shared" si="16"/>
        <v>56.805996000000007</v>
      </c>
      <c r="Y107" s="10">
        <f t="shared" si="17"/>
        <v>82.442723999999998</v>
      </c>
      <c r="Z107" s="10">
        <f t="shared" si="18"/>
        <v>29.173132799999998</v>
      </c>
      <c r="AA107" s="10">
        <f t="shared" si="19"/>
        <v>37.508313600000001</v>
      </c>
      <c r="AB107" s="10">
        <f t="shared" si="20"/>
        <v>41.675904000000003</v>
      </c>
      <c r="AC107" s="10">
        <f t="shared" si="21"/>
        <v>62.513855999999997</v>
      </c>
    </row>
    <row r="108" spans="1:29" x14ac:dyDescent="0.25">
      <c r="A108">
        <v>374877</v>
      </c>
      <c r="B108" t="s">
        <v>30</v>
      </c>
      <c r="C108" s="10">
        <v>16.510000000000002</v>
      </c>
      <c r="D108" s="10">
        <v>15.56</v>
      </c>
      <c r="E108" s="10">
        <v>0</v>
      </c>
      <c r="F108">
        <v>195</v>
      </c>
      <c r="G108" t="s">
        <v>19</v>
      </c>
      <c r="H108" s="11">
        <v>45986</v>
      </c>
      <c r="I108" t="s">
        <v>13</v>
      </c>
      <c r="J108" s="12">
        <v>1</v>
      </c>
      <c r="K108" s="3">
        <v>31.17</v>
      </c>
      <c r="L108" s="3">
        <f t="shared" si="11"/>
        <v>31.17</v>
      </c>
      <c r="M108" s="13"/>
      <c r="N108">
        <f>_xlfn.XLOOKUP(G108,'Tarievensheet per persoon'!AE:AE,'Tarievensheet per persoon'!AF:AF)</f>
        <v>1.7068000000000001</v>
      </c>
      <c r="O108">
        <f>_xlfn.XLOOKUP(G108,AE:AE,'Tarievensheet per persoon'!AG:AG)</f>
        <v>1.5528</v>
      </c>
      <c r="P108">
        <f>_xlfn.XLOOKUP(G108,AE:AE,'Tarievensheet per persoon'!AH:AH)</f>
        <v>1.3391999999999999</v>
      </c>
      <c r="Q108">
        <f>_xlfn.XLOOKUP(G108,AE:AE,'Tarievensheet per persoon'!AI:AI)</f>
        <v>1.3391999999999999</v>
      </c>
      <c r="R108">
        <v>0</v>
      </c>
      <c r="S108" s="14">
        <v>2.99</v>
      </c>
      <c r="T108" s="10">
        <f t="shared" si="12"/>
        <v>31.169268000000002</v>
      </c>
      <c r="U108" s="10">
        <f t="shared" si="13"/>
        <v>39.629388240000004</v>
      </c>
      <c r="V108" s="10">
        <f t="shared" si="14"/>
        <v>40.142122800000003</v>
      </c>
      <c r="W108" s="10">
        <f t="shared" si="15"/>
        <v>51.678650400000009</v>
      </c>
      <c r="X108" s="10">
        <f t="shared" si="16"/>
        <v>56.805996000000007</v>
      </c>
      <c r="Y108" s="10">
        <f t="shared" si="17"/>
        <v>82.442723999999998</v>
      </c>
      <c r="Z108" s="10">
        <f t="shared" si="18"/>
        <v>29.173132799999998</v>
      </c>
      <c r="AA108" s="10">
        <f t="shared" si="19"/>
        <v>37.508313600000001</v>
      </c>
      <c r="AB108" s="10">
        <f t="shared" si="20"/>
        <v>41.675904000000003</v>
      </c>
      <c r="AC108" s="10">
        <f t="shared" si="21"/>
        <v>62.513855999999997</v>
      </c>
    </row>
    <row r="109" spans="1:29" x14ac:dyDescent="0.25">
      <c r="A109">
        <v>374877</v>
      </c>
      <c r="B109" t="s">
        <v>30</v>
      </c>
      <c r="C109" s="10">
        <v>16.510000000000002</v>
      </c>
      <c r="D109" s="10">
        <v>15.56</v>
      </c>
      <c r="E109" s="10">
        <v>0</v>
      </c>
      <c r="F109">
        <v>195</v>
      </c>
      <c r="G109" t="s">
        <v>19</v>
      </c>
      <c r="H109" s="11">
        <v>45986</v>
      </c>
      <c r="I109" t="s">
        <v>21</v>
      </c>
      <c r="J109" s="12">
        <v>5</v>
      </c>
      <c r="K109" s="3">
        <v>198.15</v>
      </c>
      <c r="L109" s="3">
        <f t="shared" si="11"/>
        <v>39.630000000000003</v>
      </c>
      <c r="M109" s="13"/>
      <c r="N109">
        <f>_xlfn.XLOOKUP(G109,'Tarievensheet per persoon'!AE:AE,'Tarievensheet per persoon'!AF:AF)</f>
        <v>1.7068000000000001</v>
      </c>
      <c r="O109">
        <f>_xlfn.XLOOKUP(G109,AE:AE,'Tarievensheet per persoon'!AG:AG)</f>
        <v>1.5528</v>
      </c>
      <c r="P109">
        <f>_xlfn.XLOOKUP(G109,AE:AE,'Tarievensheet per persoon'!AH:AH)</f>
        <v>1.3391999999999999</v>
      </c>
      <c r="Q109">
        <f>_xlfn.XLOOKUP(G109,AE:AE,'Tarievensheet per persoon'!AI:AI)</f>
        <v>1.3391999999999999</v>
      </c>
      <c r="R109">
        <v>0</v>
      </c>
      <c r="S109" s="14">
        <v>2.99</v>
      </c>
      <c r="T109" s="10">
        <f t="shared" si="12"/>
        <v>31.169268000000002</v>
      </c>
      <c r="U109" s="10">
        <f t="shared" si="13"/>
        <v>39.629388240000004</v>
      </c>
      <c r="V109" s="10">
        <f t="shared" si="14"/>
        <v>40.142122800000003</v>
      </c>
      <c r="W109" s="10">
        <f t="shared" si="15"/>
        <v>51.678650400000009</v>
      </c>
      <c r="X109" s="10">
        <f t="shared" si="16"/>
        <v>56.805996000000007</v>
      </c>
      <c r="Y109" s="10">
        <f t="shared" si="17"/>
        <v>82.442723999999998</v>
      </c>
      <c r="Z109" s="10">
        <f t="shared" si="18"/>
        <v>29.173132799999998</v>
      </c>
      <c r="AA109" s="10">
        <f t="shared" si="19"/>
        <v>37.508313600000001</v>
      </c>
      <c r="AB109" s="10">
        <f t="shared" si="20"/>
        <v>41.675904000000003</v>
      </c>
      <c r="AC109" s="10">
        <f t="shared" si="21"/>
        <v>62.513855999999997</v>
      </c>
    </row>
    <row r="110" spans="1:29" x14ac:dyDescent="0.25">
      <c r="A110">
        <v>374877</v>
      </c>
      <c r="B110" t="s">
        <v>30</v>
      </c>
      <c r="C110" s="10">
        <v>16.510000000000002</v>
      </c>
      <c r="D110" s="10">
        <v>15.56</v>
      </c>
      <c r="E110" s="10">
        <v>0</v>
      </c>
      <c r="F110">
        <v>195</v>
      </c>
      <c r="G110" t="s">
        <v>19</v>
      </c>
      <c r="H110" s="11">
        <v>45987</v>
      </c>
      <c r="I110" t="s">
        <v>13</v>
      </c>
      <c r="J110" s="12">
        <v>1</v>
      </c>
      <c r="K110" s="3">
        <v>31.17</v>
      </c>
      <c r="L110" s="3">
        <f t="shared" si="11"/>
        <v>31.17</v>
      </c>
      <c r="M110" s="13"/>
      <c r="N110">
        <f>_xlfn.XLOOKUP(G110,'Tarievensheet per persoon'!AE:AE,'Tarievensheet per persoon'!AF:AF)</f>
        <v>1.7068000000000001</v>
      </c>
      <c r="O110">
        <f>_xlfn.XLOOKUP(G110,AE:AE,'Tarievensheet per persoon'!AG:AG)</f>
        <v>1.5528</v>
      </c>
      <c r="P110">
        <f>_xlfn.XLOOKUP(G110,AE:AE,'Tarievensheet per persoon'!AH:AH)</f>
        <v>1.3391999999999999</v>
      </c>
      <c r="Q110">
        <f>_xlfn.XLOOKUP(G110,AE:AE,'Tarievensheet per persoon'!AI:AI)</f>
        <v>1.3391999999999999</v>
      </c>
      <c r="R110">
        <v>0</v>
      </c>
      <c r="S110" s="14">
        <v>2.99</v>
      </c>
      <c r="T110" s="10">
        <f t="shared" si="12"/>
        <v>31.169268000000002</v>
      </c>
      <c r="U110" s="10">
        <f t="shared" si="13"/>
        <v>39.629388240000004</v>
      </c>
      <c r="V110" s="10">
        <f t="shared" si="14"/>
        <v>40.142122800000003</v>
      </c>
      <c r="W110" s="10">
        <f t="shared" si="15"/>
        <v>51.678650400000009</v>
      </c>
      <c r="X110" s="10">
        <f t="shared" si="16"/>
        <v>56.805996000000007</v>
      </c>
      <c r="Y110" s="10">
        <f t="shared" si="17"/>
        <v>82.442723999999998</v>
      </c>
      <c r="Z110" s="10">
        <f t="shared" si="18"/>
        <v>29.173132799999998</v>
      </c>
      <c r="AA110" s="10">
        <f t="shared" si="19"/>
        <v>37.508313600000001</v>
      </c>
      <c r="AB110" s="10">
        <f t="shared" si="20"/>
        <v>41.675904000000003</v>
      </c>
      <c r="AC110" s="10">
        <f t="shared" si="21"/>
        <v>62.513855999999997</v>
      </c>
    </row>
    <row r="111" spans="1:29" x14ac:dyDescent="0.25">
      <c r="A111">
        <v>374877</v>
      </c>
      <c r="B111" t="s">
        <v>30</v>
      </c>
      <c r="C111" s="10">
        <v>16.510000000000002</v>
      </c>
      <c r="D111" s="10">
        <v>15.56</v>
      </c>
      <c r="E111" s="10">
        <v>0</v>
      </c>
      <c r="F111">
        <v>195</v>
      </c>
      <c r="G111" t="s">
        <v>19</v>
      </c>
      <c r="H111" s="11">
        <v>45987</v>
      </c>
      <c r="I111" t="s">
        <v>21</v>
      </c>
      <c r="J111" s="12">
        <v>5</v>
      </c>
      <c r="K111" s="3">
        <v>198.15</v>
      </c>
      <c r="L111" s="3">
        <f t="shared" si="11"/>
        <v>39.630000000000003</v>
      </c>
      <c r="M111" s="13"/>
      <c r="N111">
        <f>_xlfn.XLOOKUP(G111,'Tarievensheet per persoon'!AE:AE,'Tarievensheet per persoon'!AF:AF)</f>
        <v>1.7068000000000001</v>
      </c>
      <c r="O111">
        <f>_xlfn.XLOOKUP(G111,AE:AE,'Tarievensheet per persoon'!AG:AG)</f>
        <v>1.5528</v>
      </c>
      <c r="P111">
        <f>_xlfn.XLOOKUP(G111,AE:AE,'Tarievensheet per persoon'!AH:AH)</f>
        <v>1.3391999999999999</v>
      </c>
      <c r="Q111">
        <f>_xlfn.XLOOKUP(G111,AE:AE,'Tarievensheet per persoon'!AI:AI)</f>
        <v>1.3391999999999999</v>
      </c>
      <c r="R111">
        <v>0</v>
      </c>
      <c r="S111" s="14">
        <v>2.99</v>
      </c>
      <c r="T111" s="10">
        <f t="shared" si="12"/>
        <v>31.169268000000002</v>
      </c>
      <c r="U111" s="10">
        <f t="shared" si="13"/>
        <v>39.629388240000004</v>
      </c>
      <c r="V111" s="10">
        <f t="shared" si="14"/>
        <v>40.142122800000003</v>
      </c>
      <c r="W111" s="10">
        <f t="shared" si="15"/>
        <v>51.678650400000009</v>
      </c>
      <c r="X111" s="10">
        <f t="shared" si="16"/>
        <v>56.805996000000007</v>
      </c>
      <c r="Y111" s="10">
        <f t="shared" si="17"/>
        <v>82.442723999999998</v>
      </c>
      <c r="Z111" s="10">
        <f t="shared" si="18"/>
        <v>29.173132799999998</v>
      </c>
      <c r="AA111" s="10">
        <f t="shared" si="19"/>
        <v>37.508313600000001</v>
      </c>
      <c r="AB111" s="10">
        <f t="shared" si="20"/>
        <v>41.675904000000003</v>
      </c>
      <c r="AC111" s="10">
        <f t="shared" si="21"/>
        <v>62.513855999999997</v>
      </c>
    </row>
    <row r="112" spans="1:29" x14ac:dyDescent="0.25">
      <c r="A112">
        <v>374877</v>
      </c>
      <c r="B112" t="s">
        <v>30</v>
      </c>
      <c r="C112" s="10">
        <v>16.510000000000002</v>
      </c>
      <c r="D112" s="10">
        <v>15.56</v>
      </c>
      <c r="E112" s="10">
        <v>0</v>
      </c>
      <c r="F112">
        <v>195</v>
      </c>
      <c r="G112" t="s">
        <v>19</v>
      </c>
      <c r="H112" s="11">
        <v>45988</v>
      </c>
      <c r="I112" t="s">
        <v>13</v>
      </c>
      <c r="J112" s="12">
        <v>1</v>
      </c>
      <c r="K112" s="3">
        <v>31.17</v>
      </c>
      <c r="L112" s="3">
        <f t="shared" si="11"/>
        <v>31.17</v>
      </c>
      <c r="M112" s="13"/>
      <c r="N112">
        <f>_xlfn.XLOOKUP(G112,'Tarievensheet per persoon'!AE:AE,'Tarievensheet per persoon'!AF:AF)</f>
        <v>1.7068000000000001</v>
      </c>
      <c r="O112">
        <f>_xlfn.XLOOKUP(G112,AE:AE,'Tarievensheet per persoon'!AG:AG)</f>
        <v>1.5528</v>
      </c>
      <c r="P112">
        <f>_xlfn.XLOOKUP(G112,AE:AE,'Tarievensheet per persoon'!AH:AH)</f>
        <v>1.3391999999999999</v>
      </c>
      <c r="Q112">
        <f>_xlfn.XLOOKUP(G112,AE:AE,'Tarievensheet per persoon'!AI:AI)</f>
        <v>1.3391999999999999</v>
      </c>
      <c r="R112">
        <v>0</v>
      </c>
      <c r="S112" s="14">
        <v>2.99</v>
      </c>
      <c r="T112" s="10">
        <f t="shared" si="12"/>
        <v>31.169268000000002</v>
      </c>
      <c r="U112" s="10">
        <f t="shared" si="13"/>
        <v>39.629388240000004</v>
      </c>
      <c r="V112" s="10">
        <f t="shared" si="14"/>
        <v>40.142122800000003</v>
      </c>
      <c r="W112" s="10">
        <f t="shared" si="15"/>
        <v>51.678650400000009</v>
      </c>
      <c r="X112" s="10">
        <f t="shared" si="16"/>
        <v>56.805996000000007</v>
      </c>
      <c r="Y112" s="10">
        <f t="shared" si="17"/>
        <v>82.442723999999998</v>
      </c>
      <c r="Z112" s="10">
        <f t="shared" si="18"/>
        <v>29.173132799999998</v>
      </c>
      <c r="AA112" s="10">
        <f t="shared" si="19"/>
        <v>37.508313600000001</v>
      </c>
      <c r="AB112" s="10">
        <f t="shared" si="20"/>
        <v>41.675904000000003</v>
      </c>
      <c r="AC112" s="10">
        <f t="shared" si="21"/>
        <v>62.513855999999997</v>
      </c>
    </row>
    <row r="113" spans="1:29" x14ac:dyDescent="0.25">
      <c r="A113">
        <v>374877</v>
      </c>
      <c r="B113" t="s">
        <v>30</v>
      </c>
      <c r="C113" s="10">
        <v>16.510000000000002</v>
      </c>
      <c r="D113" s="10">
        <v>15.56</v>
      </c>
      <c r="E113" s="10">
        <v>0</v>
      </c>
      <c r="F113">
        <v>195</v>
      </c>
      <c r="G113" t="s">
        <v>19</v>
      </c>
      <c r="H113" s="11">
        <v>45988</v>
      </c>
      <c r="I113" t="s">
        <v>21</v>
      </c>
      <c r="J113" s="12">
        <v>5</v>
      </c>
      <c r="K113" s="3">
        <v>198.15</v>
      </c>
      <c r="L113" s="3">
        <f t="shared" si="11"/>
        <v>39.630000000000003</v>
      </c>
      <c r="M113" s="13"/>
      <c r="N113">
        <f>_xlfn.XLOOKUP(G113,'Tarievensheet per persoon'!AE:AE,'Tarievensheet per persoon'!AF:AF)</f>
        <v>1.7068000000000001</v>
      </c>
      <c r="O113">
        <f>_xlfn.XLOOKUP(G113,AE:AE,'Tarievensheet per persoon'!AG:AG)</f>
        <v>1.5528</v>
      </c>
      <c r="P113">
        <f>_xlfn.XLOOKUP(G113,AE:AE,'Tarievensheet per persoon'!AH:AH)</f>
        <v>1.3391999999999999</v>
      </c>
      <c r="Q113">
        <f>_xlfn.XLOOKUP(G113,AE:AE,'Tarievensheet per persoon'!AI:AI)</f>
        <v>1.3391999999999999</v>
      </c>
      <c r="R113">
        <v>0</v>
      </c>
      <c r="S113" s="14">
        <v>2.99</v>
      </c>
      <c r="T113" s="10">
        <f t="shared" si="12"/>
        <v>31.169268000000002</v>
      </c>
      <c r="U113" s="10">
        <f t="shared" si="13"/>
        <v>39.629388240000004</v>
      </c>
      <c r="V113" s="10">
        <f t="shared" si="14"/>
        <v>40.142122800000003</v>
      </c>
      <c r="W113" s="10">
        <f t="shared" si="15"/>
        <v>51.678650400000009</v>
      </c>
      <c r="X113" s="10">
        <f t="shared" si="16"/>
        <v>56.805996000000007</v>
      </c>
      <c r="Y113" s="10">
        <f t="shared" si="17"/>
        <v>82.442723999999998</v>
      </c>
      <c r="Z113" s="10">
        <f t="shared" si="18"/>
        <v>29.173132799999998</v>
      </c>
      <c r="AA113" s="10">
        <f t="shared" si="19"/>
        <v>37.508313600000001</v>
      </c>
      <c r="AB113" s="10">
        <f t="shared" si="20"/>
        <v>41.675904000000003</v>
      </c>
      <c r="AC113" s="10">
        <f t="shared" si="21"/>
        <v>62.513855999999997</v>
      </c>
    </row>
    <row r="114" spans="1:29" x14ac:dyDescent="0.25">
      <c r="A114">
        <v>374877</v>
      </c>
      <c r="B114" t="s">
        <v>30</v>
      </c>
      <c r="C114" s="10">
        <v>16.510000000000002</v>
      </c>
      <c r="D114" s="10">
        <v>15.56</v>
      </c>
      <c r="E114" s="10">
        <v>0</v>
      </c>
      <c r="F114">
        <v>195</v>
      </c>
      <c r="G114" t="s">
        <v>19</v>
      </c>
      <c r="H114" s="11">
        <v>45989</v>
      </c>
      <c r="I114" t="s">
        <v>13</v>
      </c>
      <c r="J114" s="12">
        <v>1</v>
      </c>
      <c r="K114" s="3">
        <v>31.17</v>
      </c>
      <c r="L114" s="3">
        <f t="shared" si="11"/>
        <v>31.17</v>
      </c>
      <c r="M114" s="13"/>
      <c r="N114">
        <f>_xlfn.XLOOKUP(G114,'Tarievensheet per persoon'!AE:AE,'Tarievensheet per persoon'!AF:AF)</f>
        <v>1.7068000000000001</v>
      </c>
      <c r="O114">
        <f>_xlfn.XLOOKUP(G114,AE:AE,'Tarievensheet per persoon'!AG:AG)</f>
        <v>1.5528</v>
      </c>
      <c r="P114">
        <f>_xlfn.XLOOKUP(G114,AE:AE,'Tarievensheet per persoon'!AH:AH)</f>
        <v>1.3391999999999999</v>
      </c>
      <c r="Q114">
        <f>_xlfn.XLOOKUP(G114,AE:AE,'Tarievensheet per persoon'!AI:AI)</f>
        <v>1.3391999999999999</v>
      </c>
      <c r="R114">
        <v>0</v>
      </c>
      <c r="S114" s="14">
        <v>2.99</v>
      </c>
      <c r="T114" s="10">
        <f t="shared" si="12"/>
        <v>31.169268000000002</v>
      </c>
      <c r="U114" s="10">
        <f t="shared" si="13"/>
        <v>39.629388240000004</v>
      </c>
      <c r="V114" s="10">
        <f t="shared" si="14"/>
        <v>40.142122800000003</v>
      </c>
      <c r="W114" s="10">
        <f t="shared" si="15"/>
        <v>51.678650400000009</v>
      </c>
      <c r="X114" s="10">
        <f t="shared" si="16"/>
        <v>56.805996000000007</v>
      </c>
      <c r="Y114" s="10">
        <f t="shared" si="17"/>
        <v>82.442723999999998</v>
      </c>
      <c r="Z114" s="10">
        <f t="shared" si="18"/>
        <v>29.173132799999998</v>
      </c>
      <c r="AA114" s="10">
        <f t="shared" si="19"/>
        <v>37.508313600000001</v>
      </c>
      <c r="AB114" s="10">
        <f t="shared" si="20"/>
        <v>41.675904000000003</v>
      </c>
      <c r="AC114" s="10">
        <f t="shared" si="21"/>
        <v>62.513855999999997</v>
      </c>
    </row>
    <row r="115" spans="1:29" x14ac:dyDescent="0.25">
      <c r="A115">
        <v>374877</v>
      </c>
      <c r="B115" t="s">
        <v>30</v>
      </c>
      <c r="C115" s="10">
        <v>16.510000000000002</v>
      </c>
      <c r="D115" s="10">
        <v>15.56</v>
      </c>
      <c r="E115" s="10">
        <v>0</v>
      </c>
      <c r="F115">
        <v>195</v>
      </c>
      <c r="G115" t="s">
        <v>19</v>
      </c>
      <c r="H115" s="11">
        <v>45989</v>
      </c>
      <c r="I115" t="s">
        <v>21</v>
      </c>
      <c r="J115" s="12">
        <v>3.5</v>
      </c>
      <c r="K115" s="3">
        <v>138.71</v>
      </c>
      <c r="L115" s="3">
        <f t="shared" si="11"/>
        <v>39.631428571428572</v>
      </c>
      <c r="M115" s="13"/>
      <c r="N115">
        <f>_xlfn.XLOOKUP(G115,'Tarievensheet per persoon'!AE:AE,'Tarievensheet per persoon'!AF:AF)</f>
        <v>1.7068000000000001</v>
      </c>
      <c r="O115">
        <f>_xlfn.XLOOKUP(G115,AE:AE,'Tarievensheet per persoon'!AG:AG)</f>
        <v>1.5528</v>
      </c>
      <c r="P115">
        <f>_xlfn.XLOOKUP(G115,AE:AE,'Tarievensheet per persoon'!AH:AH)</f>
        <v>1.3391999999999999</v>
      </c>
      <c r="Q115">
        <f>_xlfn.XLOOKUP(G115,AE:AE,'Tarievensheet per persoon'!AI:AI)</f>
        <v>1.3391999999999999</v>
      </c>
      <c r="R115">
        <v>0</v>
      </c>
      <c r="S115" s="14">
        <v>2.99</v>
      </c>
      <c r="T115" s="10">
        <f t="shared" si="12"/>
        <v>31.169268000000002</v>
      </c>
      <c r="U115" s="10">
        <f t="shared" si="13"/>
        <v>39.629388240000004</v>
      </c>
      <c r="V115" s="10">
        <f t="shared" si="14"/>
        <v>40.142122800000003</v>
      </c>
      <c r="W115" s="10">
        <f t="shared" si="15"/>
        <v>51.678650400000009</v>
      </c>
      <c r="X115" s="10">
        <f t="shared" si="16"/>
        <v>56.805996000000007</v>
      </c>
      <c r="Y115" s="10">
        <f t="shared" si="17"/>
        <v>82.442723999999998</v>
      </c>
      <c r="Z115" s="10">
        <f t="shared" si="18"/>
        <v>29.173132799999998</v>
      </c>
      <c r="AA115" s="10">
        <f t="shared" si="19"/>
        <v>37.508313600000001</v>
      </c>
      <c r="AB115" s="10">
        <f t="shared" si="20"/>
        <v>41.675904000000003</v>
      </c>
      <c r="AC115" s="10">
        <f t="shared" si="21"/>
        <v>62.513855999999997</v>
      </c>
    </row>
    <row r="116" spans="1:29" x14ac:dyDescent="0.25">
      <c r="A116">
        <v>374909</v>
      </c>
      <c r="B116" t="s">
        <v>108</v>
      </c>
      <c r="C116" s="10">
        <v>17.43</v>
      </c>
      <c r="D116" s="10">
        <v>16.420000000000002</v>
      </c>
      <c r="E116" s="10">
        <v>0</v>
      </c>
      <c r="F116">
        <v>317</v>
      </c>
      <c r="G116" t="s">
        <v>12</v>
      </c>
      <c r="H116" s="11">
        <v>45985</v>
      </c>
      <c r="I116" t="s">
        <v>13</v>
      </c>
      <c r="J116" s="12">
        <v>8</v>
      </c>
      <c r="K116" s="3">
        <v>253.92</v>
      </c>
      <c r="L116" s="3">
        <f t="shared" si="11"/>
        <v>31.74</v>
      </c>
      <c r="M116" s="13"/>
      <c r="N116">
        <f>_xlfn.XLOOKUP(G116,'Tarievensheet per persoon'!AE:AE,'Tarievensheet per persoon'!AF:AF)</f>
        <v>1.6496999999999999</v>
      </c>
      <c r="O116">
        <f>_xlfn.XLOOKUP(G116,AE:AE,'Tarievensheet per persoon'!AG:AG)</f>
        <v>1.5022</v>
      </c>
      <c r="P116">
        <f>_xlfn.XLOOKUP(G116,AE:AE,'Tarievensheet per persoon'!AH:AH)</f>
        <v>1.2898000000000001</v>
      </c>
      <c r="Q116">
        <f>_xlfn.XLOOKUP(G116,AE:AE,'Tarievensheet per persoon'!AI:AI)</f>
        <v>1.2898000000000001</v>
      </c>
      <c r="R116">
        <v>0</v>
      </c>
      <c r="S116" s="14">
        <v>2.99</v>
      </c>
      <c r="T116" s="10">
        <f t="shared" si="12"/>
        <v>31.744270999999998</v>
      </c>
      <c r="U116" s="10">
        <f t="shared" si="13"/>
        <v>40.384775179999998</v>
      </c>
      <c r="V116" s="10">
        <f t="shared" si="14"/>
        <v>40.908442100000002</v>
      </c>
      <c r="W116" s="10">
        <f t="shared" si="15"/>
        <v>52.690947800000004</v>
      </c>
      <c r="X116" s="10">
        <f t="shared" si="16"/>
        <v>57.927616999999998</v>
      </c>
      <c r="Y116" s="10">
        <f t="shared" si="17"/>
        <v>84.110962999999998</v>
      </c>
      <c r="Z116" s="10">
        <f t="shared" si="18"/>
        <v>29.649922400000001</v>
      </c>
      <c r="AA116" s="10">
        <f t="shared" si="19"/>
        <v>38.121328800000008</v>
      </c>
      <c r="AB116" s="10">
        <f t="shared" si="20"/>
        <v>42.357032000000004</v>
      </c>
      <c r="AC116" s="10">
        <f t="shared" si="21"/>
        <v>63.535548000000013</v>
      </c>
    </row>
    <row r="117" spans="1:29" x14ac:dyDescent="0.25">
      <c r="A117">
        <v>374909</v>
      </c>
      <c r="B117" t="s">
        <v>108</v>
      </c>
      <c r="C117" s="10">
        <v>17.43</v>
      </c>
      <c r="D117" s="10">
        <v>16.420000000000002</v>
      </c>
      <c r="E117" s="10">
        <v>0</v>
      </c>
      <c r="F117">
        <v>317</v>
      </c>
      <c r="G117" t="s">
        <v>12</v>
      </c>
      <c r="H117" s="11">
        <v>45986</v>
      </c>
      <c r="I117" t="s">
        <v>13</v>
      </c>
      <c r="J117" s="12">
        <v>9.75</v>
      </c>
      <c r="K117" s="3">
        <v>309.47000000000003</v>
      </c>
      <c r="L117" s="3">
        <f t="shared" si="11"/>
        <v>31.740512820512823</v>
      </c>
      <c r="M117" s="13"/>
      <c r="N117">
        <f>_xlfn.XLOOKUP(G117,'Tarievensheet per persoon'!AE:AE,'Tarievensheet per persoon'!AF:AF)</f>
        <v>1.6496999999999999</v>
      </c>
      <c r="O117">
        <f>_xlfn.XLOOKUP(G117,AE:AE,'Tarievensheet per persoon'!AG:AG)</f>
        <v>1.5022</v>
      </c>
      <c r="P117">
        <f>_xlfn.XLOOKUP(G117,AE:AE,'Tarievensheet per persoon'!AH:AH)</f>
        <v>1.2898000000000001</v>
      </c>
      <c r="Q117">
        <f>_xlfn.XLOOKUP(G117,AE:AE,'Tarievensheet per persoon'!AI:AI)</f>
        <v>1.2898000000000001</v>
      </c>
      <c r="R117">
        <v>0</v>
      </c>
      <c r="S117" s="14">
        <v>2.99</v>
      </c>
      <c r="T117" s="10">
        <f t="shared" si="12"/>
        <v>31.744270999999998</v>
      </c>
      <c r="U117" s="10">
        <f t="shared" si="13"/>
        <v>40.384775179999998</v>
      </c>
      <c r="V117" s="10">
        <f t="shared" si="14"/>
        <v>40.908442100000002</v>
      </c>
      <c r="W117" s="10">
        <f t="shared" si="15"/>
        <v>52.690947800000004</v>
      </c>
      <c r="X117" s="10">
        <f t="shared" si="16"/>
        <v>57.927616999999998</v>
      </c>
      <c r="Y117" s="10">
        <f t="shared" si="17"/>
        <v>84.110962999999998</v>
      </c>
      <c r="Z117" s="10">
        <f t="shared" si="18"/>
        <v>29.649922400000001</v>
      </c>
      <c r="AA117" s="10">
        <f t="shared" si="19"/>
        <v>38.121328800000008</v>
      </c>
      <c r="AB117" s="10">
        <f t="shared" si="20"/>
        <v>42.357032000000004</v>
      </c>
      <c r="AC117" s="10">
        <f t="shared" si="21"/>
        <v>63.535548000000013</v>
      </c>
    </row>
    <row r="118" spans="1:29" x14ac:dyDescent="0.25">
      <c r="A118">
        <v>374909</v>
      </c>
      <c r="B118" t="s">
        <v>108</v>
      </c>
      <c r="C118" s="10">
        <v>17.43</v>
      </c>
      <c r="D118" s="10">
        <v>16.420000000000002</v>
      </c>
      <c r="E118" s="10">
        <v>0</v>
      </c>
      <c r="F118">
        <v>317</v>
      </c>
      <c r="G118" t="s">
        <v>12</v>
      </c>
      <c r="H118" s="11">
        <v>45986</v>
      </c>
      <c r="I118" t="s">
        <v>21</v>
      </c>
      <c r="J118" s="12">
        <v>0.75</v>
      </c>
      <c r="K118" s="3">
        <v>30.29</v>
      </c>
      <c r="L118" s="3">
        <f t="shared" si="11"/>
        <v>40.386666666666663</v>
      </c>
      <c r="M118" s="13"/>
      <c r="N118">
        <f>_xlfn.XLOOKUP(G118,'Tarievensheet per persoon'!AE:AE,'Tarievensheet per persoon'!AF:AF)</f>
        <v>1.6496999999999999</v>
      </c>
      <c r="O118">
        <f>_xlfn.XLOOKUP(G118,AE:AE,'Tarievensheet per persoon'!AG:AG)</f>
        <v>1.5022</v>
      </c>
      <c r="P118">
        <f>_xlfn.XLOOKUP(G118,AE:AE,'Tarievensheet per persoon'!AH:AH)</f>
        <v>1.2898000000000001</v>
      </c>
      <c r="Q118">
        <f>_xlfn.XLOOKUP(G118,AE:AE,'Tarievensheet per persoon'!AI:AI)</f>
        <v>1.2898000000000001</v>
      </c>
      <c r="R118">
        <v>0</v>
      </c>
      <c r="S118" s="14">
        <v>2.99</v>
      </c>
      <c r="T118" s="10">
        <f t="shared" si="12"/>
        <v>31.744270999999998</v>
      </c>
      <c r="U118" s="10">
        <f t="shared" si="13"/>
        <v>40.384775179999998</v>
      </c>
      <c r="V118" s="10">
        <f t="shared" si="14"/>
        <v>40.908442100000002</v>
      </c>
      <c r="W118" s="10">
        <f t="shared" si="15"/>
        <v>52.690947800000004</v>
      </c>
      <c r="X118" s="10">
        <f t="shared" si="16"/>
        <v>57.927616999999998</v>
      </c>
      <c r="Y118" s="10">
        <f t="shared" si="17"/>
        <v>84.110962999999998</v>
      </c>
      <c r="Z118" s="10">
        <f t="shared" si="18"/>
        <v>29.649922400000001</v>
      </c>
      <c r="AA118" s="10">
        <f t="shared" si="19"/>
        <v>38.121328800000008</v>
      </c>
      <c r="AB118" s="10">
        <f t="shared" si="20"/>
        <v>42.357032000000004</v>
      </c>
      <c r="AC118" s="10">
        <f t="shared" si="21"/>
        <v>63.535548000000013</v>
      </c>
    </row>
    <row r="119" spans="1:29" x14ac:dyDescent="0.25">
      <c r="A119">
        <v>374909</v>
      </c>
      <c r="B119" t="s">
        <v>108</v>
      </c>
      <c r="C119" s="10">
        <v>17.43</v>
      </c>
      <c r="D119" s="10">
        <v>16.420000000000002</v>
      </c>
      <c r="E119" s="10">
        <v>0</v>
      </c>
      <c r="F119">
        <v>317</v>
      </c>
      <c r="G119" t="s">
        <v>12</v>
      </c>
      <c r="H119" s="11">
        <v>45987</v>
      </c>
      <c r="I119" t="s">
        <v>13</v>
      </c>
      <c r="J119" s="12">
        <v>3.5</v>
      </c>
      <c r="K119" s="3">
        <v>111.09</v>
      </c>
      <c r="L119" s="3">
        <f t="shared" si="11"/>
        <v>31.740000000000002</v>
      </c>
      <c r="M119" s="13"/>
      <c r="N119">
        <f>_xlfn.XLOOKUP(G119,'Tarievensheet per persoon'!AE:AE,'Tarievensheet per persoon'!AF:AF)</f>
        <v>1.6496999999999999</v>
      </c>
      <c r="O119">
        <f>_xlfn.XLOOKUP(G119,AE:AE,'Tarievensheet per persoon'!AG:AG)</f>
        <v>1.5022</v>
      </c>
      <c r="P119">
        <f>_xlfn.XLOOKUP(G119,AE:AE,'Tarievensheet per persoon'!AH:AH)</f>
        <v>1.2898000000000001</v>
      </c>
      <c r="Q119">
        <f>_xlfn.XLOOKUP(G119,AE:AE,'Tarievensheet per persoon'!AI:AI)</f>
        <v>1.2898000000000001</v>
      </c>
      <c r="R119">
        <v>0</v>
      </c>
      <c r="S119" s="14">
        <v>2.99</v>
      </c>
      <c r="T119" s="10">
        <f t="shared" si="12"/>
        <v>31.744270999999998</v>
      </c>
      <c r="U119" s="10">
        <f t="shared" si="13"/>
        <v>40.384775179999998</v>
      </c>
      <c r="V119" s="10">
        <f t="shared" si="14"/>
        <v>40.908442100000002</v>
      </c>
      <c r="W119" s="10">
        <f t="shared" si="15"/>
        <v>52.690947800000004</v>
      </c>
      <c r="X119" s="10">
        <f t="shared" si="16"/>
        <v>57.927616999999998</v>
      </c>
      <c r="Y119" s="10">
        <f t="shared" si="17"/>
        <v>84.110962999999998</v>
      </c>
      <c r="Z119" s="10">
        <f t="shared" si="18"/>
        <v>29.649922400000001</v>
      </c>
      <c r="AA119" s="10">
        <f t="shared" si="19"/>
        <v>38.121328800000008</v>
      </c>
      <c r="AB119" s="10">
        <f t="shared" si="20"/>
        <v>42.357032000000004</v>
      </c>
      <c r="AC119" s="10">
        <f t="shared" si="21"/>
        <v>63.535548000000013</v>
      </c>
    </row>
    <row r="120" spans="1:29" x14ac:dyDescent="0.25">
      <c r="A120">
        <v>374909</v>
      </c>
      <c r="B120" t="s">
        <v>108</v>
      </c>
      <c r="C120" s="10">
        <v>17.43</v>
      </c>
      <c r="D120" s="10">
        <v>16.420000000000002</v>
      </c>
      <c r="E120" s="10">
        <v>0</v>
      </c>
      <c r="F120">
        <v>317</v>
      </c>
      <c r="G120" t="s">
        <v>12</v>
      </c>
      <c r="H120" s="11">
        <v>45987</v>
      </c>
      <c r="I120" t="s">
        <v>23</v>
      </c>
      <c r="J120" s="12">
        <v>5.5</v>
      </c>
      <c r="K120" s="3">
        <v>163.08000000000001</v>
      </c>
      <c r="L120" s="3">
        <f t="shared" si="11"/>
        <v>29.650909090909092</v>
      </c>
      <c r="M120" s="13"/>
      <c r="N120">
        <f>_xlfn.XLOOKUP(G120,'Tarievensheet per persoon'!AE:AE,'Tarievensheet per persoon'!AF:AF)</f>
        <v>1.6496999999999999</v>
      </c>
      <c r="O120">
        <f>_xlfn.XLOOKUP(G120,AE:AE,'Tarievensheet per persoon'!AG:AG)</f>
        <v>1.5022</v>
      </c>
      <c r="P120">
        <f>_xlfn.XLOOKUP(G120,AE:AE,'Tarievensheet per persoon'!AH:AH)</f>
        <v>1.2898000000000001</v>
      </c>
      <c r="Q120">
        <f>_xlfn.XLOOKUP(G120,AE:AE,'Tarievensheet per persoon'!AI:AI)</f>
        <v>1.2898000000000001</v>
      </c>
      <c r="R120">
        <v>0</v>
      </c>
      <c r="S120" s="14">
        <v>2.99</v>
      </c>
      <c r="T120" s="10">
        <f t="shared" si="12"/>
        <v>31.744270999999998</v>
      </c>
      <c r="U120" s="10">
        <f t="shared" si="13"/>
        <v>40.384775179999998</v>
      </c>
      <c r="V120" s="10">
        <f t="shared" si="14"/>
        <v>40.908442100000002</v>
      </c>
      <c r="W120" s="10">
        <f t="shared" si="15"/>
        <v>52.690947800000004</v>
      </c>
      <c r="X120" s="10">
        <f t="shared" si="16"/>
        <v>57.927616999999998</v>
      </c>
      <c r="Y120" s="10">
        <f t="shared" si="17"/>
        <v>84.110962999999998</v>
      </c>
      <c r="Z120" s="10">
        <f t="shared" si="18"/>
        <v>29.649922400000001</v>
      </c>
      <c r="AA120" s="10">
        <f t="shared" si="19"/>
        <v>38.121328800000008</v>
      </c>
      <c r="AB120" s="10">
        <f t="shared" si="20"/>
        <v>42.357032000000004</v>
      </c>
      <c r="AC120" s="10">
        <f t="shared" si="21"/>
        <v>63.535548000000013</v>
      </c>
    </row>
    <row r="121" spans="1:29" x14ac:dyDescent="0.25">
      <c r="A121">
        <v>374909</v>
      </c>
      <c r="B121" t="s">
        <v>108</v>
      </c>
      <c r="C121" s="10">
        <v>17.43</v>
      </c>
      <c r="D121" s="10">
        <v>16.420000000000002</v>
      </c>
      <c r="E121" s="10">
        <v>0</v>
      </c>
      <c r="F121">
        <v>317</v>
      </c>
      <c r="G121" t="s">
        <v>12</v>
      </c>
      <c r="H121" s="11">
        <v>45988</v>
      </c>
      <c r="I121" t="s">
        <v>13</v>
      </c>
      <c r="J121" s="12">
        <v>9</v>
      </c>
      <c r="K121" s="3">
        <v>285.66000000000003</v>
      </c>
      <c r="L121" s="3">
        <f t="shared" si="11"/>
        <v>31.740000000000002</v>
      </c>
      <c r="M121" s="13"/>
      <c r="N121">
        <f>_xlfn.XLOOKUP(G121,'Tarievensheet per persoon'!AE:AE,'Tarievensheet per persoon'!AF:AF)</f>
        <v>1.6496999999999999</v>
      </c>
      <c r="O121">
        <f>_xlfn.XLOOKUP(G121,AE:AE,'Tarievensheet per persoon'!AG:AG)</f>
        <v>1.5022</v>
      </c>
      <c r="P121">
        <f>_xlfn.XLOOKUP(G121,AE:AE,'Tarievensheet per persoon'!AH:AH)</f>
        <v>1.2898000000000001</v>
      </c>
      <c r="Q121">
        <f>_xlfn.XLOOKUP(G121,AE:AE,'Tarievensheet per persoon'!AI:AI)</f>
        <v>1.2898000000000001</v>
      </c>
      <c r="R121">
        <v>0</v>
      </c>
      <c r="S121" s="14">
        <v>2.99</v>
      </c>
      <c r="T121" s="10">
        <f t="shared" si="12"/>
        <v>31.744270999999998</v>
      </c>
      <c r="U121" s="10">
        <f t="shared" si="13"/>
        <v>40.384775179999998</v>
      </c>
      <c r="V121" s="10">
        <f t="shared" si="14"/>
        <v>40.908442100000002</v>
      </c>
      <c r="W121" s="10">
        <f t="shared" si="15"/>
        <v>52.690947800000004</v>
      </c>
      <c r="X121" s="10">
        <f t="shared" si="16"/>
        <v>57.927616999999998</v>
      </c>
      <c r="Y121" s="10">
        <f t="shared" si="17"/>
        <v>84.110962999999998</v>
      </c>
      <c r="Z121" s="10">
        <f t="shared" si="18"/>
        <v>29.649922400000001</v>
      </c>
      <c r="AA121" s="10">
        <f t="shared" si="19"/>
        <v>38.121328800000008</v>
      </c>
      <c r="AB121" s="10">
        <f t="shared" si="20"/>
        <v>42.357032000000004</v>
      </c>
      <c r="AC121" s="10">
        <f t="shared" si="21"/>
        <v>63.535548000000013</v>
      </c>
    </row>
    <row r="122" spans="1:29" x14ac:dyDescent="0.25">
      <c r="A122">
        <v>374909</v>
      </c>
      <c r="B122" t="s">
        <v>108</v>
      </c>
      <c r="C122" s="10">
        <v>17.43</v>
      </c>
      <c r="D122" s="10">
        <v>16.420000000000002</v>
      </c>
      <c r="E122" s="10">
        <v>0</v>
      </c>
      <c r="F122">
        <v>317</v>
      </c>
      <c r="G122" t="s">
        <v>12</v>
      </c>
      <c r="H122" s="11">
        <v>45989</v>
      </c>
      <c r="I122" t="s">
        <v>13</v>
      </c>
      <c r="J122" s="12">
        <v>9</v>
      </c>
      <c r="K122" s="3">
        <v>285.66000000000003</v>
      </c>
      <c r="L122" s="3">
        <f t="shared" si="11"/>
        <v>31.740000000000002</v>
      </c>
      <c r="M122" s="13"/>
      <c r="N122">
        <f>_xlfn.XLOOKUP(G122,'Tarievensheet per persoon'!AE:AE,'Tarievensheet per persoon'!AF:AF)</f>
        <v>1.6496999999999999</v>
      </c>
      <c r="O122">
        <f>_xlfn.XLOOKUP(G122,AE:AE,'Tarievensheet per persoon'!AG:AG)</f>
        <v>1.5022</v>
      </c>
      <c r="P122">
        <f>_xlfn.XLOOKUP(G122,AE:AE,'Tarievensheet per persoon'!AH:AH)</f>
        <v>1.2898000000000001</v>
      </c>
      <c r="Q122">
        <f>_xlfn.XLOOKUP(G122,AE:AE,'Tarievensheet per persoon'!AI:AI)</f>
        <v>1.2898000000000001</v>
      </c>
      <c r="R122">
        <v>0</v>
      </c>
      <c r="S122" s="14">
        <v>2.99</v>
      </c>
      <c r="T122" s="10">
        <f t="shared" si="12"/>
        <v>31.744270999999998</v>
      </c>
      <c r="U122" s="10">
        <f t="shared" si="13"/>
        <v>40.384775179999998</v>
      </c>
      <c r="V122" s="10">
        <f t="shared" si="14"/>
        <v>40.908442100000002</v>
      </c>
      <c r="W122" s="10">
        <f t="shared" si="15"/>
        <v>52.690947800000004</v>
      </c>
      <c r="X122" s="10">
        <f t="shared" si="16"/>
        <v>57.927616999999998</v>
      </c>
      <c r="Y122" s="10">
        <f t="shared" si="17"/>
        <v>84.110962999999998</v>
      </c>
      <c r="Z122" s="10">
        <f t="shared" si="18"/>
        <v>29.649922400000001</v>
      </c>
      <c r="AA122" s="10">
        <f t="shared" si="19"/>
        <v>38.121328800000008</v>
      </c>
      <c r="AB122" s="10">
        <f t="shared" si="20"/>
        <v>42.357032000000004</v>
      </c>
      <c r="AC122" s="10">
        <f t="shared" si="21"/>
        <v>63.535548000000013</v>
      </c>
    </row>
    <row r="123" spans="1:29" x14ac:dyDescent="0.25">
      <c r="A123">
        <v>374953</v>
      </c>
      <c r="B123" t="s">
        <v>31</v>
      </c>
      <c r="C123" s="10">
        <v>17.21</v>
      </c>
      <c r="D123" s="10">
        <v>16.22</v>
      </c>
      <c r="E123" s="10">
        <v>0</v>
      </c>
      <c r="F123">
        <v>353</v>
      </c>
      <c r="G123" t="s">
        <v>12</v>
      </c>
      <c r="H123" s="11">
        <v>45985</v>
      </c>
      <c r="I123" t="s">
        <v>13</v>
      </c>
      <c r="J123" s="12">
        <v>2</v>
      </c>
      <c r="K123" s="3">
        <v>62.76</v>
      </c>
      <c r="L123" s="3">
        <f t="shared" si="11"/>
        <v>31.38</v>
      </c>
      <c r="M123" s="13"/>
      <c r="N123">
        <f>_xlfn.XLOOKUP(G123,'Tarievensheet per persoon'!AE:AE,'Tarievensheet per persoon'!AF:AF)</f>
        <v>1.6496999999999999</v>
      </c>
      <c r="O123">
        <f>_xlfn.XLOOKUP(G123,AE:AE,'Tarievensheet per persoon'!AG:AG)</f>
        <v>1.5022</v>
      </c>
      <c r="P123">
        <f>_xlfn.XLOOKUP(G123,AE:AE,'Tarievensheet per persoon'!AH:AH)</f>
        <v>1.2898000000000001</v>
      </c>
      <c r="Q123">
        <f>_xlfn.XLOOKUP(G123,AE:AE,'Tarievensheet per persoon'!AI:AI)</f>
        <v>1.2898000000000001</v>
      </c>
      <c r="R123">
        <v>0</v>
      </c>
      <c r="S123" s="14">
        <v>2.99</v>
      </c>
      <c r="T123" s="10">
        <f t="shared" si="12"/>
        <v>31.381337000000002</v>
      </c>
      <c r="U123" s="10">
        <f t="shared" si="13"/>
        <v>39.912781460000005</v>
      </c>
      <c r="V123" s="10">
        <f t="shared" si="14"/>
        <v>40.429838700000005</v>
      </c>
      <c r="W123" s="10">
        <f t="shared" si="15"/>
        <v>52.063626600000006</v>
      </c>
      <c r="X123" s="10">
        <f t="shared" si="16"/>
        <v>57.234199000000004</v>
      </c>
      <c r="Y123" s="10">
        <f t="shared" si="17"/>
        <v>83.087061000000006</v>
      </c>
      <c r="Z123" s="10">
        <f t="shared" si="18"/>
        <v>29.288778399999998</v>
      </c>
      <c r="AA123" s="10">
        <f t="shared" si="19"/>
        <v>37.657000799999999</v>
      </c>
      <c r="AB123" s="10">
        <f t="shared" si="20"/>
        <v>41.841111999999995</v>
      </c>
      <c r="AC123" s="10">
        <f t="shared" si="21"/>
        <v>62.761668</v>
      </c>
    </row>
    <row r="124" spans="1:29" x14ac:dyDescent="0.25">
      <c r="A124">
        <v>374953</v>
      </c>
      <c r="B124" t="s">
        <v>31</v>
      </c>
      <c r="C124" s="10">
        <v>17.21</v>
      </c>
      <c r="D124" s="10">
        <v>16.22</v>
      </c>
      <c r="E124" s="10">
        <v>0</v>
      </c>
      <c r="F124">
        <v>353</v>
      </c>
      <c r="G124" t="s">
        <v>12</v>
      </c>
      <c r="H124" s="11">
        <v>45985</v>
      </c>
      <c r="I124" t="s">
        <v>21</v>
      </c>
      <c r="J124" s="12">
        <v>5.25</v>
      </c>
      <c r="K124" s="3">
        <v>209.53</v>
      </c>
      <c r="L124" s="3">
        <f t="shared" si="11"/>
        <v>39.910476190476189</v>
      </c>
      <c r="M124" s="13"/>
      <c r="N124">
        <f>_xlfn.XLOOKUP(G124,'Tarievensheet per persoon'!AE:AE,'Tarievensheet per persoon'!AF:AF)</f>
        <v>1.6496999999999999</v>
      </c>
      <c r="O124">
        <f>_xlfn.XLOOKUP(G124,AE:AE,'Tarievensheet per persoon'!AG:AG)</f>
        <v>1.5022</v>
      </c>
      <c r="P124">
        <f>_xlfn.XLOOKUP(G124,AE:AE,'Tarievensheet per persoon'!AH:AH)</f>
        <v>1.2898000000000001</v>
      </c>
      <c r="Q124">
        <f>_xlfn.XLOOKUP(G124,AE:AE,'Tarievensheet per persoon'!AI:AI)</f>
        <v>1.2898000000000001</v>
      </c>
      <c r="R124">
        <v>0</v>
      </c>
      <c r="S124" s="14">
        <v>2.99</v>
      </c>
      <c r="T124" s="10">
        <f t="shared" si="12"/>
        <v>31.381337000000002</v>
      </c>
      <c r="U124" s="10">
        <f t="shared" si="13"/>
        <v>39.912781460000005</v>
      </c>
      <c r="V124" s="10">
        <f t="shared" si="14"/>
        <v>40.429838700000005</v>
      </c>
      <c r="W124" s="10">
        <f t="shared" si="15"/>
        <v>52.063626600000006</v>
      </c>
      <c r="X124" s="10">
        <f t="shared" si="16"/>
        <v>57.234199000000004</v>
      </c>
      <c r="Y124" s="10">
        <f t="shared" si="17"/>
        <v>83.087061000000006</v>
      </c>
      <c r="Z124" s="10">
        <f t="shared" si="18"/>
        <v>29.288778399999998</v>
      </c>
      <c r="AA124" s="10">
        <f t="shared" si="19"/>
        <v>37.657000799999999</v>
      </c>
      <c r="AB124" s="10">
        <f t="shared" si="20"/>
        <v>41.841111999999995</v>
      </c>
      <c r="AC124" s="10">
        <f t="shared" si="21"/>
        <v>62.761668</v>
      </c>
    </row>
    <row r="125" spans="1:29" x14ac:dyDescent="0.25">
      <c r="A125">
        <v>374953</v>
      </c>
      <c r="B125" t="s">
        <v>31</v>
      </c>
      <c r="C125" s="10">
        <v>17.21</v>
      </c>
      <c r="D125" s="10">
        <v>16.22</v>
      </c>
      <c r="E125" s="10">
        <v>0</v>
      </c>
      <c r="F125">
        <v>353</v>
      </c>
      <c r="G125" t="s">
        <v>12</v>
      </c>
      <c r="H125" s="11">
        <v>45986</v>
      </c>
      <c r="I125" t="s">
        <v>13</v>
      </c>
      <c r="J125" s="12">
        <v>1.75</v>
      </c>
      <c r="K125" s="3">
        <v>54.92</v>
      </c>
      <c r="L125" s="3">
        <f t="shared" si="11"/>
        <v>31.382857142857144</v>
      </c>
      <c r="M125" s="13"/>
      <c r="N125">
        <f>_xlfn.XLOOKUP(G125,'Tarievensheet per persoon'!AE:AE,'Tarievensheet per persoon'!AF:AF)</f>
        <v>1.6496999999999999</v>
      </c>
      <c r="O125">
        <f>_xlfn.XLOOKUP(G125,AE:AE,'Tarievensheet per persoon'!AG:AG)</f>
        <v>1.5022</v>
      </c>
      <c r="P125">
        <f>_xlfn.XLOOKUP(G125,AE:AE,'Tarievensheet per persoon'!AH:AH)</f>
        <v>1.2898000000000001</v>
      </c>
      <c r="Q125">
        <f>_xlfn.XLOOKUP(G125,AE:AE,'Tarievensheet per persoon'!AI:AI)</f>
        <v>1.2898000000000001</v>
      </c>
      <c r="R125">
        <v>0</v>
      </c>
      <c r="S125" s="14">
        <v>2.99</v>
      </c>
      <c r="T125" s="10">
        <f t="shared" si="12"/>
        <v>31.381337000000002</v>
      </c>
      <c r="U125" s="10">
        <f t="shared" si="13"/>
        <v>39.912781460000005</v>
      </c>
      <c r="V125" s="10">
        <f t="shared" si="14"/>
        <v>40.429838700000005</v>
      </c>
      <c r="W125" s="10">
        <f t="shared" si="15"/>
        <v>52.063626600000006</v>
      </c>
      <c r="X125" s="10">
        <f t="shared" si="16"/>
        <v>57.234199000000004</v>
      </c>
      <c r="Y125" s="10">
        <f t="shared" si="17"/>
        <v>83.087061000000006</v>
      </c>
      <c r="Z125" s="10">
        <f t="shared" si="18"/>
        <v>29.288778399999998</v>
      </c>
      <c r="AA125" s="10">
        <f t="shared" si="19"/>
        <v>37.657000799999999</v>
      </c>
      <c r="AB125" s="10">
        <f t="shared" si="20"/>
        <v>41.841111999999995</v>
      </c>
      <c r="AC125" s="10">
        <f t="shared" si="21"/>
        <v>62.761668</v>
      </c>
    </row>
    <row r="126" spans="1:29" x14ac:dyDescent="0.25">
      <c r="A126">
        <v>374953</v>
      </c>
      <c r="B126" t="s">
        <v>31</v>
      </c>
      <c r="C126" s="10">
        <v>17.21</v>
      </c>
      <c r="D126" s="10">
        <v>16.22</v>
      </c>
      <c r="E126" s="10">
        <v>0</v>
      </c>
      <c r="F126">
        <v>353</v>
      </c>
      <c r="G126" t="s">
        <v>12</v>
      </c>
      <c r="H126" s="11">
        <v>45986</v>
      </c>
      <c r="I126" t="s">
        <v>21</v>
      </c>
      <c r="J126" s="12">
        <v>5.25</v>
      </c>
      <c r="K126" s="3">
        <v>209.53</v>
      </c>
      <c r="L126" s="3">
        <f t="shared" si="11"/>
        <v>39.910476190476189</v>
      </c>
      <c r="M126" s="13"/>
      <c r="N126">
        <f>_xlfn.XLOOKUP(G126,'Tarievensheet per persoon'!AE:AE,'Tarievensheet per persoon'!AF:AF)</f>
        <v>1.6496999999999999</v>
      </c>
      <c r="O126">
        <f>_xlfn.XLOOKUP(G126,AE:AE,'Tarievensheet per persoon'!AG:AG)</f>
        <v>1.5022</v>
      </c>
      <c r="P126">
        <f>_xlfn.XLOOKUP(G126,AE:AE,'Tarievensheet per persoon'!AH:AH)</f>
        <v>1.2898000000000001</v>
      </c>
      <c r="Q126">
        <f>_xlfn.XLOOKUP(G126,AE:AE,'Tarievensheet per persoon'!AI:AI)</f>
        <v>1.2898000000000001</v>
      </c>
      <c r="R126">
        <v>0</v>
      </c>
      <c r="S126" s="14">
        <v>2.99</v>
      </c>
      <c r="T126" s="10">
        <f t="shared" si="12"/>
        <v>31.381337000000002</v>
      </c>
      <c r="U126" s="10">
        <f t="shared" si="13"/>
        <v>39.912781460000005</v>
      </c>
      <c r="V126" s="10">
        <f t="shared" si="14"/>
        <v>40.429838700000005</v>
      </c>
      <c r="W126" s="10">
        <f t="shared" si="15"/>
        <v>52.063626600000006</v>
      </c>
      <c r="X126" s="10">
        <f t="shared" si="16"/>
        <v>57.234199000000004</v>
      </c>
      <c r="Y126" s="10">
        <f t="shared" si="17"/>
        <v>83.087061000000006</v>
      </c>
      <c r="Z126" s="10">
        <f t="shared" si="18"/>
        <v>29.288778399999998</v>
      </c>
      <c r="AA126" s="10">
        <f t="shared" si="19"/>
        <v>37.657000799999999</v>
      </c>
      <c r="AB126" s="10">
        <f t="shared" si="20"/>
        <v>41.841111999999995</v>
      </c>
      <c r="AC126" s="10">
        <f t="shared" si="21"/>
        <v>62.761668</v>
      </c>
    </row>
    <row r="127" spans="1:29" x14ac:dyDescent="0.25">
      <c r="A127">
        <v>374953</v>
      </c>
      <c r="B127" t="s">
        <v>31</v>
      </c>
      <c r="C127" s="10">
        <v>17.21</v>
      </c>
      <c r="D127" s="10">
        <v>16.22</v>
      </c>
      <c r="E127" s="10">
        <v>0</v>
      </c>
      <c r="F127">
        <v>353</v>
      </c>
      <c r="G127" t="s">
        <v>12</v>
      </c>
      <c r="H127" s="11">
        <v>45986</v>
      </c>
      <c r="I127" t="s">
        <v>22</v>
      </c>
      <c r="J127" s="12">
        <v>1</v>
      </c>
      <c r="K127" s="3">
        <v>40.43</v>
      </c>
      <c r="L127" s="3">
        <f t="shared" si="11"/>
        <v>40.43</v>
      </c>
      <c r="M127" s="13"/>
      <c r="N127">
        <f>_xlfn.XLOOKUP(G127,'Tarievensheet per persoon'!AE:AE,'Tarievensheet per persoon'!AF:AF)</f>
        <v>1.6496999999999999</v>
      </c>
      <c r="O127">
        <f>_xlfn.XLOOKUP(G127,AE:AE,'Tarievensheet per persoon'!AG:AG)</f>
        <v>1.5022</v>
      </c>
      <c r="P127">
        <f>_xlfn.XLOOKUP(G127,AE:AE,'Tarievensheet per persoon'!AH:AH)</f>
        <v>1.2898000000000001</v>
      </c>
      <c r="Q127">
        <f>_xlfn.XLOOKUP(G127,AE:AE,'Tarievensheet per persoon'!AI:AI)</f>
        <v>1.2898000000000001</v>
      </c>
      <c r="R127">
        <v>0</v>
      </c>
      <c r="S127" s="14">
        <v>2.99</v>
      </c>
      <c r="T127" s="10">
        <f t="shared" si="12"/>
        <v>31.381337000000002</v>
      </c>
      <c r="U127" s="10">
        <f t="shared" si="13"/>
        <v>39.912781460000005</v>
      </c>
      <c r="V127" s="10">
        <f t="shared" si="14"/>
        <v>40.429838700000005</v>
      </c>
      <c r="W127" s="10">
        <f t="shared" si="15"/>
        <v>52.063626600000006</v>
      </c>
      <c r="X127" s="10">
        <f t="shared" si="16"/>
        <v>57.234199000000004</v>
      </c>
      <c r="Y127" s="10">
        <f t="shared" si="17"/>
        <v>83.087061000000006</v>
      </c>
      <c r="Z127" s="10">
        <f t="shared" si="18"/>
        <v>29.288778399999998</v>
      </c>
      <c r="AA127" s="10">
        <f t="shared" si="19"/>
        <v>37.657000799999999</v>
      </c>
      <c r="AB127" s="10">
        <f t="shared" si="20"/>
        <v>41.841111999999995</v>
      </c>
      <c r="AC127" s="10">
        <f t="shared" si="21"/>
        <v>62.761668</v>
      </c>
    </row>
    <row r="128" spans="1:29" x14ac:dyDescent="0.25">
      <c r="A128">
        <v>374953</v>
      </c>
      <c r="B128" t="s">
        <v>31</v>
      </c>
      <c r="C128" s="10">
        <v>17.21</v>
      </c>
      <c r="D128" s="10">
        <v>16.22</v>
      </c>
      <c r="E128" s="10">
        <v>0</v>
      </c>
      <c r="F128">
        <v>353</v>
      </c>
      <c r="G128" t="s">
        <v>12</v>
      </c>
      <c r="H128" s="11">
        <v>45987</v>
      </c>
      <c r="I128" t="s">
        <v>13</v>
      </c>
      <c r="J128" s="12">
        <v>1.75</v>
      </c>
      <c r="K128" s="3">
        <v>54.92</v>
      </c>
      <c r="L128" s="3">
        <f t="shared" si="11"/>
        <v>31.382857142857144</v>
      </c>
      <c r="M128" s="13"/>
      <c r="N128">
        <f>_xlfn.XLOOKUP(G128,'Tarievensheet per persoon'!AE:AE,'Tarievensheet per persoon'!AF:AF)</f>
        <v>1.6496999999999999</v>
      </c>
      <c r="O128">
        <f>_xlfn.XLOOKUP(G128,AE:AE,'Tarievensheet per persoon'!AG:AG)</f>
        <v>1.5022</v>
      </c>
      <c r="P128">
        <f>_xlfn.XLOOKUP(G128,AE:AE,'Tarievensheet per persoon'!AH:AH)</f>
        <v>1.2898000000000001</v>
      </c>
      <c r="Q128">
        <f>_xlfn.XLOOKUP(G128,AE:AE,'Tarievensheet per persoon'!AI:AI)</f>
        <v>1.2898000000000001</v>
      </c>
      <c r="R128">
        <v>0</v>
      </c>
      <c r="S128" s="14">
        <v>2.99</v>
      </c>
      <c r="T128" s="10">
        <f t="shared" si="12"/>
        <v>31.381337000000002</v>
      </c>
      <c r="U128" s="10">
        <f t="shared" si="13"/>
        <v>39.912781460000005</v>
      </c>
      <c r="V128" s="10">
        <f t="shared" si="14"/>
        <v>40.429838700000005</v>
      </c>
      <c r="W128" s="10">
        <f t="shared" si="15"/>
        <v>52.063626600000006</v>
      </c>
      <c r="X128" s="10">
        <f t="shared" si="16"/>
        <v>57.234199000000004</v>
      </c>
      <c r="Y128" s="10">
        <f t="shared" si="17"/>
        <v>83.087061000000006</v>
      </c>
      <c r="Z128" s="10">
        <f t="shared" si="18"/>
        <v>29.288778399999998</v>
      </c>
      <c r="AA128" s="10">
        <f t="shared" si="19"/>
        <v>37.657000799999999</v>
      </c>
      <c r="AB128" s="10">
        <f t="shared" si="20"/>
        <v>41.841111999999995</v>
      </c>
      <c r="AC128" s="10">
        <f t="shared" si="21"/>
        <v>62.761668</v>
      </c>
    </row>
    <row r="129" spans="1:29" x14ac:dyDescent="0.25">
      <c r="A129">
        <v>374953</v>
      </c>
      <c r="B129" t="s">
        <v>31</v>
      </c>
      <c r="C129" s="10">
        <v>17.21</v>
      </c>
      <c r="D129" s="10">
        <v>16.22</v>
      </c>
      <c r="E129" s="10">
        <v>0</v>
      </c>
      <c r="F129">
        <v>353</v>
      </c>
      <c r="G129" t="s">
        <v>12</v>
      </c>
      <c r="H129" s="11">
        <v>45987</v>
      </c>
      <c r="I129" t="s">
        <v>21</v>
      </c>
      <c r="J129" s="12">
        <v>5.25</v>
      </c>
      <c r="K129" s="3">
        <v>209.53</v>
      </c>
      <c r="L129" s="3">
        <f t="shared" si="11"/>
        <v>39.910476190476189</v>
      </c>
      <c r="M129" s="13"/>
      <c r="N129">
        <f>_xlfn.XLOOKUP(G129,'Tarievensheet per persoon'!AE:AE,'Tarievensheet per persoon'!AF:AF)</f>
        <v>1.6496999999999999</v>
      </c>
      <c r="O129">
        <f>_xlfn.XLOOKUP(G129,AE:AE,'Tarievensheet per persoon'!AG:AG)</f>
        <v>1.5022</v>
      </c>
      <c r="P129">
        <f>_xlfn.XLOOKUP(G129,AE:AE,'Tarievensheet per persoon'!AH:AH)</f>
        <v>1.2898000000000001</v>
      </c>
      <c r="Q129">
        <f>_xlfn.XLOOKUP(G129,AE:AE,'Tarievensheet per persoon'!AI:AI)</f>
        <v>1.2898000000000001</v>
      </c>
      <c r="R129">
        <v>0</v>
      </c>
      <c r="S129" s="14">
        <v>2.99</v>
      </c>
      <c r="T129" s="10">
        <f t="shared" si="12"/>
        <v>31.381337000000002</v>
      </c>
      <c r="U129" s="10">
        <f t="shared" si="13"/>
        <v>39.912781460000005</v>
      </c>
      <c r="V129" s="10">
        <f t="shared" si="14"/>
        <v>40.429838700000005</v>
      </c>
      <c r="W129" s="10">
        <f t="shared" si="15"/>
        <v>52.063626600000006</v>
      </c>
      <c r="X129" s="10">
        <f t="shared" si="16"/>
        <v>57.234199000000004</v>
      </c>
      <c r="Y129" s="10">
        <f t="shared" si="17"/>
        <v>83.087061000000006</v>
      </c>
      <c r="Z129" s="10">
        <f t="shared" si="18"/>
        <v>29.288778399999998</v>
      </c>
      <c r="AA129" s="10">
        <f t="shared" si="19"/>
        <v>37.657000799999999</v>
      </c>
      <c r="AB129" s="10">
        <f t="shared" si="20"/>
        <v>41.841111999999995</v>
      </c>
      <c r="AC129" s="10">
        <f t="shared" si="21"/>
        <v>62.761668</v>
      </c>
    </row>
    <row r="130" spans="1:29" x14ac:dyDescent="0.25">
      <c r="A130">
        <v>374953</v>
      </c>
      <c r="B130" t="s">
        <v>31</v>
      </c>
      <c r="C130" s="10">
        <v>17.21</v>
      </c>
      <c r="D130" s="10">
        <v>16.22</v>
      </c>
      <c r="E130" s="10">
        <v>0</v>
      </c>
      <c r="F130">
        <v>353</v>
      </c>
      <c r="G130" t="s">
        <v>12</v>
      </c>
      <c r="H130" s="11">
        <v>45987</v>
      </c>
      <c r="I130" t="s">
        <v>22</v>
      </c>
      <c r="J130" s="12">
        <v>0.5</v>
      </c>
      <c r="K130" s="3">
        <v>20.22</v>
      </c>
      <c r="L130" s="3">
        <f t="shared" si="11"/>
        <v>40.44</v>
      </c>
      <c r="M130" s="13"/>
      <c r="N130">
        <f>_xlfn.XLOOKUP(G130,'Tarievensheet per persoon'!AE:AE,'Tarievensheet per persoon'!AF:AF)</f>
        <v>1.6496999999999999</v>
      </c>
      <c r="O130">
        <f>_xlfn.XLOOKUP(G130,AE:AE,'Tarievensheet per persoon'!AG:AG)</f>
        <v>1.5022</v>
      </c>
      <c r="P130">
        <f>_xlfn.XLOOKUP(G130,AE:AE,'Tarievensheet per persoon'!AH:AH)</f>
        <v>1.2898000000000001</v>
      </c>
      <c r="Q130">
        <f>_xlfn.XLOOKUP(G130,AE:AE,'Tarievensheet per persoon'!AI:AI)</f>
        <v>1.2898000000000001</v>
      </c>
      <c r="R130">
        <v>0</v>
      </c>
      <c r="S130" s="14">
        <v>2.99</v>
      </c>
      <c r="T130" s="10">
        <f t="shared" si="12"/>
        <v>31.381337000000002</v>
      </c>
      <c r="U130" s="10">
        <f t="shared" si="13"/>
        <v>39.912781460000005</v>
      </c>
      <c r="V130" s="10">
        <f t="shared" si="14"/>
        <v>40.429838700000005</v>
      </c>
      <c r="W130" s="10">
        <f t="shared" si="15"/>
        <v>52.063626600000006</v>
      </c>
      <c r="X130" s="10">
        <f t="shared" si="16"/>
        <v>57.234199000000004</v>
      </c>
      <c r="Y130" s="10">
        <f t="shared" si="17"/>
        <v>83.087061000000006</v>
      </c>
      <c r="Z130" s="10">
        <f t="shared" si="18"/>
        <v>29.288778399999998</v>
      </c>
      <c r="AA130" s="10">
        <f t="shared" si="19"/>
        <v>37.657000799999999</v>
      </c>
      <c r="AB130" s="10">
        <f t="shared" si="20"/>
        <v>41.841111999999995</v>
      </c>
      <c r="AC130" s="10">
        <f t="shared" si="21"/>
        <v>62.761668</v>
      </c>
    </row>
    <row r="131" spans="1:29" x14ac:dyDescent="0.25">
      <c r="A131">
        <v>374953</v>
      </c>
      <c r="B131" t="s">
        <v>31</v>
      </c>
      <c r="C131" s="10">
        <v>17.21</v>
      </c>
      <c r="D131" s="10">
        <v>16.22</v>
      </c>
      <c r="E131" s="10">
        <v>0</v>
      </c>
      <c r="F131">
        <v>353</v>
      </c>
      <c r="G131" t="s">
        <v>12</v>
      </c>
      <c r="H131" s="11">
        <v>45988</v>
      </c>
      <c r="I131" t="s">
        <v>13</v>
      </c>
      <c r="J131" s="12">
        <v>3</v>
      </c>
      <c r="K131" s="3">
        <v>94.14</v>
      </c>
      <c r="L131" s="3">
        <f t="shared" ref="L131:L194" si="22">K131/J131</f>
        <v>31.38</v>
      </c>
      <c r="M131" s="13"/>
      <c r="N131">
        <f>_xlfn.XLOOKUP(G131,'Tarievensheet per persoon'!AE:AE,'Tarievensheet per persoon'!AF:AF)</f>
        <v>1.6496999999999999</v>
      </c>
      <c r="O131">
        <f>_xlfn.XLOOKUP(G131,AE:AE,'Tarievensheet per persoon'!AG:AG)</f>
        <v>1.5022</v>
      </c>
      <c r="P131">
        <f>_xlfn.XLOOKUP(G131,AE:AE,'Tarievensheet per persoon'!AH:AH)</f>
        <v>1.2898000000000001</v>
      </c>
      <c r="Q131">
        <f>_xlfn.XLOOKUP(G131,AE:AE,'Tarievensheet per persoon'!AI:AI)</f>
        <v>1.2898000000000001</v>
      </c>
      <c r="R131">
        <v>0</v>
      </c>
      <c r="S131" s="14">
        <v>2.99</v>
      </c>
      <c r="T131" s="10">
        <f t="shared" ref="T131:T194" si="23">C131*N131+C131*Q131*R131+S131+(E131*O131)</f>
        <v>31.381337000000002</v>
      </c>
      <c r="U131" s="10">
        <f t="shared" ref="U131:U194" si="24">T131+C131*(U$1-1)*O131</f>
        <v>39.912781460000005</v>
      </c>
      <c r="V131" s="10">
        <f t="shared" ref="V131:V194" si="25">T131+C131*(V$1-1)*O131</f>
        <v>40.429838700000005</v>
      </c>
      <c r="W131" s="10">
        <f t="shared" ref="W131:W194" si="26">T131+C131*(W$1-1)*O131</f>
        <v>52.063626600000006</v>
      </c>
      <c r="X131" s="10">
        <f t="shared" ref="X131:X194" si="27">T131+C131*(X$1-1)*O131</f>
        <v>57.234199000000004</v>
      </c>
      <c r="Y131" s="10">
        <f t="shared" ref="Y131:Y194" si="28">T131+C131*(Y$1-1)*O131</f>
        <v>83.087061000000006</v>
      </c>
      <c r="Z131" s="10">
        <f t="shared" ref="Z131:Z194" si="29">D131*Z$1*P131</f>
        <v>29.288778399999998</v>
      </c>
      <c r="AA131" s="10">
        <f t="shared" ref="AA131:AA194" si="30">D131*AA$1*P131</f>
        <v>37.657000799999999</v>
      </c>
      <c r="AB131" s="10">
        <f t="shared" ref="AB131:AB194" si="31">D131*AB$1*P131</f>
        <v>41.841111999999995</v>
      </c>
      <c r="AC131" s="10">
        <f t="shared" ref="AC131:AC194" si="32">D131*AC$1*P131</f>
        <v>62.761668</v>
      </c>
    </row>
    <row r="132" spans="1:29" x14ac:dyDescent="0.25">
      <c r="A132">
        <v>374953</v>
      </c>
      <c r="B132" t="s">
        <v>31</v>
      </c>
      <c r="C132" s="10">
        <v>17.21</v>
      </c>
      <c r="D132" s="10">
        <v>16.22</v>
      </c>
      <c r="E132" s="10">
        <v>0</v>
      </c>
      <c r="F132">
        <v>353</v>
      </c>
      <c r="G132" t="s">
        <v>12</v>
      </c>
      <c r="H132" s="11">
        <v>45988</v>
      </c>
      <c r="I132" t="s">
        <v>21</v>
      </c>
      <c r="J132" s="12">
        <v>5.25</v>
      </c>
      <c r="K132" s="3">
        <v>209.53</v>
      </c>
      <c r="L132" s="3">
        <f t="shared" si="22"/>
        <v>39.910476190476189</v>
      </c>
      <c r="M132" s="13"/>
      <c r="N132">
        <f>_xlfn.XLOOKUP(G132,'Tarievensheet per persoon'!AE:AE,'Tarievensheet per persoon'!AF:AF)</f>
        <v>1.6496999999999999</v>
      </c>
      <c r="O132">
        <f>_xlfn.XLOOKUP(G132,AE:AE,'Tarievensheet per persoon'!AG:AG)</f>
        <v>1.5022</v>
      </c>
      <c r="P132">
        <f>_xlfn.XLOOKUP(G132,AE:AE,'Tarievensheet per persoon'!AH:AH)</f>
        <v>1.2898000000000001</v>
      </c>
      <c r="Q132">
        <f>_xlfn.XLOOKUP(G132,AE:AE,'Tarievensheet per persoon'!AI:AI)</f>
        <v>1.2898000000000001</v>
      </c>
      <c r="R132">
        <v>0</v>
      </c>
      <c r="S132" s="14">
        <v>2.99</v>
      </c>
      <c r="T132" s="10">
        <f t="shared" si="23"/>
        <v>31.381337000000002</v>
      </c>
      <c r="U132" s="10">
        <f t="shared" si="24"/>
        <v>39.912781460000005</v>
      </c>
      <c r="V132" s="10">
        <f t="shared" si="25"/>
        <v>40.429838700000005</v>
      </c>
      <c r="W132" s="10">
        <f t="shared" si="26"/>
        <v>52.063626600000006</v>
      </c>
      <c r="X132" s="10">
        <f t="shared" si="27"/>
        <v>57.234199000000004</v>
      </c>
      <c r="Y132" s="10">
        <f t="shared" si="28"/>
        <v>83.087061000000006</v>
      </c>
      <c r="Z132" s="10">
        <f t="shared" si="29"/>
        <v>29.288778399999998</v>
      </c>
      <c r="AA132" s="10">
        <f t="shared" si="30"/>
        <v>37.657000799999999</v>
      </c>
      <c r="AB132" s="10">
        <f t="shared" si="31"/>
        <v>41.841111999999995</v>
      </c>
      <c r="AC132" s="10">
        <f t="shared" si="32"/>
        <v>62.761668</v>
      </c>
    </row>
    <row r="133" spans="1:29" x14ac:dyDescent="0.25">
      <c r="A133">
        <v>374953</v>
      </c>
      <c r="B133" t="s">
        <v>31</v>
      </c>
      <c r="C133" s="10">
        <v>17.21</v>
      </c>
      <c r="D133" s="10">
        <v>16.22</v>
      </c>
      <c r="E133" s="10">
        <v>0</v>
      </c>
      <c r="F133">
        <v>353</v>
      </c>
      <c r="G133" t="s">
        <v>12</v>
      </c>
      <c r="H133" s="11">
        <v>45989</v>
      </c>
      <c r="I133" t="s">
        <v>13</v>
      </c>
      <c r="J133" s="12">
        <v>2.5</v>
      </c>
      <c r="K133" s="3">
        <v>78.45</v>
      </c>
      <c r="L133" s="3">
        <f t="shared" si="22"/>
        <v>31.380000000000003</v>
      </c>
      <c r="M133" s="13"/>
      <c r="N133">
        <f>_xlfn.XLOOKUP(G133,'Tarievensheet per persoon'!AE:AE,'Tarievensheet per persoon'!AF:AF)</f>
        <v>1.6496999999999999</v>
      </c>
      <c r="O133">
        <f>_xlfn.XLOOKUP(G133,AE:AE,'Tarievensheet per persoon'!AG:AG)</f>
        <v>1.5022</v>
      </c>
      <c r="P133">
        <f>_xlfn.XLOOKUP(G133,AE:AE,'Tarievensheet per persoon'!AH:AH)</f>
        <v>1.2898000000000001</v>
      </c>
      <c r="Q133">
        <f>_xlfn.XLOOKUP(G133,AE:AE,'Tarievensheet per persoon'!AI:AI)</f>
        <v>1.2898000000000001</v>
      </c>
      <c r="R133">
        <v>0</v>
      </c>
      <c r="S133" s="14">
        <v>2.99</v>
      </c>
      <c r="T133" s="10">
        <f t="shared" si="23"/>
        <v>31.381337000000002</v>
      </c>
      <c r="U133" s="10">
        <f t="shared" si="24"/>
        <v>39.912781460000005</v>
      </c>
      <c r="V133" s="10">
        <f t="shared" si="25"/>
        <v>40.429838700000005</v>
      </c>
      <c r="W133" s="10">
        <f t="shared" si="26"/>
        <v>52.063626600000006</v>
      </c>
      <c r="X133" s="10">
        <f t="shared" si="27"/>
        <v>57.234199000000004</v>
      </c>
      <c r="Y133" s="10">
        <f t="shared" si="28"/>
        <v>83.087061000000006</v>
      </c>
      <c r="Z133" s="10">
        <f t="shared" si="29"/>
        <v>29.288778399999998</v>
      </c>
      <c r="AA133" s="10">
        <f t="shared" si="30"/>
        <v>37.657000799999999</v>
      </c>
      <c r="AB133" s="10">
        <f t="shared" si="31"/>
        <v>41.841111999999995</v>
      </c>
      <c r="AC133" s="10">
        <f t="shared" si="32"/>
        <v>62.761668</v>
      </c>
    </row>
    <row r="134" spans="1:29" x14ac:dyDescent="0.25">
      <c r="A134">
        <v>374953</v>
      </c>
      <c r="B134" t="s">
        <v>31</v>
      </c>
      <c r="C134" s="10">
        <v>17.21</v>
      </c>
      <c r="D134" s="10">
        <v>16.22</v>
      </c>
      <c r="E134" s="10">
        <v>0</v>
      </c>
      <c r="F134">
        <v>353</v>
      </c>
      <c r="G134" t="s">
        <v>12</v>
      </c>
      <c r="H134" s="11">
        <v>45989</v>
      </c>
      <c r="I134" t="s">
        <v>21</v>
      </c>
      <c r="J134" s="12">
        <v>4.5</v>
      </c>
      <c r="K134" s="3">
        <v>179.6</v>
      </c>
      <c r="L134" s="3">
        <f t="shared" si="22"/>
        <v>39.911111111111111</v>
      </c>
      <c r="M134" s="13"/>
      <c r="N134">
        <f>_xlfn.XLOOKUP(G134,'Tarievensheet per persoon'!AE:AE,'Tarievensheet per persoon'!AF:AF)</f>
        <v>1.6496999999999999</v>
      </c>
      <c r="O134">
        <f>_xlfn.XLOOKUP(G134,AE:AE,'Tarievensheet per persoon'!AG:AG)</f>
        <v>1.5022</v>
      </c>
      <c r="P134">
        <f>_xlfn.XLOOKUP(G134,AE:AE,'Tarievensheet per persoon'!AH:AH)</f>
        <v>1.2898000000000001</v>
      </c>
      <c r="Q134">
        <f>_xlfn.XLOOKUP(G134,AE:AE,'Tarievensheet per persoon'!AI:AI)</f>
        <v>1.2898000000000001</v>
      </c>
      <c r="R134">
        <v>0</v>
      </c>
      <c r="S134" s="14">
        <v>2.99</v>
      </c>
      <c r="T134" s="10">
        <f t="shared" si="23"/>
        <v>31.381337000000002</v>
      </c>
      <c r="U134" s="10">
        <f t="shared" si="24"/>
        <v>39.912781460000005</v>
      </c>
      <c r="V134" s="10">
        <f t="shared" si="25"/>
        <v>40.429838700000005</v>
      </c>
      <c r="W134" s="10">
        <f t="shared" si="26"/>
        <v>52.063626600000006</v>
      </c>
      <c r="X134" s="10">
        <f t="shared" si="27"/>
        <v>57.234199000000004</v>
      </c>
      <c r="Y134" s="10">
        <f t="shared" si="28"/>
        <v>83.087061000000006</v>
      </c>
      <c r="Z134" s="10">
        <f t="shared" si="29"/>
        <v>29.288778399999998</v>
      </c>
      <c r="AA134" s="10">
        <f t="shared" si="30"/>
        <v>37.657000799999999</v>
      </c>
      <c r="AB134" s="10">
        <f t="shared" si="31"/>
        <v>41.841111999999995</v>
      </c>
      <c r="AC134" s="10">
        <f t="shared" si="32"/>
        <v>62.761668</v>
      </c>
    </row>
    <row r="135" spans="1:29" x14ac:dyDescent="0.25">
      <c r="A135">
        <v>375350</v>
      </c>
      <c r="B135" t="s">
        <v>32</v>
      </c>
      <c r="C135" s="10">
        <v>17.87</v>
      </c>
      <c r="D135" s="10">
        <v>16.84</v>
      </c>
      <c r="E135" s="10">
        <v>0</v>
      </c>
      <c r="F135">
        <v>53</v>
      </c>
      <c r="G135" t="s">
        <v>19</v>
      </c>
      <c r="H135" s="11">
        <v>45985</v>
      </c>
      <c r="I135" t="s">
        <v>13</v>
      </c>
      <c r="J135" s="12">
        <v>3</v>
      </c>
      <c r="K135" s="3">
        <v>100.47</v>
      </c>
      <c r="L135" s="3">
        <f t="shared" si="22"/>
        <v>33.49</v>
      </c>
      <c r="M135" s="13"/>
      <c r="N135">
        <f>_xlfn.XLOOKUP(G135,'Tarievensheet per persoon'!AE:AE,'Tarievensheet per persoon'!AF:AF)</f>
        <v>1.7068000000000001</v>
      </c>
      <c r="O135">
        <f>_xlfn.XLOOKUP(G135,AE:AE,'Tarievensheet per persoon'!AG:AG)</f>
        <v>1.5528</v>
      </c>
      <c r="P135">
        <f>_xlfn.XLOOKUP(G135,AE:AE,'Tarievensheet per persoon'!AH:AH)</f>
        <v>1.3391999999999999</v>
      </c>
      <c r="Q135">
        <f>_xlfn.XLOOKUP(G135,AE:AE,'Tarievensheet per persoon'!AI:AI)</f>
        <v>1.3391999999999999</v>
      </c>
      <c r="R135">
        <v>0</v>
      </c>
      <c r="S135" s="14">
        <v>2.99</v>
      </c>
      <c r="T135" s="10">
        <f t="shared" si="23"/>
        <v>33.490516000000007</v>
      </c>
      <c r="U135" s="10">
        <f t="shared" si="24"/>
        <v>42.647532880000007</v>
      </c>
      <c r="V135" s="10">
        <f t="shared" si="25"/>
        <v>43.202503600000007</v>
      </c>
      <c r="W135" s="10">
        <f t="shared" si="26"/>
        <v>55.689344800000008</v>
      </c>
      <c r="X135" s="10">
        <f t="shared" si="27"/>
        <v>61.239052000000008</v>
      </c>
      <c r="Y135" s="10">
        <f t="shared" si="28"/>
        <v>88.987588000000017</v>
      </c>
      <c r="Z135" s="10">
        <f t="shared" si="29"/>
        <v>31.572979199999995</v>
      </c>
      <c r="AA135" s="10">
        <f t="shared" si="30"/>
        <v>40.593830400000002</v>
      </c>
      <c r="AB135" s="10">
        <f t="shared" si="31"/>
        <v>45.104255999999999</v>
      </c>
      <c r="AC135" s="10">
        <f t="shared" si="32"/>
        <v>67.656383999999989</v>
      </c>
    </row>
    <row r="136" spans="1:29" x14ac:dyDescent="0.25">
      <c r="A136">
        <v>375350</v>
      </c>
      <c r="B136" t="s">
        <v>32</v>
      </c>
      <c r="C136" s="10">
        <v>17.87</v>
      </c>
      <c r="D136" s="10">
        <v>16.84</v>
      </c>
      <c r="E136" s="10">
        <v>0</v>
      </c>
      <c r="F136">
        <v>53</v>
      </c>
      <c r="G136" t="s">
        <v>19</v>
      </c>
      <c r="H136" s="11">
        <v>45985</v>
      </c>
      <c r="I136" t="s">
        <v>21</v>
      </c>
      <c r="J136" s="12">
        <v>4</v>
      </c>
      <c r="K136" s="3">
        <v>170.6</v>
      </c>
      <c r="L136" s="3">
        <f t="shared" si="22"/>
        <v>42.65</v>
      </c>
      <c r="M136" s="13"/>
      <c r="N136">
        <f>_xlfn.XLOOKUP(G136,'Tarievensheet per persoon'!AE:AE,'Tarievensheet per persoon'!AF:AF)</f>
        <v>1.7068000000000001</v>
      </c>
      <c r="O136">
        <f>_xlfn.XLOOKUP(G136,AE:AE,'Tarievensheet per persoon'!AG:AG)</f>
        <v>1.5528</v>
      </c>
      <c r="P136">
        <f>_xlfn.XLOOKUP(G136,AE:AE,'Tarievensheet per persoon'!AH:AH)</f>
        <v>1.3391999999999999</v>
      </c>
      <c r="Q136">
        <f>_xlfn.XLOOKUP(G136,AE:AE,'Tarievensheet per persoon'!AI:AI)</f>
        <v>1.3391999999999999</v>
      </c>
      <c r="R136">
        <v>0</v>
      </c>
      <c r="S136" s="14">
        <v>2.99</v>
      </c>
      <c r="T136" s="10">
        <f t="shared" si="23"/>
        <v>33.490516000000007</v>
      </c>
      <c r="U136" s="10">
        <f t="shared" si="24"/>
        <v>42.647532880000007</v>
      </c>
      <c r="V136" s="10">
        <f t="shared" si="25"/>
        <v>43.202503600000007</v>
      </c>
      <c r="W136" s="10">
        <f t="shared" si="26"/>
        <v>55.689344800000008</v>
      </c>
      <c r="X136" s="10">
        <f t="shared" si="27"/>
        <v>61.239052000000008</v>
      </c>
      <c r="Y136" s="10">
        <f t="shared" si="28"/>
        <v>88.987588000000017</v>
      </c>
      <c r="Z136" s="10">
        <f t="shared" si="29"/>
        <v>31.572979199999995</v>
      </c>
      <c r="AA136" s="10">
        <f t="shared" si="30"/>
        <v>40.593830400000002</v>
      </c>
      <c r="AB136" s="10">
        <f t="shared" si="31"/>
        <v>45.104255999999999</v>
      </c>
      <c r="AC136" s="10">
        <f t="shared" si="32"/>
        <v>67.656383999999989</v>
      </c>
    </row>
    <row r="137" spans="1:29" x14ac:dyDescent="0.25">
      <c r="A137">
        <v>375350</v>
      </c>
      <c r="B137" t="s">
        <v>32</v>
      </c>
      <c r="C137" s="10">
        <v>17.87</v>
      </c>
      <c r="D137" s="10">
        <v>16.84</v>
      </c>
      <c r="E137" s="10">
        <v>0</v>
      </c>
      <c r="F137">
        <v>53</v>
      </c>
      <c r="G137" t="s">
        <v>19</v>
      </c>
      <c r="H137" s="11">
        <v>45986</v>
      </c>
      <c r="I137" t="s">
        <v>13</v>
      </c>
      <c r="J137" s="12">
        <v>3</v>
      </c>
      <c r="K137" s="3">
        <v>100.47</v>
      </c>
      <c r="L137" s="3">
        <f t="shared" si="22"/>
        <v>33.49</v>
      </c>
      <c r="M137" s="13"/>
      <c r="N137">
        <f>_xlfn.XLOOKUP(G137,'Tarievensheet per persoon'!AE:AE,'Tarievensheet per persoon'!AF:AF)</f>
        <v>1.7068000000000001</v>
      </c>
      <c r="O137">
        <f>_xlfn.XLOOKUP(G137,AE:AE,'Tarievensheet per persoon'!AG:AG)</f>
        <v>1.5528</v>
      </c>
      <c r="P137">
        <f>_xlfn.XLOOKUP(G137,AE:AE,'Tarievensheet per persoon'!AH:AH)</f>
        <v>1.3391999999999999</v>
      </c>
      <c r="Q137">
        <f>_xlfn.XLOOKUP(G137,AE:AE,'Tarievensheet per persoon'!AI:AI)</f>
        <v>1.3391999999999999</v>
      </c>
      <c r="R137">
        <v>0</v>
      </c>
      <c r="S137" s="14">
        <v>2.99</v>
      </c>
      <c r="T137" s="10">
        <f t="shared" si="23"/>
        <v>33.490516000000007</v>
      </c>
      <c r="U137" s="10">
        <f t="shared" si="24"/>
        <v>42.647532880000007</v>
      </c>
      <c r="V137" s="10">
        <f t="shared" si="25"/>
        <v>43.202503600000007</v>
      </c>
      <c r="W137" s="10">
        <f t="shared" si="26"/>
        <v>55.689344800000008</v>
      </c>
      <c r="X137" s="10">
        <f t="shared" si="27"/>
        <v>61.239052000000008</v>
      </c>
      <c r="Y137" s="10">
        <f t="shared" si="28"/>
        <v>88.987588000000017</v>
      </c>
      <c r="Z137" s="10">
        <f t="shared" si="29"/>
        <v>31.572979199999995</v>
      </c>
      <c r="AA137" s="10">
        <f t="shared" si="30"/>
        <v>40.593830400000002</v>
      </c>
      <c r="AB137" s="10">
        <f t="shared" si="31"/>
        <v>45.104255999999999</v>
      </c>
      <c r="AC137" s="10">
        <f t="shared" si="32"/>
        <v>67.656383999999989</v>
      </c>
    </row>
    <row r="138" spans="1:29" x14ac:dyDescent="0.25">
      <c r="A138">
        <v>375350</v>
      </c>
      <c r="B138" t="s">
        <v>32</v>
      </c>
      <c r="C138" s="10">
        <v>17.87</v>
      </c>
      <c r="D138" s="10">
        <v>16.84</v>
      </c>
      <c r="E138" s="10">
        <v>0</v>
      </c>
      <c r="F138">
        <v>53</v>
      </c>
      <c r="G138" t="s">
        <v>19</v>
      </c>
      <c r="H138" s="11">
        <v>45986</v>
      </c>
      <c r="I138" t="s">
        <v>21</v>
      </c>
      <c r="J138" s="12">
        <v>4.25</v>
      </c>
      <c r="K138" s="3">
        <v>181.26</v>
      </c>
      <c r="L138" s="3">
        <f t="shared" si="22"/>
        <v>42.649411764705881</v>
      </c>
      <c r="M138" s="13"/>
      <c r="N138">
        <f>_xlfn.XLOOKUP(G138,'Tarievensheet per persoon'!AE:AE,'Tarievensheet per persoon'!AF:AF)</f>
        <v>1.7068000000000001</v>
      </c>
      <c r="O138">
        <f>_xlfn.XLOOKUP(G138,AE:AE,'Tarievensheet per persoon'!AG:AG)</f>
        <v>1.5528</v>
      </c>
      <c r="P138">
        <f>_xlfn.XLOOKUP(G138,AE:AE,'Tarievensheet per persoon'!AH:AH)</f>
        <v>1.3391999999999999</v>
      </c>
      <c r="Q138">
        <f>_xlfn.XLOOKUP(G138,AE:AE,'Tarievensheet per persoon'!AI:AI)</f>
        <v>1.3391999999999999</v>
      </c>
      <c r="R138">
        <v>0</v>
      </c>
      <c r="S138" s="14">
        <v>2.99</v>
      </c>
      <c r="T138" s="10">
        <f t="shared" si="23"/>
        <v>33.490516000000007</v>
      </c>
      <c r="U138" s="10">
        <f t="shared" si="24"/>
        <v>42.647532880000007</v>
      </c>
      <c r="V138" s="10">
        <f t="shared" si="25"/>
        <v>43.202503600000007</v>
      </c>
      <c r="W138" s="10">
        <f t="shared" si="26"/>
        <v>55.689344800000008</v>
      </c>
      <c r="X138" s="10">
        <f t="shared" si="27"/>
        <v>61.239052000000008</v>
      </c>
      <c r="Y138" s="10">
        <f t="shared" si="28"/>
        <v>88.987588000000017</v>
      </c>
      <c r="Z138" s="10">
        <f t="shared" si="29"/>
        <v>31.572979199999995</v>
      </c>
      <c r="AA138" s="10">
        <f t="shared" si="30"/>
        <v>40.593830400000002</v>
      </c>
      <c r="AB138" s="10">
        <f t="shared" si="31"/>
        <v>45.104255999999999</v>
      </c>
      <c r="AC138" s="10">
        <f t="shared" si="32"/>
        <v>67.656383999999989</v>
      </c>
    </row>
    <row r="139" spans="1:29" x14ac:dyDescent="0.25">
      <c r="A139">
        <v>375350</v>
      </c>
      <c r="B139" t="s">
        <v>32</v>
      </c>
      <c r="C139" s="10">
        <v>17.87</v>
      </c>
      <c r="D139" s="10">
        <v>16.84</v>
      </c>
      <c r="E139" s="10">
        <v>0</v>
      </c>
      <c r="F139">
        <v>53</v>
      </c>
      <c r="G139" t="s">
        <v>19</v>
      </c>
      <c r="H139" s="11">
        <v>45987</v>
      </c>
      <c r="I139" t="s">
        <v>13</v>
      </c>
      <c r="J139" s="12">
        <v>1.25</v>
      </c>
      <c r="K139" s="3">
        <v>41.86</v>
      </c>
      <c r="L139" s="3">
        <f t="shared" si="22"/>
        <v>33.488</v>
      </c>
      <c r="M139" s="13"/>
      <c r="N139">
        <f>_xlfn.XLOOKUP(G139,'Tarievensheet per persoon'!AE:AE,'Tarievensheet per persoon'!AF:AF)</f>
        <v>1.7068000000000001</v>
      </c>
      <c r="O139">
        <f>_xlfn.XLOOKUP(G139,AE:AE,'Tarievensheet per persoon'!AG:AG)</f>
        <v>1.5528</v>
      </c>
      <c r="P139">
        <f>_xlfn.XLOOKUP(G139,AE:AE,'Tarievensheet per persoon'!AH:AH)</f>
        <v>1.3391999999999999</v>
      </c>
      <c r="Q139">
        <f>_xlfn.XLOOKUP(G139,AE:AE,'Tarievensheet per persoon'!AI:AI)</f>
        <v>1.3391999999999999</v>
      </c>
      <c r="R139">
        <v>0</v>
      </c>
      <c r="S139" s="14">
        <v>2.99</v>
      </c>
      <c r="T139" s="10">
        <f t="shared" si="23"/>
        <v>33.490516000000007</v>
      </c>
      <c r="U139" s="10">
        <f t="shared" si="24"/>
        <v>42.647532880000007</v>
      </c>
      <c r="V139" s="10">
        <f t="shared" si="25"/>
        <v>43.202503600000007</v>
      </c>
      <c r="W139" s="10">
        <f t="shared" si="26"/>
        <v>55.689344800000008</v>
      </c>
      <c r="X139" s="10">
        <f t="shared" si="27"/>
        <v>61.239052000000008</v>
      </c>
      <c r="Y139" s="10">
        <f t="shared" si="28"/>
        <v>88.987588000000017</v>
      </c>
      <c r="Z139" s="10">
        <f t="shared" si="29"/>
        <v>31.572979199999995</v>
      </c>
      <c r="AA139" s="10">
        <f t="shared" si="30"/>
        <v>40.593830400000002</v>
      </c>
      <c r="AB139" s="10">
        <f t="shared" si="31"/>
        <v>45.104255999999999</v>
      </c>
      <c r="AC139" s="10">
        <f t="shared" si="32"/>
        <v>67.656383999999989</v>
      </c>
    </row>
    <row r="140" spans="1:29" x14ac:dyDescent="0.25">
      <c r="A140">
        <v>375350</v>
      </c>
      <c r="B140" t="s">
        <v>32</v>
      </c>
      <c r="C140" s="10">
        <v>17.87</v>
      </c>
      <c r="D140" s="10">
        <v>16.84</v>
      </c>
      <c r="E140" s="10">
        <v>0</v>
      </c>
      <c r="F140">
        <v>53</v>
      </c>
      <c r="G140" t="s">
        <v>19</v>
      </c>
      <c r="H140" s="11">
        <v>45987</v>
      </c>
      <c r="I140" t="s">
        <v>21</v>
      </c>
      <c r="J140" s="12">
        <v>4.25</v>
      </c>
      <c r="K140" s="3">
        <v>181.26</v>
      </c>
      <c r="L140" s="3">
        <f t="shared" si="22"/>
        <v>42.649411764705881</v>
      </c>
      <c r="M140" s="13"/>
      <c r="N140">
        <f>_xlfn.XLOOKUP(G140,'Tarievensheet per persoon'!AE:AE,'Tarievensheet per persoon'!AF:AF)</f>
        <v>1.7068000000000001</v>
      </c>
      <c r="O140">
        <f>_xlfn.XLOOKUP(G140,AE:AE,'Tarievensheet per persoon'!AG:AG)</f>
        <v>1.5528</v>
      </c>
      <c r="P140">
        <f>_xlfn.XLOOKUP(G140,AE:AE,'Tarievensheet per persoon'!AH:AH)</f>
        <v>1.3391999999999999</v>
      </c>
      <c r="Q140">
        <f>_xlfn.XLOOKUP(G140,AE:AE,'Tarievensheet per persoon'!AI:AI)</f>
        <v>1.3391999999999999</v>
      </c>
      <c r="R140">
        <v>0</v>
      </c>
      <c r="S140" s="14">
        <v>2.99</v>
      </c>
      <c r="T140" s="10">
        <f t="shared" si="23"/>
        <v>33.490516000000007</v>
      </c>
      <c r="U140" s="10">
        <f t="shared" si="24"/>
        <v>42.647532880000007</v>
      </c>
      <c r="V140" s="10">
        <f t="shared" si="25"/>
        <v>43.202503600000007</v>
      </c>
      <c r="W140" s="10">
        <f t="shared" si="26"/>
        <v>55.689344800000008</v>
      </c>
      <c r="X140" s="10">
        <f t="shared" si="27"/>
        <v>61.239052000000008</v>
      </c>
      <c r="Y140" s="10">
        <f t="shared" si="28"/>
        <v>88.987588000000017</v>
      </c>
      <c r="Z140" s="10">
        <f t="shared" si="29"/>
        <v>31.572979199999995</v>
      </c>
      <c r="AA140" s="10">
        <f t="shared" si="30"/>
        <v>40.593830400000002</v>
      </c>
      <c r="AB140" s="10">
        <f t="shared" si="31"/>
        <v>45.104255999999999</v>
      </c>
      <c r="AC140" s="10">
        <f t="shared" si="32"/>
        <v>67.656383999999989</v>
      </c>
    </row>
    <row r="141" spans="1:29" x14ac:dyDescent="0.25">
      <c r="A141">
        <v>375350</v>
      </c>
      <c r="B141" t="s">
        <v>32</v>
      </c>
      <c r="C141" s="10">
        <v>17.87</v>
      </c>
      <c r="D141" s="10">
        <v>16.84</v>
      </c>
      <c r="E141" s="10">
        <v>0</v>
      </c>
      <c r="F141">
        <v>53</v>
      </c>
      <c r="G141" t="s">
        <v>19</v>
      </c>
      <c r="H141" s="11">
        <v>45988</v>
      </c>
      <c r="I141" t="s">
        <v>13</v>
      </c>
      <c r="J141" s="12">
        <v>3</v>
      </c>
      <c r="K141" s="3">
        <v>100.47</v>
      </c>
      <c r="L141" s="3">
        <f t="shared" si="22"/>
        <v>33.49</v>
      </c>
      <c r="M141" s="13"/>
      <c r="N141">
        <f>_xlfn.XLOOKUP(G141,'Tarievensheet per persoon'!AE:AE,'Tarievensheet per persoon'!AF:AF)</f>
        <v>1.7068000000000001</v>
      </c>
      <c r="O141">
        <f>_xlfn.XLOOKUP(G141,AE:AE,'Tarievensheet per persoon'!AG:AG)</f>
        <v>1.5528</v>
      </c>
      <c r="P141">
        <f>_xlfn.XLOOKUP(G141,AE:AE,'Tarievensheet per persoon'!AH:AH)</f>
        <v>1.3391999999999999</v>
      </c>
      <c r="Q141">
        <f>_xlfn.XLOOKUP(G141,AE:AE,'Tarievensheet per persoon'!AI:AI)</f>
        <v>1.3391999999999999</v>
      </c>
      <c r="R141">
        <v>0</v>
      </c>
      <c r="S141" s="14">
        <v>2.99</v>
      </c>
      <c r="T141" s="10">
        <f t="shared" si="23"/>
        <v>33.490516000000007</v>
      </c>
      <c r="U141" s="10">
        <f t="shared" si="24"/>
        <v>42.647532880000007</v>
      </c>
      <c r="V141" s="10">
        <f t="shared" si="25"/>
        <v>43.202503600000007</v>
      </c>
      <c r="W141" s="10">
        <f t="shared" si="26"/>
        <v>55.689344800000008</v>
      </c>
      <c r="X141" s="10">
        <f t="shared" si="27"/>
        <v>61.239052000000008</v>
      </c>
      <c r="Y141" s="10">
        <f t="shared" si="28"/>
        <v>88.987588000000017</v>
      </c>
      <c r="Z141" s="10">
        <f t="shared" si="29"/>
        <v>31.572979199999995</v>
      </c>
      <c r="AA141" s="10">
        <f t="shared" si="30"/>
        <v>40.593830400000002</v>
      </c>
      <c r="AB141" s="10">
        <f t="shared" si="31"/>
        <v>45.104255999999999</v>
      </c>
      <c r="AC141" s="10">
        <f t="shared" si="32"/>
        <v>67.656383999999989</v>
      </c>
    </row>
    <row r="142" spans="1:29" x14ac:dyDescent="0.25">
      <c r="A142">
        <v>375350</v>
      </c>
      <c r="B142" t="s">
        <v>32</v>
      </c>
      <c r="C142" s="10">
        <v>17.87</v>
      </c>
      <c r="D142" s="10">
        <v>16.84</v>
      </c>
      <c r="E142" s="10">
        <v>0</v>
      </c>
      <c r="F142">
        <v>53</v>
      </c>
      <c r="G142" t="s">
        <v>19</v>
      </c>
      <c r="H142" s="11">
        <v>45988</v>
      </c>
      <c r="I142" t="s">
        <v>21</v>
      </c>
      <c r="J142" s="12">
        <v>4</v>
      </c>
      <c r="K142" s="3">
        <v>170.6</v>
      </c>
      <c r="L142" s="3">
        <f t="shared" si="22"/>
        <v>42.65</v>
      </c>
      <c r="M142" s="13"/>
      <c r="N142">
        <f>_xlfn.XLOOKUP(G142,'Tarievensheet per persoon'!AE:AE,'Tarievensheet per persoon'!AF:AF)</f>
        <v>1.7068000000000001</v>
      </c>
      <c r="O142">
        <f>_xlfn.XLOOKUP(G142,AE:AE,'Tarievensheet per persoon'!AG:AG)</f>
        <v>1.5528</v>
      </c>
      <c r="P142">
        <f>_xlfn.XLOOKUP(G142,AE:AE,'Tarievensheet per persoon'!AH:AH)</f>
        <v>1.3391999999999999</v>
      </c>
      <c r="Q142">
        <f>_xlfn.XLOOKUP(G142,AE:AE,'Tarievensheet per persoon'!AI:AI)</f>
        <v>1.3391999999999999</v>
      </c>
      <c r="R142">
        <v>0</v>
      </c>
      <c r="S142" s="14">
        <v>2.99</v>
      </c>
      <c r="T142" s="10">
        <f t="shared" si="23"/>
        <v>33.490516000000007</v>
      </c>
      <c r="U142" s="10">
        <f t="shared" si="24"/>
        <v>42.647532880000007</v>
      </c>
      <c r="V142" s="10">
        <f t="shared" si="25"/>
        <v>43.202503600000007</v>
      </c>
      <c r="W142" s="10">
        <f t="shared" si="26"/>
        <v>55.689344800000008</v>
      </c>
      <c r="X142" s="10">
        <f t="shared" si="27"/>
        <v>61.239052000000008</v>
      </c>
      <c r="Y142" s="10">
        <f t="shared" si="28"/>
        <v>88.987588000000017</v>
      </c>
      <c r="Z142" s="10">
        <f t="shared" si="29"/>
        <v>31.572979199999995</v>
      </c>
      <c r="AA142" s="10">
        <f t="shared" si="30"/>
        <v>40.593830400000002</v>
      </c>
      <c r="AB142" s="10">
        <f t="shared" si="31"/>
        <v>45.104255999999999</v>
      </c>
      <c r="AC142" s="10">
        <f t="shared" si="32"/>
        <v>67.656383999999989</v>
      </c>
    </row>
    <row r="143" spans="1:29" x14ac:dyDescent="0.25">
      <c r="A143">
        <v>375350</v>
      </c>
      <c r="B143" t="s">
        <v>32</v>
      </c>
      <c r="C143" s="10">
        <v>17.87</v>
      </c>
      <c r="D143" s="10">
        <v>16.84</v>
      </c>
      <c r="E143" s="10">
        <v>0</v>
      </c>
      <c r="F143">
        <v>53</v>
      </c>
      <c r="G143" t="s">
        <v>19</v>
      </c>
      <c r="H143" s="11">
        <v>45989</v>
      </c>
      <c r="I143" t="s">
        <v>13</v>
      </c>
      <c r="J143" s="12">
        <v>3</v>
      </c>
      <c r="K143" s="3">
        <v>100.47</v>
      </c>
      <c r="L143" s="3">
        <f t="shared" si="22"/>
        <v>33.49</v>
      </c>
      <c r="M143" s="13"/>
      <c r="N143">
        <f>_xlfn.XLOOKUP(G143,'Tarievensheet per persoon'!AE:AE,'Tarievensheet per persoon'!AF:AF)</f>
        <v>1.7068000000000001</v>
      </c>
      <c r="O143">
        <f>_xlfn.XLOOKUP(G143,AE:AE,'Tarievensheet per persoon'!AG:AG)</f>
        <v>1.5528</v>
      </c>
      <c r="P143">
        <f>_xlfn.XLOOKUP(G143,AE:AE,'Tarievensheet per persoon'!AH:AH)</f>
        <v>1.3391999999999999</v>
      </c>
      <c r="Q143">
        <f>_xlfn.XLOOKUP(G143,AE:AE,'Tarievensheet per persoon'!AI:AI)</f>
        <v>1.3391999999999999</v>
      </c>
      <c r="R143">
        <v>0</v>
      </c>
      <c r="S143" s="14">
        <v>2.99</v>
      </c>
      <c r="T143" s="10">
        <f t="shared" si="23"/>
        <v>33.490516000000007</v>
      </c>
      <c r="U143" s="10">
        <f t="shared" si="24"/>
        <v>42.647532880000007</v>
      </c>
      <c r="V143" s="10">
        <f t="shared" si="25"/>
        <v>43.202503600000007</v>
      </c>
      <c r="W143" s="10">
        <f t="shared" si="26"/>
        <v>55.689344800000008</v>
      </c>
      <c r="X143" s="10">
        <f t="shared" si="27"/>
        <v>61.239052000000008</v>
      </c>
      <c r="Y143" s="10">
        <f t="shared" si="28"/>
        <v>88.987588000000017</v>
      </c>
      <c r="Z143" s="10">
        <f t="shared" si="29"/>
        <v>31.572979199999995</v>
      </c>
      <c r="AA143" s="10">
        <f t="shared" si="30"/>
        <v>40.593830400000002</v>
      </c>
      <c r="AB143" s="10">
        <f t="shared" si="31"/>
        <v>45.104255999999999</v>
      </c>
      <c r="AC143" s="10">
        <f t="shared" si="32"/>
        <v>67.656383999999989</v>
      </c>
    </row>
    <row r="144" spans="1:29" x14ac:dyDescent="0.25">
      <c r="A144">
        <v>375350</v>
      </c>
      <c r="B144" t="s">
        <v>32</v>
      </c>
      <c r="C144" s="10">
        <v>17.87</v>
      </c>
      <c r="D144" s="10">
        <v>16.84</v>
      </c>
      <c r="E144" s="10">
        <v>0</v>
      </c>
      <c r="F144">
        <v>53</v>
      </c>
      <c r="G144" t="s">
        <v>19</v>
      </c>
      <c r="H144" s="11">
        <v>45989</v>
      </c>
      <c r="I144" t="s">
        <v>21</v>
      </c>
      <c r="J144" s="12">
        <v>4</v>
      </c>
      <c r="K144" s="3">
        <v>170.6</v>
      </c>
      <c r="L144" s="3">
        <f t="shared" si="22"/>
        <v>42.65</v>
      </c>
      <c r="M144" s="13"/>
      <c r="N144">
        <f>_xlfn.XLOOKUP(G144,'Tarievensheet per persoon'!AE:AE,'Tarievensheet per persoon'!AF:AF)</f>
        <v>1.7068000000000001</v>
      </c>
      <c r="O144">
        <f>_xlfn.XLOOKUP(G144,AE:AE,'Tarievensheet per persoon'!AG:AG)</f>
        <v>1.5528</v>
      </c>
      <c r="P144">
        <f>_xlfn.XLOOKUP(G144,AE:AE,'Tarievensheet per persoon'!AH:AH)</f>
        <v>1.3391999999999999</v>
      </c>
      <c r="Q144">
        <f>_xlfn.XLOOKUP(G144,AE:AE,'Tarievensheet per persoon'!AI:AI)</f>
        <v>1.3391999999999999</v>
      </c>
      <c r="R144">
        <v>0</v>
      </c>
      <c r="S144" s="14">
        <v>2.99</v>
      </c>
      <c r="T144" s="10">
        <f t="shared" si="23"/>
        <v>33.490516000000007</v>
      </c>
      <c r="U144" s="10">
        <f t="shared" si="24"/>
        <v>42.647532880000007</v>
      </c>
      <c r="V144" s="10">
        <f t="shared" si="25"/>
        <v>43.202503600000007</v>
      </c>
      <c r="W144" s="10">
        <f t="shared" si="26"/>
        <v>55.689344800000008</v>
      </c>
      <c r="X144" s="10">
        <f t="shared" si="27"/>
        <v>61.239052000000008</v>
      </c>
      <c r="Y144" s="10">
        <f t="shared" si="28"/>
        <v>88.987588000000017</v>
      </c>
      <c r="Z144" s="10">
        <f t="shared" si="29"/>
        <v>31.572979199999995</v>
      </c>
      <c r="AA144" s="10">
        <f t="shared" si="30"/>
        <v>40.593830400000002</v>
      </c>
      <c r="AB144" s="10">
        <f t="shared" si="31"/>
        <v>45.104255999999999</v>
      </c>
      <c r="AC144" s="10">
        <f t="shared" si="32"/>
        <v>67.656383999999989</v>
      </c>
    </row>
    <row r="145" spans="1:29" x14ac:dyDescent="0.25">
      <c r="A145">
        <v>379213</v>
      </c>
      <c r="B145" t="s">
        <v>109</v>
      </c>
      <c r="C145" s="10">
        <v>16.98</v>
      </c>
      <c r="D145" s="10">
        <v>16</v>
      </c>
      <c r="E145" s="10">
        <v>0</v>
      </c>
      <c r="F145">
        <v>143</v>
      </c>
      <c r="G145" t="s">
        <v>19</v>
      </c>
      <c r="H145" s="11">
        <v>45985</v>
      </c>
      <c r="I145" t="s">
        <v>13</v>
      </c>
      <c r="J145" s="12">
        <v>8</v>
      </c>
      <c r="K145" s="3">
        <v>255.76</v>
      </c>
      <c r="L145" s="3">
        <f t="shared" si="22"/>
        <v>31.97</v>
      </c>
      <c r="M145" s="13"/>
      <c r="N145">
        <f>_xlfn.XLOOKUP(G145,'Tarievensheet per persoon'!AE:AE,'Tarievensheet per persoon'!AF:AF)</f>
        <v>1.7068000000000001</v>
      </c>
      <c r="O145">
        <f>_xlfn.XLOOKUP(G145,AE:AE,'Tarievensheet per persoon'!AG:AG)</f>
        <v>1.5528</v>
      </c>
      <c r="P145">
        <f>_xlfn.XLOOKUP(G145,AE:AE,'Tarievensheet per persoon'!AH:AH)</f>
        <v>1.3391999999999999</v>
      </c>
      <c r="Q145">
        <f>_xlfn.XLOOKUP(G145,AE:AE,'Tarievensheet per persoon'!AI:AI)</f>
        <v>1.3391999999999999</v>
      </c>
      <c r="R145">
        <v>0</v>
      </c>
      <c r="S145" s="14">
        <v>2.99</v>
      </c>
      <c r="T145" s="10">
        <f t="shared" si="23"/>
        <v>31.971464000000005</v>
      </c>
      <c r="U145" s="10">
        <f t="shared" si="24"/>
        <v>40.672423520000009</v>
      </c>
      <c r="V145" s="10">
        <f t="shared" si="25"/>
        <v>41.199754400000003</v>
      </c>
      <c r="W145" s="10">
        <f t="shared" si="26"/>
        <v>53.064699200000007</v>
      </c>
      <c r="X145" s="10">
        <f t="shared" si="27"/>
        <v>58.338008000000002</v>
      </c>
      <c r="Y145" s="10">
        <f t="shared" si="28"/>
        <v>84.704552000000007</v>
      </c>
      <c r="Z145" s="10">
        <f t="shared" si="29"/>
        <v>29.998079999999998</v>
      </c>
      <c r="AA145" s="10">
        <f t="shared" si="30"/>
        <v>38.568959999999997</v>
      </c>
      <c r="AB145" s="10">
        <f t="shared" si="31"/>
        <v>42.854399999999998</v>
      </c>
      <c r="AC145" s="10">
        <f t="shared" si="32"/>
        <v>64.281599999999997</v>
      </c>
    </row>
    <row r="146" spans="1:29" x14ac:dyDescent="0.25">
      <c r="A146">
        <v>379213</v>
      </c>
      <c r="B146" t="s">
        <v>109</v>
      </c>
      <c r="C146" s="10">
        <v>16.98</v>
      </c>
      <c r="D146" s="10">
        <v>16</v>
      </c>
      <c r="E146" s="10">
        <v>0</v>
      </c>
      <c r="F146">
        <v>143</v>
      </c>
      <c r="G146" t="s">
        <v>19</v>
      </c>
      <c r="H146" s="11">
        <v>45985</v>
      </c>
      <c r="I146" t="s">
        <v>22</v>
      </c>
      <c r="J146" s="12">
        <v>1</v>
      </c>
      <c r="K146" s="3">
        <v>41.2</v>
      </c>
      <c r="L146" s="3">
        <f t="shared" si="22"/>
        <v>41.2</v>
      </c>
      <c r="M146" s="13"/>
      <c r="N146">
        <f>_xlfn.XLOOKUP(G146,'Tarievensheet per persoon'!AE:AE,'Tarievensheet per persoon'!AF:AF)</f>
        <v>1.7068000000000001</v>
      </c>
      <c r="O146">
        <f>_xlfn.XLOOKUP(G146,AE:AE,'Tarievensheet per persoon'!AG:AG)</f>
        <v>1.5528</v>
      </c>
      <c r="P146">
        <f>_xlfn.XLOOKUP(G146,AE:AE,'Tarievensheet per persoon'!AH:AH)</f>
        <v>1.3391999999999999</v>
      </c>
      <c r="Q146">
        <f>_xlfn.XLOOKUP(G146,AE:AE,'Tarievensheet per persoon'!AI:AI)</f>
        <v>1.3391999999999999</v>
      </c>
      <c r="R146">
        <v>0</v>
      </c>
      <c r="S146" s="14">
        <v>2.99</v>
      </c>
      <c r="T146" s="10">
        <f t="shared" si="23"/>
        <v>31.971464000000005</v>
      </c>
      <c r="U146" s="10">
        <f t="shared" si="24"/>
        <v>40.672423520000009</v>
      </c>
      <c r="V146" s="10">
        <f t="shared" si="25"/>
        <v>41.199754400000003</v>
      </c>
      <c r="W146" s="10">
        <f t="shared" si="26"/>
        <v>53.064699200000007</v>
      </c>
      <c r="X146" s="10">
        <f t="shared" si="27"/>
        <v>58.338008000000002</v>
      </c>
      <c r="Y146" s="10">
        <f t="shared" si="28"/>
        <v>84.704552000000007</v>
      </c>
      <c r="Z146" s="10">
        <f t="shared" si="29"/>
        <v>29.998079999999998</v>
      </c>
      <c r="AA146" s="10">
        <f t="shared" si="30"/>
        <v>38.568959999999997</v>
      </c>
      <c r="AB146" s="10">
        <f t="shared" si="31"/>
        <v>42.854399999999998</v>
      </c>
      <c r="AC146" s="10">
        <f t="shared" si="32"/>
        <v>64.281599999999997</v>
      </c>
    </row>
    <row r="147" spans="1:29" x14ac:dyDescent="0.25">
      <c r="A147">
        <v>379213</v>
      </c>
      <c r="B147" t="s">
        <v>109</v>
      </c>
      <c r="C147" s="10">
        <v>16.98</v>
      </c>
      <c r="D147" s="10">
        <v>16</v>
      </c>
      <c r="E147" s="10">
        <v>0</v>
      </c>
      <c r="F147">
        <v>143</v>
      </c>
      <c r="G147" t="s">
        <v>19</v>
      </c>
      <c r="H147" s="11">
        <v>45986</v>
      </c>
      <c r="I147" t="s">
        <v>13</v>
      </c>
      <c r="J147" s="12">
        <v>1.75</v>
      </c>
      <c r="K147" s="3">
        <v>55.95</v>
      </c>
      <c r="L147" s="3">
        <f t="shared" si="22"/>
        <v>31.971428571428572</v>
      </c>
      <c r="M147" s="13"/>
      <c r="N147">
        <f>_xlfn.XLOOKUP(G147,'Tarievensheet per persoon'!AE:AE,'Tarievensheet per persoon'!AF:AF)</f>
        <v>1.7068000000000001</v>
      </c>
      <c r="O147">
        <f>_xlfn.XLOOKUP(G147,AE:AE,'Tarievensheet per persoon'!AG:AG)</f>
        <v>1.5528</v>
      </c>
      <c r="P147">
        <f>_xlfn.XLOOKUP(G147,AE:AE,'Tarievensheet per persoon'!AH:AH)</f>
        <v>1.3391999999999999</v>
      </c>
      <c r="Q147">
        <f>_xlfn.XLOOKUP(G147,AE:AE,'Tarievensheet per persoon'!AI:AI)</f>
        <v>1.3391999999999999</v>
      </c>
      <c r="R147">
        <v>0</v>
      </c>
      <c r="S147" s="14">
        <v>2.99</v>
      </c>
      <c r="T147" s="10">
        <f t="shared" si="23"/>
        <v>31.971464000000005</v>
      </c>
      <c r="U147" s="10">
        <f t="shared" si="24"/>
        <v>40.672423520000009</v>
      </c>
      <c r="V147" s="10">
        <f t="shared" si="25"/>
        <v>41.199754400000003</v>
      </c>
      <c r="W147" s="10">
        <f t="shared" si="26"/>
        <v>53.064699200000007</v>
      </c>
      <c r="X147" s="10">
        <f t="shared" si="27"/>
        <v>58.338008000000002</v>
      </c>
      <c r="Y147" s="10">
        <f t="shared" si="28"/>
        <v>84.704552000000007</v>
      </c>
      <c r="Z147" s="10">
        <f t="shared" si="29"/>
        <v>29.998079999999998</v>
      </c>
      <c r="AA147" s="10">
        <f t="shared" si="30"/>
        <v>38.568959999999997</v>
      </c>
      <c r="AB147" s="10">
        <f t="shared" si="31"/>
        <v>42.854399999999998</v>
      </c>
      <c r="AC147" s="10">
        <f t="shared" si="32"/>
        <v>64.281599999999997</v>
      </c>
    </row>
    <row r="148" spans="1:29" x14ac:dyDescent="0.25">
      <c r="A148">
        <v>379213</v>
      </c>
      <c r="B148" t="s">
        <v>109</v>
      </c>
      <c r="C148" s="10">
        <v>16.98</v>
      </c>
      <c r="D148" s="10">
        <v>16</v>
      </c>
      <c r="E148" s="10">
        <v>0</v>
      </c>
      <c r="F148">
        <v>143</v>
      </c>
      <c r="G148" t="s">
        <v>19</v>
      </c>
      <c r="H148" s="11">
        <v>45986</v>
      </c>
      <c r="I148" t="s">
        <v>23</v>
      </c>
      <c r="J148" s="12">
        <v>5.25</v>
      </c>
      <c r="K148" s="3">
        <v>157.5</v>
      </c>
      <c r="L148" s="3">
        <f t="shared" si="22"/>
        <v>30</v>
      </c>
      <c r="M148" s="13"/>
      <c r="N148">
        <f>_xlfn.XLOOKUP(G148,'Tarievensheet per persoon'!AE:AE,'Tarievensheet per persoon'!AF:AF)</f>
        <v>1.7068000000000001</v>
      </c>
      <c r="O148">
        <f>_xlfn.XLOOKUP(G148,AE:AE,'Tarievensheet per persoon'!AG:AG)</f>
        <v>1.5528</v>
      </c>
      <c r="P148">
        <f>_xlfn.XLOOKUP(G148,AE:AE,'Tarievensheet per persoon'!AH:AH)</f>
        <v>1.3391999999999999</v>
      </c>
      <c r="Q148">
        <f>_xlfn.XLOOKUP(G148,AE:AE,'Tarievensheet per persoon'!AI:AI)</f>
        <v>1.3391999999999999</v>
      </c>
      <c r="R148">
        <v>0</v>
      </c>
      <c r="S148" s="14">
        <v>2.99</v>
      </c>
      <c r="T148" s="10">
        <f t="shared" si="23"/>
        <v>31.971464000000005</v>
      </c>
      <c r="U148" s="10">
        <f t="shared" si="24"/>
        <v>40.672423520000009</v>
      </c>
      <c r="V148" s="10">
        <f t="shared" si="25"/>
        <v>41.199754400000003</v>
      </c>
      <c r="W148" s="10">
        <f t="shared" si="26"/>
        <v>53.064699200000007</v>
      </c>
      <c r="X148" s="10">
        <f t="shared" si="27"/>
        <v>58.338008000000002</v>
      </c>
      <c r="Y148" s="10">
        <f t="shared" si="28"/>
        <v>84.704552000000007</v>
      </c>
      <c r="Z148" s="10">
        <f t="shared" si="29"/>
        <v>29.998079999999998</v>
      </c>
      <c r="AA148" s="10">
        <f t="shared" si="30"/>
        <v>38.568959999999997</v>
      </c>
      <c r="AB148" s="10">
        <f t="shared" si="31"/>
        <v>42.854399999999998</v>
      </c>
      <c r="AC148" s="10">
        <f t="shared" si="32"/>
        <v>64.281599999999997</v>
      </c>
    </row>
    <row r="149" spans="1:29" x14ac:dyDescent="0.25">
      <c r="A149">
        <v>379213</v>
      </c>
      <c r="B149" t="s">
        <v>109</v>
      </c>
      <c r="C149" s="10">
        <v>16.98</v>
      </c>
      <c r="D149" s="10">
        <v>16</v>
      </c>
      <c r="E149" s="10">
        <v>0</v>
      </c>
      <c r="F149">
        <v>143</v>
      </c>
      <c r="G149" t="s">
        <v>19</v>
      </c>
      <c r="H149" s="11">
        <v>45986</v>
      </c>
      <c r="I149" t="s">
        <v>22</v>
      </c>
      <c r="J149" s="12">
        <v>1</v>
      </c>
      <c r="K149" s="3">
        <v>41.2</v>
      </c>
      <c r="L149" s="3">
        <f t="shared" si="22"/>
        <v>41.2</v>
      </c>
      <c r="M149" s="13"/>
      <c r="N149">
        <f>_xlfn.XLOOKUP(G149,'Tarievensheet per persoon'!AE:AE,'Tarievensheet per persoon'!AF:AF)</f>
        <v>1.7068000000000001</v>
      </c>
      <c r="O149">
        <f>_xlfn.XLOOKUP(G149,AE:AE,'Tarievensheet per persoon'!AG:AG)</f>
        <v>1.5528</v>
      </c>
      <c r="P149">
        <f>_xlfn.XLOOKUP(G149,AE:AE,'Tarievensheet per persoon'!AH:AH)</f>
        <v>1.3391999999999999</v>
      </c>
      <c r="Q149">
        <f>_xlfn.XLOOKUP(G149,AE:AE,'Tarievensheet per persoon'!AI:AI)</f>
        <v>1.3391999999999999</v>
      </c>
      <c r="R149">
        <v>0</v>
      </c>
      <c r="S149" s="14">
        <v>2.99</v>
      </c>
      <c r="T149" s="10">
        <f t="shared" si="23"/>
        <v>31.971464000000005</v>
      </c>
      <c r="U149" s="10">
        <f t="shared" si="24"/>
        <v>40.672423520000009</v>
      </c>
      <c r="V149" s="10">
        <f t="shared" si="25"/>
        <v>41.199754400000003</v>
      </c>
      <c r="W149" s="10">
        <f t="shared" si="26"/>
        <v>53.064699200000007</v>
      </c>
      <c r="X149" s="10">
        <f t="shared" si="27"/>
        <v>58.338008000000002</v>
      </c>
      <c r="Y149" s="10">
        <f t="shared" si="28"/>
        <v>84.704552000000007</v>
      </c>
      <c r="Z149" s="10">
        <f t="shared" si="29"/>
        <v>29.998079999999998</v>
      </c>
      <c r="AA149" s="10">
        <f t="shared" si="30"/>
        <v>38.568959999999997</v>
      </c>
      <c r="AB149" s="10">
        <f t="shared" si="31"/>
        <v>42.854399999999998</v>
      </c>
      <c r="AC149" s="10">
        <f t="shared" si="32"/>
        <v>64.281599999999997</v>
      </c>
    </row>
    <row r="150" spans="1:29" x14ac:dyDescent="0.25">
      <c r="A150">
        <v>379213</v>
      </c>
      <c r="B150" t="s">
        <v>109</v>
      </c>
      <c r="C150" s="10">
        <v>16.98</v>
      </c>
      <c r="D150" s="10">
        <v>16</v>
      </c>
      <c r="E150" s="10">
        <v>0</v>
      </c>
      <c r="F150">
        <v>143</v>
      </c>
      <c r="G150" t="s">
        <v>19</v>
      </c>
      <c r="H150" s="11">
        <v>45987</v>
      </c>
      <c r="I150" t="s">
        <v>13</v>
      </c>
      <c r="J150" s="12">
        <v>8.25</v>
      </c>
      <c r="K150" s="3">
        <v>263.75</v>
      </c>
      <c r="L150" s="3">
        <f t="shared" si="22"/>
        <v>31.969696969696969</v>
      </c>
      <c r="M150" s="13"/>
      <c r="N150">
        <f>_xlfn.XLOOKUP(G150,'Tarievensheet per persoon'!AE:AE,'Tarievensheet per persoon'!AF:AF)</f>
        <v>1.7068000000000001</v>
      </c>
      <c r="O150">
        <f>_xlfn.XLOOKUP(G150,AE:AE,'Tarievensheet per persoon'!AG:AG)</f>
        <v>1.5528</v>
      </c>
      <c r="P150">
        <f>_xlfn.XLOOKUP(G150,AE:AE,'Tarievensheet per persoon'!AH:AH)</f>
        <v>1.3391999999999999</v>
      </c>
      <c r="Q150">
        <f>_xlfn.XLOOKUP(G150,AE:AE,'Tarievensheet per persoon'!AI:AI)</f>
        <v>1.3391999999999999</v>
      </c>
      <c r="R150">
        <v>0</v>
      </c>
      <c r="S150" s="14">
        <v>2.99</v>
      </c>
      <c r="T150" s="10">
        <f t="shared" si="23"/>
        <v>31.971464000000005</v>
      </c>
      <c r="U150" s="10">
        <f t="shared" si="24"/>
        <v>40.672423520000009</v>
      </c>
      <c r="V150" s="10">
        <f t="shared" si="25"/>
        <v>41.199754400000003</v>
      </c>
      <c r="W150" s="10">
        <f t="shared" si="26"/>
        <v>53.064699200000007</v>
      </c>
      <c r="X150" s="10">
        <f t="shared" si="27"/>
        <v>58.338008000000002</v>
      </c>
      <c r="Y150" s="10">
        <f t="shared" si="28"/>
        <v>84.704552000000007</v>
      </c>
      <c r="Z150" s="10">
        <f t="shared" si="29"/>
        <v>29.998079999999998</v>
      </c>
      <c r="AA150" s="10">
        <f t="shared" si="30"/>
        <v>38.568959999999997</v>
      </c>
      <c r="AB150" s="10">
        <f t="shared" si="31"/>
        <v>42.854399999999998</v>
      </c>
      <c r="AC150" s="10">
        <f t="shared" si="32"/>
        <v>64.281599999999997</v>
      </c>
    </row>
    <row r="151" spans="1:29" x14ac:dyDescent="0.25">
      <c r="A151">
        <v>379213</v>
      </c>
      <c r="B151" t="s">
        <v>109</v>
      </c>
      <c r="C151" s="10">
        <v>16.98</v>
      </c>
      <c r="D151" s="10">
        <v>16</v>
      </c>
      <c r="E151" s="10">
        <v>0</v>
      </c>
      <c r="F151">
        <v>143</v>
      </c>
      <c r="G151" t="s">
        <v>19</v>
      </c>
      <c r="H151" s="11">
        <v>45987</v>
      </c>
      <c r="I151" t="s">
        <v>22</v>
      </c>
      <c r="J151" s="12">
        <v>1</v>
      </c>
      <c r="K151" s="3">
        <v>41.2</v>
      </c>
      <c r="L151" s="3">
        <f t="shared" si="22"/>
        <v>41.2</v>
      </c>
      <c r="M151" s="13"/>
      <c r="N151">
        <f>_xlfn.XLOOKUP(G151,'Tarievensheet per persoon'!AE:AE,'Tarievensheet per persoon'!AF:AF)</f>
        <v>1.7068000000000001</v>
      </c>
      <c r="O151">
        <f>_xlfn.XLOOKUP(G151,AE:AE,'Tarievensheet per persoon'!AG:AG)</f>
        <v>1.5528</v>
      </c>
      <c r="P151">
        <f>_xlfn.XLOOKUP(G151,AE:AE,'Tarievensheet per persoon'!AH:AH)</f>
        <v>1.3391999999999999</v>
      </c>
      <c r="Q151">
        <f>_xlfn.XLOOKUP(G151,AE:AE,'Tarievensheet per persoon'!AI:AI)</f>
        <v>1.3391999999999999</v>
      </c>
      <c r="R151">
        <v>0</v>
      </c>
      <c r="S151" s="14">
        <v>2.99</v>
      </c>
      <c r="T151" s="10">
        <f t="shared" si="23"/>
        <v>31.971464000000005</v>
      </c>
      <c r="U151" s="10">
        <f t="shared" si="24"/>
        <v>40.672423520000009</v>
      </c>
      <c r="V151" s="10">
        <f t="shared" si="25"/>
        <v>41.199754400000003</v>
      </c>
      <c r="W151" s="10">
        <f t="shared" si="26"/>
        <v>53.064699200000007</v>
      </c>
      <c r="X151" s="10">
        <f t="shared" si="27"/>
        <v>58.338008000000002</v>
      </c>
      <c r="Y151" s="10">
        <f t="shared" si="28"/>
        <v>84.704552000000007</v>
      </c>
      <c r="Z151" s="10">
        <f t="shared" si="29"/>
        <v>29.998079999999998</v>
      </c>
      <c r="AA151" s="10">
        <f t="shared" si="30"/>
        <v>38.568959999999997</v>
      </c>
      <c r="AB151" s="10">
        <f t="shared" si="31"/>
        <v>42.854399999999998</v>
      </c>
      <c r="AC151" s="10">
        <f t="shared" si="32"/>
        <v>64.281599999999997</v>
      </c>
    </row>
    <row r="152" spans="1:29" x14ac:dyDescent="0.25">
      <c r="A152">
        <v>379213</v>
      </c>
      <c r="B152" t="s">
        <v>109</v>
      </c>
      <c r="C152" s="10">
        <v>16.98</v>
      </c>
      <c r="D152" s="10">
        <v>16</v>
      </c>
      <c r="E152" s="10">
        <v>0</v>
      </c>
      <c r="F152">
        <v>143</v>
      </c>
      <c r="G152" t="s">
        <v>19</v>
      </c>
      <c r="H152" s="11">
        <v>45988</v>
      </c>
      <c r="I152" t="s">
        <v>13</v>
      </c>
      <c r="J152" s="12">
        <v>8</v>
      </c>
      <c r="K152" s="3">
        <v>255.76</v>
      </c>
      <c r="L152" s="3">
        <f t="shared" si="22"/>
        <v>31.97</v>
      </c>
      <c r="M152" s="13"/>
      <c r="N152">
        <f>_xlfn.XLOOKUP(G152,'Tarievensheet per persoon'!AE:AE,'Tarievensheet per persoon'!AF:AF)</f>
        <v>1.7068000000000001</v>
      </c>
      <c r="O152">
        <f>_xlfn.XLOOKUP(G152,AE:AE,'Tarievensheet per persoon'!AG:AG)</f>
        <v>1.5528</v>
      </c>
      <c r="P152">
        <f>_xlfn.XLOOKUP(G152,AE:AE,'Tarievensheet per persoon'!AH:AH)</f>
        <v>1.3391999999999999</v>
      </c>
      <c r="Q152">
        <f>_xlfn.XLOOKUP(G152,AE:AE,'Tarievensheet per persoon'!AI:AI)</f>
        <v>1.3391999999999999</v>
      </c>
      <c r="R152">
        <v>0</v>
      </c>
      <c r="S152" s="14">
        <v>2.99</v>
      </c>
      <c r="T152" s="10">
        <f t="shared" si="23"/>
        <v>31.971464000000005</v>
      </c>
      <c r="U152" s="10">
        <f t="shared" si="24"/>
        <v>40.672423520000009</v>
      </c>
      <c r="V152" s="10">
        <f t="shared" si="25"/>
        <v>41.199754400000003</v>
      </c>
      <c r="W152" s="10">
        <f t="shared" si="26"/>
        <v>53.064699200000007</v>
      </c>
      <c r="X152" s="10">
        <f t="shared" si="27"/>
        <v>58.338008000000002</v>
      </c>
      <c r="Y152" s="10">
        <f t="shared" si="28"/>
        <v>84.704552000000007</v>
      </c>
      <c r="Z152" s="10">
        <f t="shared" si="29"/>
        <v>29.998079999999998</v>
      </c>
      <c r="AA152" s="10">
        <f t="shared" si="30"/>
        <v>38.568959999999997</v>
      </c>
      <c r="AB152" s="10">
        <f t="shared" si="31"/>
        <v>42.854399999999998</v>
      </c>
      <c r="AC152" s="10">
        <f t="shared" si="32"/>
        <v>64.281599999999997</v>
      </c>
    </row>
    <row r="153" spans="1:29" x14ac:dyDescent="0.25">
      <c r="A153">
        <v>379213</v>
      </c>
      <c r="B153" t="s">
        <v>109</v>
      </c>
      <c r="C153" s="10">
        <v>16.98</v>
      </c>
      <c r="D153" s="10">
        <v>16</v>
      </c>
      <c r="E153" s="10">
        <v>0</v>
      </c>
      <c r="F153">
        <v>143</v>
      </c>
      <c r="G153" t="s">
        <v>19</v>
      </c>
      <c r="H153" s="11">
        <v>45988</v>
      </c>
      <c r="I153" t="s">
        <v>22</v>
      </c>
      <c r="J153" s="12">
        <v>1</v>
      </c>
      <c r="K153" s="3">
        <v>41.2</v>
      </c>
      <c r="L153" s="3">
        <f t="shared" si="22"/>
        <v>41.2</v>
      </c>
      <c r="M153" s="13"/>
      <c r="N153">
        <f>_xlfn.XLOOKUP(G153,'Tarievensheet per persoon'!AE:AE,'Tarievensheet per persoon'!AF:AF)</f>
        <v>1.7068000000000001</v>
      </c>
      <c r="O153">
        <f>_xlfn.XLOOKUP(G153,AE:AE,'Tarievensheet per persoon'!AG:AG)</f>
        <v>1.5528</v>
      </c>
      <c r="P153">
        <f>_xlfn.XLOOKUP(G153,AE:AE,'Tarievensheet per persoon'!AH:AH)</f>
        <v>1.3391999999999999</v>
      </c>
      <c r="Q153">
        <f>_xlfn.XLOOKUP(G153,AE:AE,'Tarievensheet per persoon'!AI:AI)</f>
        <v>1.3391999999999999</v>
      </c>
      <c r="R153">
        <v>0</v>
      </c>
      <c r="S153" s="14">
        <v>2.99</v>
      </c>
      <c r="T153" s="10">
        <f t="shared" si="23"/>
        <v>31.971464000000005</v>
      </c>
      <c r="U153" s="10">
        <f t="shared" si="24"/>
        <v>40.672423520000009</v>
      </c>
      <c r="V153" s="10">
        <f t="shared" si="25"/>
        <v>41.199754400000003</v>
      </c>
      <c r="W153" s="10">
        <f t="shared" si="26"/>
        <v>53.064699200000007</v>
      </c>
      <c r="X153" s="10">
        <f t="shared" si="27"/>
        <v>58.338008000000002</v>
      </c>
      <c r="Y153" s="10">
        <f t="shared" si="28"/>
        <v>84.704552000000007</v>
      </c>
      <c r="Z153" s="10">
        <f t="shared" si="29"/>
        <v>29.998079999999998</v>
      </c>
      <c r="AA153" s="10">
        <f t="shared" si="30"/>
        <v>38.568959999999997</v>
      </c>
      <c r="AB153" s="10">
        <f t="shared" si="31"/>
        <v>42.854399999999998</v>
      </c>
      <c r="AC153" s="10">
        <f t="shared" si="32"/>
        <v>64.281599999999997</v>
      </c>
    </row>
    <row r="154" spans="1:29" x14ac:dyDescent="0.25">
      <c r="A154">
        <v>379213</v>
      </c>
      <c r="B154" t="s">
        <v>109</v>
      </c>
      <c r="C154" s="10">
        <v>16.98</v>
      </c>
      <c r="D154" s="10">
        <v>16</v>
      </c>
      <c r="E154" s="10">
        <v>0</v>
      </c>
      <c r="F154">
        <v>143</v>
      </c>
      <c r="G154" t="s">
        <v>19</v>
      </c>
      <c r="H154" s="11">
        <v>45989</v>
      </c>
      <c r="I154" t="s">
        <v>13</v>
      </c>
      <c r="J154" s="12">
        <v>9</v>
      </c>
      <c r="K154" s="3">
        <v>287.73</v>
      </c>
      <c r="L154" s="3">
        <f t="shared" si="22"/>
        <v>31.970000000000002</v>
      </c>
      <c r="M154" s="13"/>
      <c r="N154">
        <f>_xlfn.XLOOKUP(G154,'Tarievensheet per persoon'!AE:AE,'Tarievensheet per persoon'!AF:AF)</f>
        <v>1.7068000000000001</v>
      </c>
      <c r="O154">
        <f>_xlfn.XLOOKUP(G154,AE:AE,'Tarievensheet per persoon'!AG:AG)</f>
        <v>1.5528</v>
      </c>
      <c r="P154">
        <f>_xlfn.XLOOKUP(G154,AE:AE,'Tarievensheet per persoon'!AH:AH)</f>
        <v>1.3391999999999999</v>
      </c>
      <c r="Q154">
        <f>_xlfn.XLOOKUP(G154,AE:AE,'Tarievensheet per persoon'!AI:AI)</f>
        <v>1.3391999999999999</v>
      </c>
      <c r="R154">
        <v>0</v>
      </c>
      <c r="S154" s="14">
        <v>2.99</v>
      </c>
      <c r="T154" s="10">
        <f t="shared" si="23"/>
        <v>31.971464000000005</v>
      </c>
      <c r="U154" s="10">
        <f t="shared" si="24"/>
        <v>40.672423520000009</v>
      </c>
      <c r="V154" s="10">
        <f t="shared" si="25"/>
        <v>41.199754400000003</v>
      </c>
      <c r="W154" s="10">
        <f t="shared" si="26"/>
        <v>53.064699200000007</v>
      </c>
      <c r="X154" s="10">
        <f t="shared" si="27"/>
        <v>58.338008000000002</v>
      </c>
      <c r="Y154" s="10">
        <f t="shared" si="28"/>
        <v>84.704552000000007</v>
      </c>
      <c r="Z154" s="10">
        <f t="shared" si="29"/>
        <v>29.998079999999998</v>
      </c>
      <c r="AA154" s="10">
        <f t="shared" si="30"/>
        <v>38.568959999999997</v>
      </c>
      <c r="AB154" s="10">
        <f t="shared" si="31"/>
        <v>42.854399999999998</v>
      </c>
      <c r="AC154" s="10">
        <f t="shared" si="32"/>
        <v>64.281599999999997</v>
      </c>
    </row>
    <row r="155" spans="1:29" x14ac:dyDescent="0.25">
      <c r="A155">
        <v>379213</v>
      </c>
      <c r="B155" t="s">
        <v>109</v>
      </c>
      <c r="C155" s="10">
        <v>16.98</v>
      </c>
      <c r="D155" s="10">
        <v>16</v>
      </c>
      <c r="E155" s="10">
        <v>0</v>
      </c>
      <c r="F155">
        <v>143</v>
      </c>
      <c r="G155" t="s">
        <v>19</v>
      </c>
      <c r="H155" s="11">
        <v>45989</v>
      </c>
      <c r="I155" t="s">
        <v>22</v>
      </c>
      <c r="J155" s="12">
        <v>1</v>
      </c>
      <c r="K155" s="3">
        <v>41.2</v>
      </c>
      <c r="L155" s="3">
        <f t="shared" si="22"/>
        <v>41.2</v>
      </c>
      <c r="M155" s="13"/>
      <c r="N155">
        <f>_xlfn.XLOOKUP(G155,'Tarievensheet per persoon'!AE:AE,'Tarievensheet per persoon'!AF:AF)</f>
        <v>1.7068000000000001</v>
      </c>
      <c r="O155">
        <f>_xlfn.XLOOKUP(G155,AE:AE,'Tarievensheet per persoon'!AG:AG)</f>
        <v>1.5528</v>
      </c>
      <c r="P155">
        <f>_xlfn.XLOOKUP(G155,AE:AE,'Tarievensheet per persoon'!AH:AH)</f>
        <v>1.3391999999999999</v>
      </c>
      <c r="Q155">
        <f>_xlfn.XLOOKUP(G155,AE:AE,'Tarievensheet per persoon'!AI:AI)</f>
        <v>1.3391999999999999</v>
      </c>
      <c r="R155">
        <v>0</v>
      </c>
      <c r="S155" s="14">
        <v>2.99</v>
      </c>
      <c r="T155" s="10">
        <f t="shared" si="23"/>
        <v>31.971464000000005</v>
      </c>
      <c r="U155" s="10">
        <f t="shared" si="24"/>
        <v>40.672423520000009</v>
      </c>
      <c r="V155" s="10">
        <f t="shared" si="25"/>
        <v>41.199754400000003</v>
      </c>
      <c r="W155" s="10">
        <f t="shared" si="26"/>
        <v>53.064699200000007</v>
      </c>
      <c r="X155" s="10">
        <f t="shared" si="27"/>
        <v>58.338008000000002</v>
      </c>
      <c r="Y155" s="10">
        <f t="shared" si="28"/>
        <v>84.704552000000007</v>
      </c>
      <c r="Z155" s="10">
        <f t="shared" si="29"/>
        <v>29.998079999999998</v>
      </c>
      <c r="AA155" s="10">
        <f t="shared" si="30"/>
        <v>38.568959999999997</v>
      </c>
      <c r="AB155" s="10">
        <f t="shared" si="31"/>
        <v>42.854399999999998</v>
      </c>
      <c r="AC155" s="10">
        <f t="shared" si="32"/>
        <v>64.281599999999997</v>
      </c>
    </row>
    <row r="156" spans="1:29" x14ac:dyDescent="0.25">
      <c r="A156">
        <v>379214</v>
      </c>
      <c r="B156" t="s">
        <v>142</v>
      </c>
      <c r="C156" s="10">
        <v>16.98</v>
      </c>
      <c r="D156" s="10">
        <v>16</v>
      </c>
      <c r="E156" s="10">
        <v>0</v>
      </c>
      <c r="F156">
        <v>124</v>
      </c>
      <c r="G156" t="s">
        <v>19</v>
      </c>
      <c r="H156" s="11">
        <v>45985</v>
      </c>
      <c r="I156" t="s">
        <v>13</v>
      </c>
      <c r="J156" s="12">
        <v>4.25</v>
      </c>
      <c r="K156" s="3">
        <v>135.87</v>
      </c>
      <c r="L156" s="3">
        <f t="shared" si="22"/>
        <v>31.969411764705882</v>
      </c>
      <c r="M156" s="13"/>
      <c r="N156">
        <f>_xlfn.XLOOKUP(G156,'Tarievensheet per persoon'!AE:AE,'Tarievensheet per persoon'!AF:AF)</f>
        <v>1.7068000000000001</v>
      </c>
      <c r="O156">
        <f>_xlfn.XLOOKUP(G156,AE:AE,'Tarievensheet per persoon'!AG:AG)</f>
        <v>1.5528</v>
      </c>
      <c r="P156">
        <f>_xlfn.XLOOKUP(G156,AE:AE,'Tarievensheet per persoon'!AH:AH)</f>
        <v>1.3391999999999999</v>
      </c>
      <c r="Q156">
        <f>_xlfn.XLOOKUP(G156,AE:AE,'Tarievensheet per persoon'!AI:AI)</f>
        <v>1.3391999999999999</v>
      </c>
      <c r="R156">
        <v>0</v>
      </c>
      <c r="S156" s="14">
        <v>2.99</v>
      </c>
      <c r="T156" s="10">
        <f t="shared" si="23"/>
        <v>31.971464000000005</v>
      </c>
      <c r="U156" s="10">
        <f t="shared" si="24"/>
        <v>40.672423520000009</v>
      </c>
      <c r="V156" s="10">
        <f t="shared" si="25"/>
        <v>41.199754400000003</v>
      </c>
      <c r="W156" s="10">
        <f t="shared" si="26"/>
        <v>53.064699200000007</v>
      </c>
      <c r="X156" s="10">
        <f t="shared" si="27"/>
        <v>58.338008000000002</v>
      </c>
      <c r="Y156" s="10">
        <f t="shared" si="28"/>
        <v>84.704552000000007</v>
      </c>
      <c r="Z156" s="10">
        <f t="shared" si="29"/>
        <v>29.998079999999998</v>
      </c>
      <c r="AA156" s="10">
        <f t="shared" si="30"/>
        <v>38.568959999999997</v>
      </c>
      <c r="AB156" s="10">
        <f t="shared" si="31"/>
        <v>42.854399999999998</v>
      </c>
      <c r="AC156" s="10">
        <f t="shared" si="32"/>
        <v>64.281599999999997</v>
      </c>
    </row>
    <row r="157" spans="1:29" x14ac:dyDescent="0.25">
      <c r="A157">
        <v>379214</v>
      </c>
      <c r="B157" t="s">
        <v>142</v>
      </c>
      <c r="C157" s="10">
        <v>16.98</v>
      </c>
      <c r="D157" s="10">
        <v>16</v>
      </c>
      <c r="E157" s="10">
        <v>0</v>
      </c>
      <c r="F157">
        <v>124</v>
      </c>
      <c r="G157" t="s">
        <v>19</v>
      </c>
      <c r="H157" s="11">
        <v>45985</v>
      </c>
      <c r="I157" t="s">
        <v>21</v>
      </c>
      <c r="J157" s="12">
        <v>4.25</v>
      </c>
      <c r="K157" s="3">
        <v>172.85</v>
      </c>
      <c r="L157" s="3">
        <f t="shared" si="22"/>
        <v>40.670588235294119</v>
      </c>
      <c r="M157" s="13"/>
      <c r="N157">
        <f>_xlfn.XLOOKUP(G157,'Tarievensheet per persoon'!AE:AE,'Tarievensheet per persoon'!AF:AF)</f>
        <v>1.7068000000000001</v>
      </c>
      <c r="O157">
        <f>_xlfn.XLOOKUP(G157,AE:AE,'Tarievensheet per persoon'!AG:AG)</f>
        <v>1.5528</v>
      </c>
      <c r="P157">
        <f>_xlfn.XLOOKUP(G157,AE:AE,'Tarievensheet per persoon'!AH:AH)</f>
        <v>1.3391999999999999</v>
      </c>
      <c r="Q157">
        <f>_xlfn.XLOOKUP(G157,AE:AE,'Tarievensheet per persoon'!AI:AI)</f>
        <v>1.3391999999999999</v>
      </c>
      <c r="R157">
        <v>0</v>
      </c>
      <c r="S157" s="14">
        <v>2.99</v>
      </c>
      <c r="T157" s="10">
        <f t="shared" si="23"/>
        <v>31.971464000000005</v>
      </c>
      <c r="U157" s="10">
        <f t="shared" si="24"/>
        <v>40.672423520000009</v>
      </c>
      <c r="V157" s="10">
        <f t="shared" si="25"/>
        <v>41.199754400000003</v>
      </c>
      <c r="W157" s="10">
        <f t="shared" si="26"/>
        <v>53.064699200000007</v>
      </c>
      <c r="X157" s="10">
        <f t="shared" si="27"/>
        <v>58.338008000000002</v>
      </c>
      <c r="Y157" s="10">
        <f t="shared" si="28"/>
        <v>84.704552000000007</v>
      </c>
      <c r="Z157" s="10">
        <f t="shared" si="29"/>
        <v>29.998079999999998</v>
      </c>
      <c r="AA157" s="10">
        <f t="shared" si="30"/>
        <v>38.568959999999997</v>
      </c>
      <c r="AB157" s="10">
        <f t="shared" si="31"/>
        <v>42.854399999999998</v>
      </c>
      <c r="AC157" s="10">
        <f t="shared" si="32"/>
        <v>64.281599999999997</v>
      </c>
    </row>
    <row r="158" spans="1:29" x14ac:dyDescent="0.25">
      <c r="A158">
        <v>379214</v>
      </c>
      <c r="B158" t="s">
        <v>142</v>
      </c>
      <c r="C158" s="10">
        <v>16.98</v>
      </c>
      <c r="D158" s="10">
        <v>16</v>
      </c>
      <c r="E158" s="10">
        <v>0</v>
      </c>
      <c r="F158">
        <v>124</v>
      </c>
      <c r="G158" t="s">
        <v>19</v>
      </c>
      <c r="H158" s="11">
        <v>45986</v>
      </c>
      <c r="I158" t="s">
        <v>13</v>
      </c>
      <c r="J158" s="12">
        <v>4.5</v>
      </c>
      <c r="K158" s="3">
        <v>143.87</v>
      </c>
      <c r="L158" s="3">
        <f t="shared" si="22"/>
        <v>31.971111111111114</v>
      </c>
      <c r="M158" s="13"/>
      <c r="N158">
        <f>_xlfn.XLOOKUP(G158,'Tarievensheet per persoon'!AE:AE,'Tarievensheet per persoon'!AF:AF)</f>
        <v>1.7068000000000001</v>
      </c>
      <c r="O158">
        <f>_xlfn.XLOOKUP(G158,AE:AE,'Tarievensheet per persoon'!AG:AG)</f>
        <v>1.5528</v>
      </c>
      <c r="P158">
        <f>_xlfn.XLOOKUP(G158,AE:AE,'Tarievensheet per persoon'!AH:AH)</f>
        <v>1.3391999999999999</v>
      </c>
      <c r="Q158">
        <f>_xlfn.XLOOKUP(G158,AE:AE,'Tarievensheet per persoon'!AI:AI)</f>
        <v>1.3391999999999999</v>
      </c>
      <c r="R158">
        <v>0</v>
      </c>
      <c r="S158" s="14">
        <v>2.99</v>
      </c>
      <c r="T158" s="10">
        <f t="shared" si="23"/>
        <v>31.971464000000005</v>
      </c>
      <c r="U158" s="10">
        <f t="shared" si="24"/>
        <v>40.672423520000009</v>
      </c>
      <c r="V158" s="10">
        <f t="shared" si="25"/>
        <v>41.199754400000003</v>
      </c>
      <c r="W158" s="10">
        <f t="shared" si="26"/>
        <v>53.064699200000007</v>
      </c>
      <c r="X158" s="10">
        <f t="shared" si="27"/>
        <v>58.338008000000002</v>
      </c>
      <c r="Y158" s="10">
        <f t="shared" si="28"/>
        <v>84.704552000000007</v>
      </c>
      <c r="Z158" s="10">
        <f t="shared" si="29"/>
        <v>29.998079999999998</v>
      </c>
      <c r="AA158" s="10">
        <f t="shared" si="30"/>
        <v>38.568959999999997</v>
      </c>
      <c r="AB158" s="10">
        <f t="shared" si="31"/>
        <v>42.854399999999998</v>
      </c>
      <c r="AC158" s="10">
        <f t="shared" si="32"/>
        <v>64.281599999999997</v>
      </c>
    </row>
    <row r="159" spans="1:29" x14ac:dyDescent="0.25">
      <c r="A159">
        <v>379214</v>
      </c>
      <c r="B159" t="s">
        <v>142</v>
      </c>
      <c r="C159" s="10">
        <v>16.98</v>
      </c>
      <c r="D159" s="10">
        <v>16</v>
      </c>
      <c r="E159" s="10">
        <v>0</v>
      </c>
      <c r="F159">
        <v>124</v>
      </c>
      <c r="G159" t="s">
        <v>19</v>
      </c>
      <c r="H159" s="11">
        <v>45986</v>
      </c>
      <c r="I159" t="s">
        <v>21</v>
      </c>
      <c r="J159" s="12">
        <v>3.5</v>
      </c>
      <c r="K159" s="3">
        <v>142.35</v>
      </c>
      <c r="L159" s="3">
        <f t="shared" si="22"/>
        <v>40.671428571428571</v>
      </c>
      <c r="M159" s="13"/>
      <c r="N159">
        <f>_xlfn.XLOOKUP(G159,'Tarievensheet per persoon'!AE:AE,'Tarievensheet per persoon'!AF:AF)</f>
        <v>1.7068000000000001</v>
      </c>
      <c r="O159">
        <f>_xlfn.XLOOKUP(G159,AE:AE,'Tarievensheet per persoon'!AG:AG)</f>
        <v>1.5528</v>
      </c>
      <c r="P159">
        <f>_xlfn.XLOOKUP(G159,AE:AE,'Tarievensheet per persoon'!AH:AH)</f>
        <v>1.3391999999999999</v>
      </c>
      <c r="Q159">
        <f>_xlfn.XLOOKUP(G159,AE:AE,'Tarievensheet per persoon'!AI:AI)</f>
        <v>1.3391999999999999</v>
      </c>
      <c r="R159">
        <v>0</v>
      </c>
      <c r="S159" s="14">
        <v>2.99</v>
      </c>
      <c r="T159" s="10">
        <f t="shared" si="23"/>
        <v>31.971464000000005</v>
      </c>
      <c r="U159" s="10">
        <f t="shared" si="24"/>
        <v>40.672423520000009</v>
      </c>
      <c r="V159" s="10">
        <f t="shared" si="25"/>
        <v>41.199754400000003</v>
      </c>
      <c r="W159" s="10">
        <f t="shared" si="26"/>
        <v>53.064699200000007</v>
      </c>
      <c r="X159" s="10">
        <f t="shared" si="27"/>
        <v>58.338008000000002</v>
      </c>
      <c r="Y159" s="10">
        <f t="shared" si="28"/>
        <v>84.704552000000007</v>
      </c>
      <c r="Z159" s="10">
        <f t="shared" si="29"/>
        <v>29.998079999999998</v>
      </c>
      <c r="AA159" s="10">
        <f t="shared" si="30"/>
        <v>38.568959999999997</v>
      </c>
      <c r="AB159" s="10">
        <f t="shared" si="31"/>
        <v>42.854399999999998</v>
      </c>
      <c r="AC159" s="10">
        <f t="shared" si="32"/>
        <v>64.281599999999997</v>
      </c>
    </row>
    <row r="160" spans="1:29" x14ac:dyDescent="0.25">
      <c r="A160">
        <v>379214</v>
      </c>
      <c r="B160" t="s">
        <v>142</v>
      </c>
      <c r="C160" s="10">
        <v>16.98</v>
      </c>
      <c r="D160" s="10">
        <v>16</v>
      </c>
      <c r="E160" s="10">
        <v>0</v>
      </c>
      <c r="F160">
        <v>124</v>
      </c>
      <c r="G160" t="s">
        <v>19</v>
      </c>
      <c r="H160" s="11">
        <v>45987</v>
      </c>
      <c r="I160" t="s">
        <v>13</v>
      </c>
      <c r="J160" s="12">
        <v>4.5</v>
      </c>
      <c r="K160" s="3">
        <v>143.87</v>
      </c>
      <c r="L160" s="3">
        <f t="shared" si="22"/>
        <v>31.971111111111114</v>
      </c>
      <c r="M160" s="13"/>
      <c r="N160">
        <f>_xlfn.XLOOKUP(G160,'Tarievensheet per persoon'!AE:AE,'Tarievensheet per persoon'!AF:AF)</f>
        <v>1.7068000000000001</v>
      </c>
      <c r="O160">
        <f>_xlfn.XLOOKUP(G160,AE:AE,'Tarievensheet per persoon'!AG:AG)</f>
        <v>1.5528</v>
      </c>
      <c r="P160">
        <f>_xlfn.XLOOKUP(G160,AE:AE,'Tarievensheet per persoon'!AH:AH)</f>
        <v>1.3391999999999999</v>
      </c>
      <c r="Q160">
        <f>_xlfn.XLOOKUP(G160,AE:AE,'Tarievensheet per persoon'!AI:AI)</f>
        <v>1.3391999999999999</v>
      </c>
      <c r="R160">
        <v>0</v>
      </c>
      <c r="S160" s="14">
        <v>2.99</v>
      </c>
      <c r="T160" s="10">
        <f t="shared" si="23"/>
        <v>31.971464000000005</v>
      </c>
      <c r="U160" s="10">
        <f t="shared" si="24"/>
        <v>40.672423520000009</v>
      </c>
      <c r="V160" s="10">
        <f t="shared" si="25"/>
        <v>41.199754400000003</v>
      </c>
      <c r="W160" s="10">
        <f t="shared" si="26"/>
        <v>53.064699200000007</v>
      </c>
      <c r="X160" s="10">
        <f t="shared" si="27"/>
        <v>58.338008000000002</v>
      </c>
      <c r="Y160" s="10">
        <f t="shared" si="28"/>
        <v>84.704552000000007</v>
      </c>
      <c r="Z160" s="10">
        <f t="shared" si="29"/>
        <v>29.998079999999998</v>
      </c>
      <c r="AA160" s="10">
        <f t="shared" si="30"/>
        <v>38.568959999999997</v>
      </c>
      <c r="AB160" s="10">
        <f t="shared" si="31"/>
        <v>42.854399999999998</v>
      </c>
      <c r="AC160" s="10">
        <f t="shared" si="32"/>
        <v>64.281599999999997</v>
      </c>
    </row>
    <row r="161" spans="1:29" x14ac:dyDescent="0.25">
      <c r="A161">
        <v>379214</v>
      </c>
      <c r="B161" t="s">
        <v>142</v>
      </c>
      <c r="C161" s="10">
        <v>16.98</v>
      </c>
      <c r="D161" s="10">
        <v>16</v>
      </c>
      <c r="E161" s="10">
        <v>0</v>
      </c>
      <c r="F161">
        <v>124</v>
      </c>
      <c r="G161" t="s">
        <v>19</v>
      </c>
      <c r="H161" s="11">
        <v>45987</v>
      </c>
      <c r="I161" t="s">
        <v>21</v>
      </c>
      <c r="J161" s="12">
        <v>2.75</v>
      </c>
      <c r="K161" s="3">
        <v>111.84</v>
      </c>
      <c r="L161" s="3">
        <f t="shared" si="22"/>
        <v>40.669090909090912</v>
      </c>
      <c r="M161" s="13"/>
      <c r="N161">
        <f>_xlfn.XLOOKUP(G161,'Tarievensheet per persoon'!AE:AE,'Tarievensheet per persoon'!AF:AF)</f>
        <v>1.7068000000000001</v>
      </c>
      <c r="O161">
        <f>_xlfn.XLOOKUP(G161,AE:AE,'Tarievensheet per persoon'!AG:AG)</f>
        <v>1.5528</v>
      </c>
      <c r="P161">
        <f>_xlfn.XLOOKUP(G161,AE:AE,'Tarievensheet per persoon'!AH:AH)</f>
        <v>1.3391999999999999</v>
      </c>
      <c r="Q161">
        <f>_xlfn.XLOOKUP(G161,AE:AE,'Tarievensheet per persoon'!AI:AI)</f>
        <v>1.3391999999999999</v>
      </c>
      <c r="R161">
        <v>0</v>
      </c>
      <c r="S161" s="14">
        <v>2.99</v>
      </c>
      <c r="T161" s="10">
        <f t="shared" si="23"/>
        <v>31.971464000000005</v>
      </c>
      <c r="U161" s="10">
        <f t="shared" si="24"/>
        <v>40.672423520000009</v>
      </c>
      <c r="V161" s="10">
        <f t="shared" si="25"/>
        <v>41.199754400000003</v>
      </c>
      <c r="W161" s="10">
        <f t="shared" si="26"/>
        <v>53.064699200000007</v>
      </c>
      <c r="X161" s="10">
        <f t="shared" si="27"/>
        <v>58.338008000000002</v>
      </c>
      <c r="Y161" s="10">
        <f t="shared" si="28"/>
        <v>84.704552000000007</v>
      </c>
      <c r="Z161" s="10">
        <f t="shared" si="29"/>
        <v>29.998079999999998</v>
      </c>
      <c r="AA161" s="10">
        <f t="shared" si="30"/>
        <v>38.568959999999997</v>
      </c>
      <c r="AB161" s="10">
        <f t="shared" si="31"/>
        <v>42.854399999999998</v>
      </c>
      <c r="AC161" s="10">
        <f t="shared" si="32"/>
        <v>64.281599999999997</v>
      </c>
    </row>
    <row r="162" spans="1:29" x14ac:dyDescent="0.25">
      <c r="A162">
        <v>379214</v>
      </c>
      <c r="B162" t="s">
        <v>142</v>
      </c>
      <c r="C162" s="10">
        <v>16.98</v>
      </c>
      <c r="D162" s="10">
        <v>16</v>
      </c>
      <c r="E162" s="10">
        <v>0</v>
      </c>
      <c r="F162">
        <v>124</v>
      </c>
      <c r="G162" t="s">
        <v>19</v>
      </c>
      <c r="H162" s="11">
        <v>45988</v>
      </c>
      <c r="I162" t="s">
        <v>13</v>
      </c>
      <c r="J162" s="12">
        <v>4.5</v>
      </c>
      <c r="K162" s="3">
        <v>143.87</v>
      </c>
      <c r="L162" s="3">
        <f t="shared" si="22"/>
        <v>31.971111111111114</v>
      </c>
      <c r="M162" s="13"/>
      <c r="N162">
        <f>_xlfn.XLOOKUP(G162,'Tarievensheet per persoon'!AE:AE,'Tarievensheet per persoon'!AF:AF)</f>
        <v>1.7068000000000001</v>
      </c>
      <c r="O162">
        <f>_xlfn.XLOOKUP(G162,AE:AE,'Tarievensheet per persoon'!AG:AG)</f>
        <v>1.5528</v>
      </c>
      <c r="P162">
        <f>_xlfn.XLOOKUP(G162,AE:AE,'Tarievensheet per persoon'!AH:AH)</f>
        <v>1.3391999999999999</v>
      </c>
      <c r="Q162">
        <f>_xlfn.XLOOKUP(G162,AE:AE,'Tarievensheet per persoon'!AI:AI)</f>
        <v>1.3391999999999999</v>
      </c>
      <c r="R162">
        <v>0</v>
      </c>
      <c r="S162" s="14">
        <v>2.99</v>
      </c>
      <c r="T162" s="10">
        <f t="shared" si="23"/>
        <v>31.971464000000005</v>
      </c>
      <c r="U162" s="10">
        <f t="shared" si="24"/>
        <v>40.672423520000009</v>
      </c>
      <c r="V162" s="10">
        <f t="shared" si="25"/>
        <v>41.199754400000003</v>
      </c>
      <c r="W162" s="10">
        <f t="shared" si="26"/>
        <v>53.064699200000007</v>
      </c>
      <c r="X162" s="10">
        <f t="shared" si="27"/>
        <v>58.338008000000002</v>
      </c>
      <c r="Y162" s="10">
        <f t="shared" si="28"/>
        <v>84.704552000000007</v>
      </c>
      <c r="Z162" s="10">
        <f t="shared" si="29"/>
        <v>29.998079999999998</v>
      </c>
      <c r="AA162" s="10">
        <f t="shared" si="30"/>
        <v>38.568959999999997</v>
      </c>
      <c r="AB162" s="10">
        <f t="shared" si="31"/>
        <v>42.854399999999998</v>
      </c>
      <c r="AC162" s="10">
        <f t="shared" si="32"/>
        <v>64.281599999999997</v>
      </c>
    </row>
    <row r="163" spans="1:29" x14ac:dyDescent="0.25">
      <c r="A163">
        <v>379214</v>
      </c>
      <c r="B163" t="s">
        <v>142</v>
      </c>
      <c r="C163" s="10">
        <v>16.98</v>
      </c>
      <c r="D163" s="10">
        <v>16</v>
      </c>
      <c r="E163" s="10">
        <v>0</v>
      </c>
      <c r="F163">
        <v>124</v>
      </c>
      <c r="G163" t="s">
        <v>19</v>
      </c>
      <c r="H163" s="11">
        <v>45988</v>
      </c>
      <c r="I163" t="s">
        <v>21</v>
      </c>
      <c r="J163" s="12">
        <v>2.75</v>
      </c>
      <c r="K163" s="3">
        <v>111.84</v>
      </c>
      <c r="L163" s="3">
        <f t="shared" si="22"/>
        <v>40.669090909090912</v>
      </c>
      <c r="M163" s="13"/>
      <c r="N163">
        <f>_xlfn.XLOOKUP(G163,'Tarievensheet per persoon'!AE:AE,'Tarievensheet per persoon'!AF:AF)</f>
        <v>1.7068000000000001</v>
      </c>
      <c r="O163">
        <f>_xlfn.XLOOKUP(G163,AE:AE,'Tarievensheet per persoon'!AG:AG)</f>
        <v>1.5528</v>
      </c>
      <c r="P163">
        <f>_xlfn.XLOOKUP(G163,AE:AE,'Tarievensheet per persoon'!AH:AH)</f>
        <v>1.3391999999999999</v>
      </c>
      <c r="Q163">
        <f>_xlfn.XLOOKUP(G163,AE:AE,'Tarievensheet per persoon'!AI:AI)</f>
        <v>1.3391999999999999</v>
      </c>
      <c r="R163">
        <v>0</v>
      </c>
      <c r="S163" s="14">
        <v>2.99</v>
      </c>
      <c r="T163" s="10">
        <f t="shared" si="23"/>
        <v>31.971464000000005</v>
      </c>
      <c r="U163" s="10">
        <f t="shared" si="24"/>
        <v>40.672423520000009</v>
      </c>
      <c r="V163" s="10">
        <f t="shared" si="25"/>
        <v>41.199754400000003</v>
      </c>
      <c r="W163" s="10">
        <f t="shared" si="26"/>
        <v>53.064699200000007</v>
      </c>
      <c r="X163" s="10">
        <f t="shared" si="27"/>
        <v>58.338008000000002</v>
      </c>
      <c r="Y163" s="10">
        <f t="shared" si="28"/>
        <v>84.704552000000007</v>
      </c>
      <c r="Z163" s="10">
        <f t="shared" si="29"/>
        <v>29.998079999999998</v>
      </c>
      <c r="AA163" s="10">
        <f t="shared" si="30"/>
        <v>38.568959999999997</v>
      </c>
      <c r="AB163" s="10">
        <f t="shared" si="31"/>
        <v>42.854399999999998</v>
      </c>
      <c r="AC163" s="10">
        <f t="shared" si="32"/>
        <v>64.281599999999997</v>
      </c>
    </row>
    <row r="164" spans="1:29" x14ac:dyDescent="0.25">
      <c r="A164">
        <v>379214</v>
      </c>
      <c r="B164" t="s">
        <v>142</v>
      </c>
      <c r="C164" s="10">
        <v>16.98</v>
      </c>
      <c r="D164" s="10">
        <v>16</v>
      </c>
      <c r="E164" s="10">
        <v>0</v>
      </c>
      <c r="F164">
        <v>124</v>
      </c>
      <c r="G164" t="s">
        <v>19</v>
      </c>
      <c r="H164" s="11">
        <v>45989</v>
      </c>
      <c r="I164" t="s">
        <v>13</v>
      </c>
      <c r="J164" s="12">
        <v>4.5</v>
      </c>
      <c r="K164" s="3">
        <v>143.87</v>
      </c>
      <c r="L164" s="3">
        <f t="shared" si="22"/>
        <v>31.971111111111114</v>
      </c>
      <c r="M164" s="13"/>
      <c r="N164">
        <f>_xlfn.XLOOKUP(G164,'Tarievensheet per persoon'!AE:AE,'Tarievensheet per persoon'!AF:AF)</f>
        <v>1.7068000000000001</v>
      </c>
      <c r="O164">
        <f>_xlfn.XLOOKUP(G164,AE:AE,'Tarievensheet per persoon'!AG:AG)</f>
        <v>1.5528</v>
      </c>
      <c r="P164">
        <f>_xlfn.XLOOKUP(G164,AE:AE,'Tarievensheet per persoon'!AH:AH)</f>
        <v>1.3391999999999999</v>
      </c>
      <c r="Q164">
        <f>_xlfn.XLOOKUP(G164,AE:AE,'Tarievensheet per persoon'!AI:AI)</f>
        <v>1.3391999999999999</v>
      </c>
      <c r="R164">
        <v>0</v>
      </c>
      <c r="S164" s="14">
        <v>2.99</v>
      </c>
      <c r="T164" s="10">
        <f t="shared" si="23"/>
        <v>31.971464000000005</v>
      </c>
      <c r="U164" s="10">
        <f t="shared" si="24"/>
        <v>40.672423520000009</v>
      </c>
      <c r="V164" s="10">
        <f t="shared" si="25"/>
        <v>41.199754400000003</v>
      </c>
      <c r="W164" s="10">
        <f t="shared" si="26"/>
        <v>53.064699200000007</v>
      </c>
      <c r="X164" s="10">
        <f t="shared" si="27"/>
        <v>58.338008000000002</v>
      </c>
      <c r="Y164" s="10">
        <f t="shared" si="28"/>
        <v>84.704552000000007</v>
      </c>
      <c r="Z164" s="10">
        <f t="shared" si="29"/>
        <v>29.998079999999998</v>
      </c>
      <c r="AA164" s="10">
        <f t="shared" si="30"/>
        <v>38.568959999999997</v>
      </c>
      <c r="AB164" s="10">
        <f t="shared" si="31"/>
        <v>42.854399999999998</v>
      </c>
      <c r="AC164" s="10">
        <f t="shared" si="32"/>
        <v>64.281599999999997</v>
      </c>
    </row>
    <row r="165" spans="1:29" x14ac:dyDescent="0.25">
      <c r="A165">
        <v>379214</v>
      </c>
      <c r="B165" t="s">
        <v>142</v>
      </c>
      <c r="C165" s="10">
        <v>16.98</v>
      </c>
      <c r="D165" s="10">
        <v>16</v>
      </c>
      <c r="E165" s="10">
        <v>0</v>
      </c>
      <c r="F165">
        <v>124</v>
      </c>
      <c r="G165" t="s">
        <v>19</v>
      </c>
      <c r="H165" s="11">
        <v>45989</v>
      </c>
      <c r="I165" t="s">
        <v>21</v>
      </c>
      <c r="J165" s="12">
        <v>2.75</v>
      </c>
      <c r="K165" s="3">
        <v>111.84</v>
      </c>
      <c r="L165" s="3">
        <f t="shared" si="22"/>
        <v>40.669090909090912</v>
      </c>
      <c r="M165" s="13"/>
      <c r="N165">
        <f>_xlfn.XLOOKUP(G165,'Tarievensheet per persoon'!AE:AE,'Tarievensheet per persoon'!AF:AF)</f>
        <v>1.7068000000000001</v>
      </c>
      <c r="O165">
        <f>_xlfn.XLOOKUP(G165,AE:AE,'Tarievensheet per persoon'!AG:AG)</f>
        <v>1.5528</v>
      </c>
      <c r="P165">
        <f>_xlfn.XLOOKUP(G165,AE:AE,'Tarievensheet per persoon'!AH:AH)</f>
        <v>1.3391999999999999</v>
      </c>
      <c r="Q165">
        <f>_xlfn.XLOOKUP(G165,AE:AE,'Tarievensheet per persoon'!AI:AI)</f>
        <v>1.3391999999999999</v>
      </c>
      <c r="R165">
        <v>0</v>
      </c>
      <c r="S165" s="14">
        <v>2.99</v>
      </c>
      <c r="T165" s="10">
        <f t="shared" si="23"/>
        <v>31.971464000000005</v>
      </c>
      <c r="U165" s="10">
        <f t="shared" si="24"/>
        <v>40.672423520000009</v>
      </c>
      <c r="V165" s="10">
        <f t="shared" si="25"/>
        <v>41.199754400000003</v>
      </c>
      <c r="W165" s="10">
        <f t="shared" si="26"/>
        <v>53.064699200000007</v>
      </c>
      <c r="X165" s="10">
        <f t="shared" si="27"/>
        <v>58.338008000000002</v>
      </c>
      <c r="Y165" s="10">
        <f t="shared" si="28"/>
        <v>84.704552000000007</v>
      </c>
      <c r="Z165" s="10">
        <f t="shared" si="29"/>
        <v>29.998079999999998</v>
      </c>
      <c r="AA165" s="10">
        <f t="shared" si="30"/>
        <v>38.568959999999997</v>
      </c>
      <c r="AB165" s="10">
        <f t="shared" si="31"/>
        <v>42.854399999999998</v>
      </c>
      <c r="AC165" s="10">
        <f t="shared" si="32"/>
        <v>64.281599999999997</v>
      </c>
    </row>
    <row r="166" spans="1:29" x14ac:dyDescent="0.25">
      <c r="A166">
        <v>380662</v>
      </c>
      <c r="B166" t="s">
        <v>34</v>
      </c>
      <c r="C166" s="10">
        <v>16.3</v>
      </c>
      <c r="D166" s="10">
        <v>15.36</v>
      </c>
      <c r="E166" s="10">
        <v>0</v>
      </c>
      <c r="F166">
        <v>127</v>
      </c>
      <c r="G166" t="s">
        <v>19</v>
      </c>
      <c r="H166" s="11">
        <v>45986</v>
      </c>
      <c r="I166" t="s">
        <v>13</v>
      </c>
      <c r="J166" s="12">
        <v>8</v>
      </c>
      <c r="K166" s="3">
        <v>246.48</v>
      </c>
      <c r="L166" s="3">
        <f t="shared" si="22"/>
        <v>30.81</v>
      </c>
      <c r="M166" s="13"/>
      <c r="N166">
        <f>_xlfn.XLOOKUP(G166,'Tarievensheet per persoon'!AE:AE,'Tarievensheet per persoon'!AF:AF)</f>
        <v>1.7068000000000001</v>
      </c>
      <c r="O166">
        <f>_xlfn.XLOOKUP(G166,AE:AE,'Tarievensheet per persoon'!AG:AG)</f>
        <v>1.5528</v>
      </c>
      <c r="P166">
        <f>_xlfn.XLOOKUP(G166,AE:AE,'Tarievensheet per persoon'!AH:AH)</f>
        <v>1.3391999999999999</v>
      </c>
      <c r="Q166">
        <f>_xlfn.XLOOKUP(G166,AE:AE,'Tarievensheet per persoon'!AI:AI)</f>
        <v>1.3391999999999999</v>
      </c>
      <c r="R166">
        <v>0</v>
      </c>
      <c r="S166" s="14">
        <v>2.99</v>
      </c>
      <c r="T166" s="10">
        <f t="shared" si="23"/>
        <v>30.810840000000006</v>
      </c>
      <c r="U166" s="10">
        <f t="shared" si="24"/>
        <v>39.163351200000008</v>
      </c>
      <c r="V166" s="10">
        <f t="shared" si="25"/>
        <v>39.669564000000008</v>
      </c>
      <c r="W166" s="10">
        <f t="shared" si="26"/>
        <v>51.059352000000004</v>
      </c>
      <c r="X166" s="10">
        <f t="shared" si="27"/>
        <v>56.121480000000005</v>
      </c>
      <c r="Y166" s="10">
        <f t="shared" si="28"/>
        <v>81.432119999999998</v>
      </c>
      <c r="Z166" s="10">
        <f t="shared" si="29"/>
        <v>28.798156799999997</v>
      </c>
      <c r="AA166" s="10">
        <f t="shared" si="30"/>
        <v>37.0262016</v>
      </c>
      <c r="AB166" s="10">
        <f t="shared" si="31"/>
        <v>41.140223999999996</v>
      </c>
      <c r="AC166" s="10">
        <f t="shared" si="32"/>
        <v>61.710335999999998</v>
      </c>
    </row>
    <row r="167" spans="1:29" x14ac:dyDescent="0.25">
      <c r="A167">
        <v>380662</v>
      </c>
      <c r="B167" t="s">
        <v>34</v>
      </c>
      <c r="C167" s="10">
        <v>16.3</v>
      </c>
      <c r="D167" s="10">
        <v>15.36</v>
      </c>
      <c r="E167" s="10">
        <v>0</v>
      </c>
      <c r="F167">
        <v>127</v>
      </c>
      <c r="G167" t="s">
        <v>19</v>
      </c>
      <c r="H167" s="11">
        <v>45987</v>
      </c>
      <c r="I167" t="s">
        <v>13</v>
      </c>
      <c r="J167" s="12">
        <v>8</v>
      </c>
      <c r="K167" s="3">
        <v>246.48</v>
      </c>
      <c r="L167" s="3">
        <f t="shared" si="22"/>
        <v>30.81</v>
      </c>
      <c r="M167" s="13"/>
      <c r="N167">
        <f>_xlfn.XLOOKUP(G167,'Tarievensheet per persoon'!AE:AE,'Tarievensheet per persoon'!AF:AF)</f>
        <v>1.7068000000000001</v>
      </c>
      <c r="O167">
        <f>_xlfn.XLOOKUP(G167,AE:AE,'Tarievensheet per persoon'!AG:AG)</f>
        <v>1.5528</v>
      </c>
      <c r="P167">
        <f>_xlfn.XLOOKUP(G167,AE:AE,'Tarievensheet per persoon'!AH:AH)</f>
        <v>1.3391999999999999</v>
      </c>
      <c r="Q167">
        <f>_xlfn.XLOOKUP(G167,AE:AE,'Tarievensheet per persoon'!AI:AI)</f>
        <v>1.3391999999999999</v>
      </c>
      <c r="R167">
        <v>0</v>
      </c>
      <c r="S167" s="14">
        <v>2.99</v>
      </c>
      <c r="T167" s="10">
        <f t="shared" si="23"/>
        <v>30.810840000000006</v>
      </c>
      <c r="U167" s="10">
        <f t="shared" si="24"/>
        <v>39.163351200000008</v>
      </c>
      <c r="V167" s="10">
        <f t="shared" si="25"/>
        <v>39.669564000000008</v>
      </c>
      <c r="W167" s="10">
        <f t="shared" si="26"/>
        <v>51.059352000000004</v>
      </c>
      <c r="X167" s="10">
        <f t="shared" si="27"/>
        <v>56.121480000000005</v>
      </c>
      <c r="Y167" s="10">
        <f t="shared" si="28"/>
        <v>81.432119999999998</v>
      </c>
      <c r="Z167" s="10">
        <f t="shared" si="29"/>
        <v>28.798156799999997</v>
      </c>
      <c r="AA167" s="10">
        <f t="shared" si="30"/>
        <v>37.0262016</v>
      </c>
      <c r="AB167" s="10">
        <f t="shared" si="31"/>
        <v>41.140223999999996</v>
      </c>
      <c r="AC167" s="10">
        <f t="shared" si="32"/>
        <v>61.710335999999998</v>
      </c>
    </row>
    <row r="168" spans="1:29" x14ac:dyDescent="0.25">
      <c r="A168">
        <v>380662</v>
      </c>
      <c r="B168" t="s">
        <v>34</v>
      </c>
      <c r="C168" s="10">
        <v>16.3</v>
      </c>
      <c r="D168" s="10">
        <v>15.36</v>
      </c>
      <c r="E168" s="10">
        <v>0</v>
      </c>
      <c r="F168">
        <v>127</v>
      </c>
      <c r="G168" t="s">
        <v>19</v>
      </c>
      <c r="H168" s="11">
        <v>45988</v>
      </c>
      <c r="I168" t="s">
        <v>13</v>
      </c>
      <c r="J168" s="12">
        <v>7.25</v>
      </c>
      <c r="K168" s="3">
        <v>223.37</v>
      </c>
      <c r="L168" s="3">
        <f t="shared" si="22"/>
        <v>30.809655172413795</v>
      </c>
      <c r="M168" s="13"/>
      <c r="N168">
        <f>_xlfn.XLOOKUP(G168,'Tarievensheet per persoon'!AE:AE,'Tarievensheet per persoon'!AF:AF)</f>
        <v>1.7068000000000001</v>
      </c>
      <c r="O168">
        <f>_xlfn.XLOOKUP(G168,AE:AE,'Tarievensheet per persoon'!AG:AG)</f>
        <v>1.5528</v>
      </c>
      <c r="P168">
        <f>_xlfn.XLOOKUP(G168,AE:AE,'Tarievensheet per persoon'!AH:AH)</f>
        <v>1.3391999999999999</v>
      </c>
      <c r="Q168">
        <f>_xlfn.XLOOKUP(G168,AE:AE,'Tarievensheet per persoon'!AI:AI)</f>
        <v>1.3391999999999999</v>
      </c>
      <c r="R168">
        <v>0</v>
      </c>
      <c r="S168" s="14">
        <v>2.99</v>
      </c>
      <c r="T168" s="10">
        <f t="shared" si="23"/>
        <v>30.810840000000006</v>
      </c>
      <c r="U168" s="10">
        <f t="shared" si="24"/>
        <v>39.163351200000008</v>
      </c>
      <c r="V168" s="10">
        <f t="shared" si="25"/>
        <v>39.669564000000008</v>
      </c>
      <c r="W168" s="10">
        <f t="shared" si="26"/>
        <v>51.059352000000004</v>
      </c>
      <c r="X168" s="10">
        <f t="shared" si="27"/>
        <v>56.121480000000005</v>
      </c>
      <c r="Y168" s="10">
        <f t="shared" si="28"/>
        <v>81.432119999999998</v>
      </c>
      <c r="Z168" s="10">
        <f t="shared" si="29"/>
        <v>28.798156799999997</v>
      </c>
      <c r="AA168" s="10">
        <f t="shared" si="30"/>
        <v>37.0262016</v>
      </c>
      <c r="AB168" s="10">
        <f t="shared" si="31"/>
        <v>41.140223999999996</v>
      </c>
      <c r="AC168" s="10">
        <f t="shared" si="32"/>
        <v>61.710335999999998</v>
      </c>
    </row>
    <row r="169" spans="1:29" x14ac:dyDescent="0.25">
      <c r="A169">
        <v>380662</v>
      </c>
      <c r="B169" t="s">
        <v>34</v>
      </c>
      <c r="C169" s="10">
        <v>16.3</v>
      </c>
      <c r="D169" s="10">
        <v>15.36</v>
      </c>
      <c r="E169" s="10">
        <v>0</v>
      </c>
      <c r="F169">
        <v>127</v>
      </c>
      <c r="G169" t="s">
        <v>19</v>
      </c>
      <c r="H169" s="11">
        <v>45989</v>
      </c>
      <c r="I169" t="s">
        <v>13</v>
      </c>
      <c r="J169" s="12">
        <v>5.5</v>
      </c>
      <c r="K169" s="3">
        <v>169.46</v>
      </c>
      <c r="L169" s="3">
        <f t="shared" si="22"/>
        <v>30.810909090909092</v>
      </c>
      <c r="M169" s="13"/>
      <c r="N169">
        <f>_xlfn.XLOOKUP(G169,'Tarievensheet per persoon'!AE:AE,'Tarievensheet per persoon'!AF:AF)</f>
        <v>1.7068000000000001</v>
      </c>
      <c r="O169">
        <f>_xlfn.XLOOKUP(G169,AE:AE,'Tarievensheet per persoon'!AG:AG)</f>
        <v>1.5528</v>
      </c>
      <c r="P169">
        <f>_xlfn.XLOOKUP(G169,AE:AE,'Tarievensheet per persoon'!AH:AH)</f>
        <v>1.3391999999999999</v>
      </c>
      <c r="Q169">
        <f>_xlfn.XLOOKUP(G169,AE:AE,'Tarievensheet per persoon'!AI:AI)</f>
        <v>1.3391999999999999</v>
      </c>
      <c r="R169">
        <v>0</v>
      </c>
      <c r="S169" s="14">
        <v>2.99</v>
      </c>
      <c r="T169" s="10">
        <f t="shared" si="23"/>
        <v>30.810840000000006</v>
      </c>
      <c r="U169" s="10">
        <f t="shared" si="24"/>
        <v>39.163351200000008</v>
      </c>
      <c r="V169" s="10">
        <f t="shared" si="25"/>
        <v>39.669564000000008</v>
      </c>
      <c r="W169" s="10">
        <f t="shared" si="26"/>
        <v>51.059352000000004</v>
      </c>
      <c r="X169" s="10">
        <f t="shared" si="27"/>
        <v>56.121480000000005</v>
      </c>
      <c r="Y169" s="10">
        <f t="shared" si="28"/>
        <v>81.432119999999998</v>
      </c>
      <c r="Z169" s="10">
        <f t="shared" si="29"/>
        <v>28.798156799999997</v>
      </c>
      <c r="AA169" s="10">
        <f t="shared" si="30"/>
        <v>37.0262016</v>
      </c>
      <c r="AB169" s="10">
        <f t="shared" si="31"/>
        <v>41.140223999999996</v>
      </c>
      <c r="AC169" s="10">
        <f t="shared" si="32"/>
        <v>61.710335999999998</v>
      </c>
    </row>
    <row r="170" spans="1:29" x14ac:dyDescent="0.25">
      <c r="A170">
        <v>380663</v>
      </c>
      <c r="B170" t="s">
        <v>35</v>
      </c>
      <c r="C170" s="10">
        <v>16.3</v>
      </c>
      <c r="D170" s="10">
        <v>15.36</v>
      </c>
      <c r="E170" s="10">
        <v>0</v>
      </c>
      <c r="F170">
        <v>130</v>
      </c>
      <c r="G170" t="s">
        <v>19</v>
      </c>
      <c r="H170" s="11">
        <v>45985</v>
      </c>
      <c r="I170" t="s">
        <v>13</v>
      </c>
      <c r="J170" s="12">
        <v>3.5</v>
      </c>
      <c r="K170" s="3">
        <v>107.84</v>
      </c>
      <c r="L170" s="3">
        <f t="shared" si="22"/>
        <v>30.811428571428571</v>
      </c>
      <c r="M170" s="13"/>
      <c r="N170">
        <f>_xlfn.XLOOKUP(G170,'Tarievensheet per persoon'!AE:AE,'Tarievensheet per persoon'!AF:AF)</f>
        <v>1.7068000000000001</v>
      </c>
      <c r="O170">
        <f>_xlfn.XLOOKUP(G170,AE:AE,'Tarievensheet per persoon'!AG:AG)</f>
        <v>1.5528</v>
      </c>
      <c r="P170">
        <f>_xlfn.XLOOKUP(G170,AE:AE,'Tarievensheet per persoon'!AH:AH)</f>
        <v>1.3391999999999999</v>
      </c>
      <c r="Q170">
        <f>_xlfn.XLOOKUP(G170,AE:AE,'Tarievensheet per persoon'!AI:AI)</f>
        <v>1.3391999999999999</v>
      </c>
      <c r="R170">
        <v>0</v>
      </c>
      <c r="S170" s="14">
        <v>2.99</v>
      </c>
      <c r="T170" s="10">
        <f t="shared" si="23"/>
        <v>30.810840000000006</v>
      </c>
      <c r="U170" s="10">
        <f t="shared" si="24"/>
        <v>39.163351200000008</v>
      </c>
      <c r="V170" s="10">
        <f t="shared" si="25"/>
        <v>39.669564000000008</v>
      </c>
      <c r="W170" s="10">
        <f t="shared" si="26"/>
        <v>51.059352000000004</v>
      </c>
      <c r="X170" s="10">
        <f t="shared" si="27"/>
        <v>56.121480000000005</v>
      </c>
      <c r="Y170" s="10">
        <f t="shared" si="28"/>
        <v>81.432119999999998</v>
      </c>
      <c r="Z170" s="10">
        <f t="shared" si="29"/>
        <v>28.798156799999997</v>
      </c>
      <c r="AA170" s="10">
        <f t="shared" si="30"/>
        <v>37.0262016</v>
      </c>
      <c r="AB170" s="10">
        <f t="shared" si="31"/>
        <v>41.140223999999996</v>
      </c>
      <c r="AC170" s="10">
        <f t="shared" si="32"/>
        <v>61.710335999999998</v>
      </c>
    </row>
    <row r="171" spans="1:29" x14ac:dyDescent="0.25">
      <c r="A171">
        <v>380663</v>
      </c>
      <c r="B171" t="s">
        <v>35</v>
      </c>
      <c r="C171" s="10">
        <v>16.3</v>
      </c>
      <c r="D171" s="10">
        <v>15.36</v>
      </c>
      <c r="E171" s="10">
        <v>0</v>
      </c>
      <c r="F171">
        <v>130</v>
      </c>
      <c r="G171" t="s">
        <v>19</v>
      </c>
      <c r="H171" s="11">
        <v>45985</v>
      </c>
      <c r="I171" t="s">
        <v>21</v>
      </c>
      <c r="J171" s="12">
        <v>4.5</v>
      </c>
      <c r="K171" s="3">
        <v>176.22</v>
      </c>
      <c r="L171" s="3">
        <f t="shared" si="22"/>
        <v>39.159999999999997</v>
      </c>
      <c r="M171" s="13"/>
      <c r="N171">
        <f>_xlfn.XLOOKUP(G171,'Tarievensheet per persoon'!AE:AE,'Tarievensheet per persoon'!AF:AF)</f>
        <v>1.7068000000000001</v>
      </c>
      <c r="O171">
        <f>_xlfn.XLOOKUP(G171,AE:AE,'Tarievensheet per persoon'!AG:AG)</f>
        <v>1.5528</v>
      </c>
      <c r="P171">
        <f>_xlfn.XLOOKUP(G171,AE:AE,'Tarievensheet per persoon'!AH:AH)</f>
        <v>1.3391999999999999</v>
      </c>
      <c r="Q171">
        <f>_xlfn.XLOOKUP(G171,AE:AE,'Tarievensheet per persoon'!AI:AI)</f>
        <v>1.3391999999999999</v>
      </c>
      <c r="R171">
        <v>0</v>
      </c>
      <c r="S171" s="14">
        <v>2.99</v>
      </c>
      <c r="T171" s="10">
        <f t="shared" si="23"/>
        <v>30.810840000000006</v>
      </c>
      <c r="U171" s="10">
        <f t="shared" si="24"/>
        <v>39.163351200000008</v>
      </c>
      <c r="V171" s="10">
        <f t="shared" si="25"/>
        <v>39.669564000000008</v>
      </c>
      <c r="W171" s="10">
        <f t="shared" si="26"/>
        <v>51.059352000000004</v>
      </c>
      <c r="X171" s="10">
        <f t="shared" si="27"/>
        <v>56.121480000000005</v>
      </c>
      <c r="Y171" s="10">
        <f t="shared" si="28"/>
        <v>81.432119999999998</v>
      </c>
      <c r="Z171" s="10">
        <f t="shared" si="29"/>
        <v>28.798156799999997</v>
      </c>
      <c r="AA171" s="10">
        <f t="shared" si="30"/>
        <v>37.0262016</v>
      </c>
      <c r="AB171" s="10">
        <f t="shared" si="31"/>
        <v>41.140223999999996</v>
      </c>
      <c r="AC171" s="10">
        <f t="shared" si="32"/>
        <v>61.710335999999998</v>
      </c>
    </row>
    <row r="172" spans="1:29" x14ac:dyDescent="0.25">
      <c r="A172">
        <v>380663</v>
      </c>
      <c r="B172" t="s">
        <v>35</v>
      </c>
      <c r="C172" s="10">
        <v>16.3</v>
      </c>
      <c r="D172" s="10">
        <v>15.36</v>
      </c>
      <c r="E172" s="10">
        <v>0</v>
      </c>
      <c r="F172">
        <v>130</v>
      </c>
      <c r="G172" t="s">
        <v>19</v>
      </c>
      <c r="H172" s="11">
        <v>45986</v>
      </c>
      <c r="I172" t="s">
        <v>13</v>
      </c>
      <c r="J172" s="12">
        <v>3.5</v>
      </c>
      <c r="K172" s="3">
        <v>107.84</v>
      </c>
      <c r="L172" s="3">
        <f t="shared" si="22"/>
        <v>30.811428571428571</v>
      </c>
      <c r="M172" s="13"/>
      <c r="N172">
        <f>_xlfn.XLOOKUP(G172,'Tarievensheet per persoon'!AE:AE,'Tarievensheet per persoon'!AF:AF)</f>
        <v>1.7068000000000001</v>
      </c>
      <c r="O172">
        <f>_xlfn.XLOOKUP(G172,AE:AE,'Tarievensheet per persoon'!AG:AG)</f>
        <v>1.5528</v>
      </c>
      <c r="P172">
        <f>_xlfn.XLOOKUP(G172,AE:AE,'Tarievensheet per persoon'!AH:AH)</f>
        <v>1.3391999999999999</v>
      </c>
      <c r="Q172">
        <f>_xlfn.XLOOKUP(G172,AE:AE,'Tarievensheet per persoon'!AI:AI)</f>
        <v>1.3391999999999999</v>
      </c>
      <c r="R172">
        <v>0</v>
      </c>
      <c r="S172" s="14">
        <v>2.99</v>
      </c>
      <c r="T172" s="10">
        <f t="shared" si="23"/>
        <v>30.810840000000006</v>
      </c>
      <c r="U172" s="10">
        <f t="shared" si="24"/>
        <v>39.163351200000008</v>
      </c>
      <c r="V172" s="10">
        <f t="shared" si="25"/>
        <v>39.669564000000008</v>
      </c>
      <c r="W172" s="10">
        <f t="shared" si="26"/>
        <v>51.059352000000004</v>
      </c>
      <c r="X172" s="10">
        <f t="shared" si="27"/>
        <v>56.121480000000005</v>
      </c>
      <c r="Y172" s="10">
        <f t="shared" si="28"/>
        <v>81.432119999999998</v>
      </c>
      <c r="Z172" s="10">
        <f t="shared" si="29"/>
        <v>28.798156799999997</v>
      </c>
      <c r="AA172" s="10">
        <f t="shared" si="30"/>
        <v>37.0262016</v>
      </c>
      <c r="AB172" s="10">
        <f t="shared" si="31"/>
        <v>41.140223999999996</v>
      </c>
      <c r="AC172" s="10">
        <f t="shared" si="32"/>
        <v>61.710335999999998</v>
      </c>
    </row>
    <row r="173" spans="1:29" x14ac:dyDescent="0.25">
      <c r="A173">
        <v>380663</v>
      </c>
      <c r="B173" t="s">
        <v>35</v>
      </c>
      <c r="C173" s="10">
        <v>16.3</v>
      </c>
      <c r="D173" s="10">
        <v>15.36</v>
      </c>
      <c r="E173" s="10">
        <v>0</v>
      </c>
      <c r="F173">
        <v>130</v>
      </c>
      <c r="G173" t="s">
        <v>19</v>
      </c>
      <c r="H173" s="11">
        <v>45986</v>
      </c>
      <c r="I173" t="s">
        <v>21</v>
      </c>
      <c r="J173" s="12">
        <v>4.5</v>
      </c>
      <c r="K173" s="3">
        <v>176.22</v>
      </c>
      <c r="L173" s="3">
        <f t="shared" si="22"/>
        <v>39.159999999999997</v>
      </c>
      <c r="M173" s="13"/>
      <c r="N173">
        <f>_xlfn.XLOOKUP(G173,'Tarievensheet per persoon'!AE:AE,'Tarievensheet per persoon'!AF:AF)</f>
        <v>1.7068000000000001</v>
      </c>
      <c r="O173">
        <f>_xlfn.XLOOKUP(G173,AE:AE,'Tarievensheet per persoon'!AG:AG)</f>
        <v>1.5528</v>
      </c>
      <c r="P173">
        <f>_xlfn.XLOOKUP(G173,AE:AE,'Tarievensheet per persoon'!AH:AH)</f>
        <v>1.3391999999999999</v>
      </c>
      <c r="Q173">
        <f>_xlfn.XLOOKUP(G173,AE:AE,'Tarievensheet per persoon'!AI:AI)</f>
        <v>1.3391999999999999</v>
      </c>
      <c r="R173">
        <v>0</v>
      </c>
      <c r="S173" s="14">
        <v>2.99</v>
      </c>
      <c r="T173" s="10">
        <f t="shared" si="23"/>
        <v>30.810840000000006</v>
      </c>
      <c r="U173" s="10">
        <f t="shared" si="24"/>
        <v>39.163351200000008</v>
      </c>
      <c r="V173" s="10">
        <f t="shared" si="25"/>
        <v>39.669564000000008</v>
      </c>
      <c r="W173" s="10">
        <f t="shared" si="26"/>
        <v>51.059352000000004</v>
      </c>
      <c r="X173" s="10">
        <f t="shared" si="27"/>
        <v>56.121480000000005</v>
      </c>
      <c r="Y173" s="10">
        <f t="shared" si="28"/>
        <v>81.432119999999998</v>
      </c>
      <c r="Z173" s="10">
        <f t="shared" si="29"/>
        <v>28.798156799999997</v>
      </c>
      <c r="AA173" s="10">
        <f t="shared" si="30"/>
        <v>37.0262016</v>
      </c>
      <c r="AB173" s="10">
        <f t="shared" si="31"/>
        <v>41.140223999999996</v>
      </c>
      <c r="AC173" s="10">
        <f t="shared" si="32"/>
        <v>61.710335999999998</v>
      </c>
    </row>
    <row r="174" spans="1:29" x14ac:dyDescent="0.25">
      <c r="A174">
        <v>380663</v>
      </c>
      <c r="B174" t="s">
        <v>35</v>
      </c>
      <c r="C174" s="10">
        <v>16.3</v>
      </c>
      <c r="D174" s="10">
        <v>15.36</v>
      </c>
      <c r="E174" s="10">
        <v>0</v>
      </c>
      <c r="F174">
        <v>130</v>
      </c>
      <c r="G174" t="s">
        <v>19</v>
      </c>
      <c r="H174" s="11">
        <v>45987</v>
      </c>
      <c r="I174" t="s">
        <v>13</v>
      </c>
      <c r="J174" s="12">
        <v>3.5</v>
      </c>
      <c r="K174" s="3">
        <v>107.84</v>
      </c>
      <c r="L174" s="3">
        <f t="shared" si="22"/>
        <v>30.811428571428571</v>
      </c>
      <c r="M174" s="13"/>
      <c r="N174">
        <f>_xlfn.XLOOKUP(G174,'Tarievensheet per persoon'!AE:AE,'Tarievensheet per persoon'!AF:AF)</f>
        <v>1.7068000000000001</v>
      </c>
      <c r="O174">
        <f>_xlfn.XLOOKUP(G174,AE:AE,'Tarievensheet per persoon'!AG:AG)</f>
        <v>1.5528</v>
      </c>
      <c r="P174">
        <f>_xlfn.XLOOKUP(G174,AE:AE,'Tarievensheet per persoon'!AH:AH)</f>
        <v>1.3391999999999999</v>
      </c>
      <c r="Q174">
        <f>_xlfn.XLOOKUP(G174,AE:AE,'Tarievensheet per persoon'!AI:AI)</f>
        <v>1.3391999999999999</v>
      </c>
      <c r="R174">
        <v>0</v>
      </c>
      <c r="S174" s="14">
        <v>2.99</v>
      </c>
      <c r="T174" s="10">
        <f t="shared" si="23"/>
        <v>30.810840000000006</v>
      </c>
      <c r="U174" s="10">
        <f t="shared" si="24"/>
        <v>39.163351200000008</v>
      </c>
      <c r="V174" s="10">
        <f t="shared" si="25"/>
        <v>39.669564000000008</v>
      </c>
      <c r="W174" s="10">
        <f t="shared" si="26"/>
        <v>51.059352000000004</v>
      </c>
      <c r="X174" s="10">
        <f t="shared" si="27"/>
        <v>56.121480000000005</v>
      </c>
      <c r="Y174" s="10">
        <f t="shared" si="28"/>
        <v>81.432119999999998</v>
      </c>
      <c r="Z174" s="10">
        <f t="shared" si="29"/>
        <v>28.798156799999997</v>
      </c>
      <c r="AA174" s="10">
        <f t="shared" si="30"/>
        <v>37.0262016</v>
      </c>
      <c r="AB174" s="10">
        <f t="shared" si="31"/>
        <v>41.140223999999996</v>
      </c>
      <c r="AC174" s="10">
        <f t="shared" si="32"/>
        <v>61.710335999999998</v>
      </c>
    </row>
    <row r="175" spans="1:29" x14ac:dyDescent="0.25">
      <c r="A175">
        <v>380663</v>
      </c>
      <c r="B175" t="s">
        <v>35</v>
      </c>
      <c r="C175" s="10">
        <v>16.3</v>
      </c>
      <c r="D175" s="10">
        <v>15.36</v>
      </c>
      <c r="E175" s="10">
        <v>0</v>
      </c>
      <c r="F175">
        <v>130</v>
      </c>
      <c r="G175" t="s">
        <v>19</v>
      </c>
      <c r="H175" s="11">
        <v>45987</v>
      </c>
      <c r="I175" t="s">
        <v>21</v>
      </c>
      <c r="J175" s="12">
        <v>4.5</v>
      </c>
      <c r="K175" s="3">
        <v>176.22</v>
      </c>
      <c r="L175" s="3">
        <f t="shared" si="22"/>
        <v>39.159999999999997</v>
      </c>
      <c r="M175" s="13"/>
      <c r="N175">
        <f>_xlfn.XLOOKUP(G175,'Tarievensheet per persoon'!AE:AE,'Tarievensheet per persoon'!AF:AF)</f>
        <v>1.7068000000000001</v>
      </c>
      <c r="O175">
        <f>_xlfn.XLOOKUP(G175,AE:AE,'Tarievensheet per persoon'!AG:AG)</f>
        <v>1.5528</v>
      </c>
      <c r="P175">
        <f>_xlfn.XLOOKUP(G175,AE:AE,'Tarievensheet per persoon'!AH:AH)</f>
        <v>1.3391999999999999</v>
      </c>
      <c r="Q175">
        <f>_xlfn.XLOOKUP(G175,AE:AE,'Tarievensheet per persoon'!AI:AI)</f>
        <v>1.3391999999999999</v>
      </c>
      <c r="R175">
        <v>0</v>
      </c>
      <c r="S175" s="14">
        <v>2.99</v>
      </c>
      <c r="T175" s="10">
        <f t="shared" si="23"/>
        <v>30.810840000000006</v>
      </c>
      <c r="U175" s="10">
        <f t="shared" si="24"/>
        <v>39.163351200000008</v>
      </c>
      <c r="V175" s="10">
        <f t="shared" si="25"/>
        <v>39.669564000000008</v>
      </c>
      <c r="W175" s="10">
        <f t="shared" si="26"/>
        <v>51.059352000000004</v>
      </c>
      <c r="X175" s="10">
        <f t="shared" si="27"/>
        <v>56.121480000000005</v>
      </c>
      <c r="Y175" s="10">
        <f t="shared" si="28"/>
        <v>81.432119999999998</v>
      </c>
      <c r="Z175" s="10">
        <f t="shared" si="29"/>
        <v>28.798156799999997</v>
      </c>
      <c r="AA175" s="10">
        <f t="shared" si="30"/>
        <v>37.0262016</v>
      </c>
      <c r="AB175" s="10">
        <f t="shared" si="31"/>
        <v>41.140223999999996</v>
      </c>
      <c r="AC175" s="10">
        <f t="shared" si="32"/>
        <v>61.710335999999998</v>
      </c>
    </row>
    <row r="176" spans="1:29" x14ac:dyDescent="0.25">
      <c r="A176">
        <v>380663</v>
      </c>
      <c r="B176" t="s">
        <v>35</v>
      </c>
      <c r="C176" s="10">
        <v>16.3</v>
      </c>
      <c r="D176" s="10">
        <v>15.36</v>
      </c>
      <c r="E176" s="10">
        <v>0</v>
      </c>
      <c r="F176">
        <v>130</v>
      </c>
      <c r="G176" t="s">
        <v>19</v>
      </c>
      <c r="H176" s="11">
        <v>45988</v>
      </c>
      <c r="I176" t="s">
        <v>13</v>
      </c>
      <c r="J176" s="12">
        <v>3.5</v>
      </c>
      <c r="K176" s="3">
        <v>107.84</v>
      </c>
      <c r="L176" s="3">
        <f t="shared" si="22"/>
        <v>30.811428571428571</v>
      </c>
      <c r="M176" s="13"/>
      <c r="N176">
        <f>_xlfn.XLOOKUP(G176,'Tarievensheet per persoon'!AE:AE,'Tarievensheet per persoon'!AF:AF)</f>
        <v>1.7068000000000001</v>
      </c>
      <c r="O176">
        <f>_xlfn.XLOOKUP(G176,AE:AE,'Tarievensheet per persoon'!AG:AG)</f>
        <v>1.5528</v>
      </c>
      <c r="P176">
        <f>_xlfn.XLOOKUP(G176,AE:AE,'Tarievensheet per persoon'!AH:AH)</f>
        <v>1.3391999999999999</v>
      </c>
      <c r="Q176">
        <f>_xlfn.XLOOKUP(G176,AE:AE,'Tarievensheet per persoon'!AI:AI)</f>
        <v>1.3391999999999999</v>
      </c>
      <c r="R176">
        <v>0</v>
      </c>
      <c r="S176" s="14">
        <v>2.99</v>
      </c>
      <c r="T176" s="10">
        <f t="shared" si="23"/>
        <v>30.810840000000006</v>
      </c>
      <c r="U176" s="10">
        <f t="shared" si="24"/>
        <v>39.163351200000008</v>
      </c>
      <c r="V176" s="10">
        <f t="shared" si="25"/>
        <v>39.669564000000008</v>
      </c>
      <c r="W176" s="10">
        <f t="shared" si="26"/>
        <v>51.059352000000004</v>
      </c>
      <c r="X176" s="10">
        <f t="shared" si="27"/>
        <v>56.121480000000005</v>
      </c>
      <c r="Y176" s="10">
        <f t="shared" si="28"/>
        <v>81.432119999999998</v>
      </c>
      <c r="Z176" s="10">
        <f t="shared" si="29"/>
        <v>28.798156799999997</v>
      </c>
      <c r="AA176" s="10">
        <f t="shared" si="30"/>
        <v>37.0262016</v>
      </c>
      <c r="AB176" s="10">
        <f t="shared" si="31"/>
        <v>41.140223999999996</v>
      </c>
      <c r="AC176" s="10">
        <f t="shared" si="32"/>
        <v>61.710335999999998</v>
      </c>
    </row>
    <row r="177" spans="1:29" x14ac:dyDescent="0.25">
      <c r="A177">
        <v>380663</v>
      </c>
      <c r="B177" t="s">
        <v>35</v>
      </c>
      <c r="C177" s="10">
        <v>16.3</v>
      </c>
      <c r="D177" s="10">
        <v>15.36</v>
      </c>
      <c r="E177" s="10">
        <v>0</v>
      </c>
      <c r="F177">
        <v>130</v>
      </c>
      <c r="G177" t="s">
        <v>19</v>
      </c>
      <c r="H177" s="11">
        <v>45988</v>
      </c>
      <c r="I177" t="s">
        <v>21</v>
      </c>
      <c r="J177" s="12">
        <v>4.5</v>
      </c>
      <c r="K177" s="3">
        <v>176.22</v>
      </c>
      <c r="L177" s="3">
        <f t="shared" si="22"/>
        <v>39.159999999999997</v>
      </c>
      <c r="M177" s="13"/>
      <c r="N177">
        <f>_xlfn.XLOOKUP(G177,'Tarievensheet per persoon'!AE:AE,'Tarievensheet per persoon'!AF:AF)</f>
        <v>1.7068000000000001</v>
      </c>
      <c r="O177">
        <f>_xlfn.XLOOKUP(G177,AE:AE,'Tarievensheet per persoon'!AG:AG)</f>
        <v>1.5528</v>
      </c>
      <c r="P177">
        <f>_xlfn.XLOOKUP(G177,AE:AE,'Tarievensheet per persoon'!AH:AH)</f>
        <v>1.3391999999999999</v>
      </c>
      <c r="Q177">
        <f>_xlfn.XLOOKUP(G177,AE:AE,'Tarievensheet per persoon'!AI:AI)</f>
        <v>1.3391999999999999</v>
      </c>
      <c r="R177">
        <v>0</v>
      </c>
      <c r="S177" s="14">
        <v>2.99</v>
      </c>
      <c r="T177" s="10">
        <f t="shared" si="23"/>
        <v>30.810840000000006</v>
      </c>
      <c r="U177" s="10">
        <f t="shared" si="24"/>
        <v>39.163351200000008</v>
      </c>
      <c r="V177" s="10">
        <f t="shared" si="25"/>
        <v>39.669564000000008</v>
      </c>
      <c r="W177" s="10">
        <f t="shared" si="26"/>
        <v>51.059352000000004</v>
      </c>
      <c r="X177" s="10">
        <f t="shared" si="27"/>
        <v>56.121480000000005</v>
      </c>
      <c r="Y177" s="10">
        <f t="shared" si="28"/>
        <v>81.432119999999998</v>
      </c>
      <c r="Z177" s="10">
        <f t="shared" si="29"/>
        <v>28.798156799999997</v>
      </c>
      <c r="AA177" s="10">
        <f t="shared" si="30"/>
        <v>37.0262016</v>
      </c>
      <c r="AB177" s="10">
        <f t="shared" si="31"/>
        <v>41.140223999999996</v>
      </c>
      <c r="AC177" s="10">
        <f t="shared" si="32"/>
        <v>61.710335999999998</v>
      </c>
    </row>
    <row r="178" spans="1:29" x14ac:dyDescent="0.25">
      <c r="A178">
        <v>380663</v>
      </c>
      <c r="B178" t="s">
        <v>35</v>
      </c>
      <c r="C178" s="10">
        <v>16.3</v>
      </c>
      <c r="D178" s="10">
        <v>15.36</v>
      </c>
      <c r="E178" s="10">
        <v>0</v>
      </c>
      <c r="F178">
        <v>130</v>
      </c>
      <c r="G178" t="s">
        <v>19</v>
      </c>
      <c r="H178" s="11">
        <v>45989</v>
      </c>
      <c r="I178" t="s">
        <v>13</v>
      </c>
      <c r="J178" s="12">
        <v>3.5</v>
      </c>
      <c r="K178" s="3">
        <v>107.84</v>
      </c>
      <c r="L178" s="3">
        <f t="shared" si="22"/>
        <v>30.811428571428571</v>
      </c>
      <c r="M178" s="13"/>
      <c r="N178">
        <f>_xlfn.XLOOKUP(G178,'Tarievensheet per persoon'!AE:AE,'Tarievensheet per persoon'!AF:AF)</f>
        <v>1.7068000000000001</v>
      </c>
      <c r="O178">
        <f>_xlfn.XLOOKUP(G178,AE:AE,'Tarievensheet per persoon'!AG:AG)</f>
        <v>1.5528</v>
      </c>
      <c r="P178">
        <f>_xlfn.XLOOKUP(G178,AE:AE,'Tarievensheet per persoon'!AH:AH)</f>
        <v>1.3391999999999999</v>
      </c>
      <c r="Q178">
        <f>_xlfn.XLOOKUP(G178,AE:AE,'Tarievensheet per persoon'!AI:AI)</f>
        <v>1.3391999999999999</v>
      </c>
      <c r="R178">
        <v>0</v>
      </c>
      <c r="S178" s="14">
        <v>2.99</v>
      </c>
      <c r="T178" s="10">
        <f t="shared" si="23"/>
        <v>30.810840000000006</v>
      </c>
      <c r="U178" s="10">
        <f t="shared" si="24"/>
        <v>39.163351200000008</v>
      </c>
      <c r="V178" s="10">
        <f t="shared" si="25"/>
        <v>39.669564000000008</v>
      </c>
      <c r="W178" s="10">
        <f t="shared" si="26"/>
        <v>51.059352000000004</v>
      </c>
      <c r="X178" s="10">
        <f t="shared" si="27"/>
        <v>56.121480000000005</v>
      </c>
      <c r="Y178" s="10">
        <f t="shared" si="28"/>
        <v>81.432119999999998</v>
      </c>
      <c r="Z178" s="10">
        <f t="shared" si="29"/>
        <v>28.798156799999997</v>
      </c>
      <c r="AA178" s="10">
        <f t="shared" si="30"/>
        <v>37.0262016</v>
      </c>
      <c r="AB178" s="10">
        <f t="shared" si="31"/>
        <v>41.140223999999996</v>
      </c>
      <c r="AC178" s="10">
        <f t="shared" si="32"/>
        <v>61.710335999999998</v>
      </c>
    </row>
    <row r="179" spans="1:29" x14ac:dyDescent="0.25">
      <c r="A179">
        <v>380663</v>
      </c>
      <c r="B179" t="s">
        <v>35</v>
      </c>
      <c r="C179" s="10">
        <v>16.3</v>
      </c>
      <c r="D179" s="10">
        <v>15.36</v>
      </c>
      <c r="E179" s="10">
        <v>0</v>
      </c>
      <c r="F179">
        <v>130</v>
      </c>
      <c r="G179" t="s">
        <v>19</v>
      </c>
      <c r="H179" s="11">
        <v>45989</v>
      </c>
      <c r="I179" t="s">
        <v>21</v>
      </c>
      <c r="J179" s="12">
        <v>4.5</v>
      </c>
      <c r="K179" s="3">
        <v>176.22</v>
      </c>
      <c r="L179" s="3">
        <f t="shared" si="22"/>
        <v>39.159999999999997</v>
      </c>
      <c r="M179" s="13"/>
      <c r="N179">
        <f>_xlfn.XLOOKUP(G179,'Tarievensheet per persoon'!AE:AE,'Tarievensheet per persoon'!AF:AF)</f>
        <v>1.7068000000000001</v>
      </c>
      <c r="O179">
        <f>_xlfn.XLOOKUP(G179,AE:AE,'Tarievensheet per persoon'!AG:AG)</f>
        <v>1.5528</v>
      </c>
      <c r="P179">
        <f>_xlfn.XLOOKUP(G179,AE:AE,'Tarievensheet per persoon'!AH:AH)</f>
        <v>1.3391999999999999</v>
      </c>
      <c r="Q179">
        <f>_xlfn.XLOOKUP(G179,AE:AE,'Tarievensheet per persoon'!AI:AI)</f>
        <v>1.3391999999999999</v>
      </c>
      <c r="R179">
        <v>0</v>
      </c>
      <c r="S179" s="14">
        <v>2.99</v>
      </c>
      <c r="T179" s="10">
        <f t="shared" si="23"/>
        <v>30.810840000000006</v>
      </c>
      <c r="U179" s="10">
        <f t="shared" si="24"/>
        <v>39.163351200000008</v>
      </c>
      <c r="V179" s="10">
        <f t="shared" si="25"/>
        <v>39.669564000000008</v>
      </c>
      <c r="W179" s="10">
        <f t="shared" si="26"/>
        <v>51.059352000000004</v>
      </c>
      <c r="X179" s="10">
        <f t="shared" si="27"/>
        <v>56.121480000000005</v>
      </c>
      <c r="Y179" s="10">
        <f t="shared" si="28"/>
        <v>81.432119999999998</v>
      </c>
      <c r="Z179" s="10">
        <f t="shared" si="29"/>
        <v>28.798156799999997</v>
      </c>
      <c r="AA179" s="10">
        <f t="shared" si="30"/>
        <v>37.0262016</v>
      </c>
      <c r="AB179" s="10">
        <f t="shared" si="31"/>
        <v>41.140223999999996</v>
      </c>
      <c r="AC179" s="10">
        <f t="shared" si="32"/>
        <v>61.710335999999998</v>
      </c>
    </row>
    <row r="180" spans="1:29" x14ac:dyDescent="0.25">
      <c r="A180">
        <v>382788</v>
      </c>
      <c r="B180" t="s">
        <v>36</v>
      </c>
      <c r="C180" s="10">
        <v>15.89</v>
      </c>
      <c r="D180" s="10">
        <v>14.98</v>
      </c>
      <c r="E180" s="10">
        <v>0</v>
      </c>
      <c r="F180">
        <v>25</v>
      </c>
      <c r="G180" t="s">
        <v>15</v>
      </c>
      <c r="H180" s="11">
        <v>45986</v>
      </c>
      <c r="I180" t="s">
        <v>13</v>
      </c>
      <c r="J180" s="12">
        <v>8</v>
      </c>
      <c r="K180" s="3">
        <v>240.32</v>
      </c>
      <c r="L180" s="3">
        <f t="shared" si="22"/>
        <v>30.04</v>
      </c>
      <c r="M180" s="13"/>
      <c r="N180">
        <f>_xlfn.XLOOKUP(G180,'Tarievensheet per persoon'!AE:AE,'Tarievensheet per persoon'!AF:AF)</f>
        <v>1.7024999999999999</v>
      </c>
      <c r="O180">
        <f>_xlfn.XLOOKUP(G180,AE:AE,'Tarievensheet per persoon'!AG:AG)</f>
        <v>1.5642</v>
      </c>
      <c r="P180">
        <f>_xlfn.XLOOKUP(G180,AE:AE,'Tarievensheet per persoon'!AH:AH)</f>
        <v>1.3552</v>
      </c>
      <c r="Q180">
        <f>_xlfn.XLOOKUP(G180,AE:AE,'Tarievensheet per persoon'!AI:AI)</f>
        <v>1.3552</v>
      </c>
      <c r="R180">
        <v>0</v>
      </c>
      <c r="S180" s="14">
        <v>2.99</v>
      </c>
      <c r="T180" s="10">
        <f t="shared" si="23"/>
        <v>30.042724999999997</v>
      </c>
      <c r="U180" s="10">
        <f t="shared" si="24"/>
        <v>38.244920539999995</v>
      </c>
      <c r="V180" s="10">
        <f t="shared" si="25"/>
        <v>38.7420233</v>
      </c>
      <c r="W180" s="10">
        <f t="shared" si="26"/>
        <v>49.926835400000002</v>
      </c>
      <c r="X180" s="10">
        <f t="shared" si="27"/>
        <v>54.897863000000001</v>
      </c>
      <c r="Y180" s="10">
        <f t="shared" si="28"/>
        <v>79.753000999999998</v>
      </c>
      <c r="Z180" s="10">
        <f t="shared" si="29"/>
        <v>28.421254399999995</v>
      </c>
      <c r="AA180" s="10">
        <f t="shared" si="30"/>
        <v>36.541612800000003</v>
      </c>
      <c r="AB180" s="10">
        <f t="shared" si="31"/>
        <v>40.601792000000003</v>
      </c>
      <c r="AC180" s="10">
        <f t="shared" si="32"/>
        <v>60.902687999999998</v>
      </c>
    </row>
    <row r="181" spans="1:29" x14ac:dyDescent="0.25">
      <c r="A181">
        <v>382788</v>
      </c>
      <c r="B181" t="s">
        <v>36</v>
      </c>
      <c r="C181" s="10">
        <v>15.89</v>
      </c>
      <c r="D181" s="10">
        <v>14.98</v>
      </c>
      <c r="E181" s="10">
        <v>0</v>
      </c>
      <c r="F181">
        <v>25</v>
      </c>
      <c r="G181" t="s">
        <v>15</v>
      </c>
      <c r="H181" s="11">
        <v>45987</v>
      </c>
      <c r="I181" t="s">
        <v>13</v>
      </c>
      <c r="J181" s="12">
        <v>8</v>
      </c>
      <c r="K181" s="3">
        <v>240.32</v>
      </c>
      <c r="L181" s="3">
        <f t="shared" si="22"/>
        <v>30.04</v>
      </c>
      <c r="M181" s="13"/>
      <c r="N181">
        <f>_xlfn.XLOOKUP(G181,'Tarievensheet per persoon'!AE:AE,'Tarievensheet per persoon'!AF:AF)</f>
        <v>1.7024999999999999</v>
      </c>
      <c r="O181">
        <f>_xlfn.XLOOKUP(G181,AE:AE,'Tarievensheet per persoon'!AG:AG)</f>
        <v>1.5642</v>
      </c>
      <c r="P181">
        <f>_xlfn.XLOOKUP(G181,AE:AE,'Tarievensheet per persoon'!AH:AH)</f>
        <v>1.3552</v>
      </c>
      <c r="Q181">
        <f>_xlfn.XLOOKUP(G181,AE:AE,'Tarievensheet per persoon'!AI:AI)</f>
        <v>1.3552</v>
      </c>
      <c r="R181">
        <v>0</v>
      </c>
      <c r="S181" s="14">
        <v>2.99</v>
      </c>
      <c r="T181" s="10">
        <f t="shared" si="23"/>
        <v>30.042724999999997</v>
      </c>
      <c r="U181" s="10">
        <f t="shared" si="24"/>
        <v>38.244920539999995</v>
      </c>
      <c r="V181" s="10">
        <f t="shared" si="25"/>
        <v>38.7420233</v>
      </c>
      <c r="W181" s="10">
        <f t="shared" si="26"/>
        <v>49.926835400000002</v>
      </c>
      <c r="X181" s="10">
        <f t="shared" si="27"/>
        <v>54.897863000000001</v>
      </c>
      <c r="Y181" s="10">
        <f t="shared" si="28"/>
        <v>79.753000999999998</v>
      </c>
      <c r="Z181" s="10">
        <f t="shared" si="29"/>
        <v>28.421254399999995</v>
      </c>
      <c r="AA181" s="10">
        <f t="shared" si="30"/>
        <v>36.541612800000003</v>
      </c>
      <c r="AB181" s="10">
        <f t="shared" si="31"/>
        <v>40.601792000000003</v>
      </c>
      <c r="AC181" s="10">
        <f t="shared" si="32"/>
        <v>60.902687999999998</v>
      </c>
    </row>
    <row r="182" spans="1:29" x14ac:dyDescent="0.25">
      <c r="A182">
        <v>382788</v>
      </c>
      <c r="B182" t="s">
        <v>36</v>
      </c>
      <c r="C182" s="10">
        <v>15.89</v>
      </c>
      <c r="D182" s="10">
        <v>14.98</v>
      </c>
      <c r="E182" s="10">
        <v>0</v>
      </c>
      <c r="F182">
        <v>25</v>
      </c>
      <c r="G182" t="s">
        <v>15</v>
      </c>
      <c r="H182" s="11">
        <v>45988</v>
      </c>
      <c r="I182" t="s">
        <v>13</v>
      </c>
      <c r="J182" s="12">
        <v>8</v>
      </c>
      <c r="K182" s="3">
        <v>240.32</v>
      </c>
      <c r="L182" s="3">
        <f t="shared" si="22"/>
        <v>30.04</v>
      </c>
      <c r="M182" s="13"/>
      <c r="N182">
        <f>_xlfn.XLOOKUP(G182,'Tarievensheet per persoon'!AE:AE,'Tarievensheet per persoon'!AF:AF)</f>
        <v>1.7024999999999999</v>
      </c>
      <c r="O182">
        <f>_xlfn.XLOOKUP(G182,AE:AE,'Tarievensheet per persoon'!AG:AG)</f>
        <v>1.5642</v>
      </c>
      <c r="P182">
        <f>_xlfn.XLOOKUP(G182,AE:AE,'Tarievensheet per persoon'!AH:AH)</f>
        <v>1.3552</v>
      </c>
      <c r="Q182">
        <f>_xlfn.XLOOKUP(G182,AE:AE,'Tarievensheet per persoon'!AI:AI)</f>
        <v>1.3552</v>
      </c>
      <c r="R182">
        <v>0</v>
      </c>
      <c r="S182" s="14">
        <v>2.99</v>
      </c>
      <c r="T182" s="10">
        <f t="shared" si="23"/>
        <v>30.042724999999997</v>
      </c>
      <c r="U182" s="10">
        <f t="shared" si="24"/>
        <v>38.244920539999995</v>
      </c>
      <c r="V182" s="10">
        <f t="shared" si="25"/>
        <v>38.7420233</v>
      </c>
      <c r="W182" s="10">
        <f t="shared" si="26"/>
        <v>49.926835400000002</v>
      </c>
      <c r="X182" s="10">
        <f t="shared" si="27"/>
        <v>54.897863000000001</v>
      </c>
      <c r="Y182" s="10">
        <f t="shared" si="28"/>
        <v>79.753000999999998</v>
      </c>
      <c r="Z182" s="10">
        <f t="shared" si="29"/>
        <v>28.421254399999995</v>
      </c>
      <c r="AA182" s="10">
        <f t="shared" si="30"/>
        <v>36.541612800000003</v>
      </c>
      <c r="AB182" s="10">
        <f t="shared" si="31"/>
        <v>40.601792000000003</v>
      </c>
      <c r="AC182" s="10">
        <f t="shared" si="32"/>
        <v>60.902687999999998</v>
      </c>
    </row>
    <row r="183" spans="1:29" x14ac:dyDescent="0.25">
      <c r="A183">
        <v>382788</v>
      </c>
      <c r="B183" t="s">
        <v>36</v>
      </c>
      <c r="C183" s="10">
        <v>15.89</v>
      </c>
      <c r="D183" s="10">
        <v>14.98</v>
      </c>
      <c r="E183" s="10">
        <v>0</v>
      </c>
      <c r="F183">
        <v>25</v>
      </c>
      <c r="G183" t="s">
        <v>15</v>
      </c>
      <c r="H183" s="11">
        <v>45989</v>
      </c>
      <c r="I183" t="s">
        <v>13</v>
      </c>
      <c r="J183" s="12">
        <v>7.5</v>
      </c>
      <c r="K183" s="3">
        <v>225.3</v>
      </c>
      <c r="L183" s="3">
        <f t="shared" si="22"/>
        <v>30.040000000000003</v>
      </c>
      <c r="M183" s="13"/>
      <c r="N183">
        <f>_xlfn.XLOOKUP(G183,'Tarievensheet per persoon'!AE:AE,'Tarievensheet per persoon'!AF:AF)</f>
        <v>1.7024999999999999</v>
      </c>
      <c r="O183">
        <f>_xlfn.XLOOKUP(G183,AE:AE,'Tarievensheet per persoon'!AG:AG)</f>
        <v>1.5642</v>
      </c>
      <c r="P183">
        <f>_xlfn.XLOOKUP(G183,AE:AE,'Tarievensheet per persoon'!AH:AH)</f>
        <v>1.3552</v>
      </c>
      <c r="Q183">
        <f>_xlfn.XLOOKUP(G183,AE:AE,'Tarievensheet per persoon'!AI:AI)</f>
        <v>1.3552</v>
      </c>
      <c r="R183">
        <v>0</v>
      </c>
      <c r="S183" s="14">
        <v>2.99</v>
      </c>
      <c r="T183" s="10">
        <f t="shared" si="23"/>
        <v>30.042724999999997</v>
      </c>
      <c r="U183" s="10">
        <f t="shared" si="24"/>
        <v>38.244920539999995</v>
      </c>
      <c r="V183" s="10">
        <f t="shared" si="25"/>
        <v>38.7420233</v>
      </c>
      <c r="W183" s="10">
        <f t="shared" si="26"/>
        <v>49.926835400000002</v>
      </c>
      <c r="X183" s="10">
        <f t="shared" si="27"/>
        <v>54.897863000000001</v>
      </c>
      <c r="Y183" s="10">
        <f t="shared" si="28"/>
        <v>79.753000999999998</v>
      </c>
      <c r="Z183" s="10">
        <f t="shared" si="29"/>
        <v>28.421254399999995</v>
      </c>
      <c r="AA183" s="10">
        <f t="shared" si="30"/>
        <v>36.541612800000003</v>
      </c>
      <c r="AB183" s="10">
        <f t="shared" si="31"/>
        <v>40.601792000000003</v>
      </c>
      <c r="AC183" s="10">
        <f t="shared" si="32"/>
        <v>60.902687999999998</v>
      </c>
    </row>
    <row r="184" spans="1:29" x14ac:dyDescent="0.25">
      <c r="A184">
        <v>385157</v>
      </c>
      <c r="B184" t="s">
        <v>37</v>
      </c>
      <c r="C184" s="10">
        <v>17.16</v>
      </c>
      <c r="D184" s="10">
        <v>16.170000000000002</v>
      </c>
      <c r="E184" s="10">
        <v>0</v>
      </c>
      <c r="F184">
        <v>105</v>
      </c>
      <c r="G184" t="s">
        <v>19</v>
      </c>
      <c r="H184" s="11">
        <v>45985</v>
      </c>
      <c r="I184" t="s">
        <v>13</v>
      </c>
      <c r="J184" s="12">
        <v>2.75</v>
      </c>
      <c r="K184" s="3">
        <v>88.77</v>
      </c>
      <c r="L184" s="3">
        <f t="shared" si="22"/>
        <v>32.28</v>
      </c>
      <c r="M184" s="13"/>
      <c r="N184">
        <f>_xlfn.XLOOKUP(G184,'Tarievensheet per persoon'!AE:AE,'Tarievensheet per persoon'!AF:AF)</f>
        <v>1.7068000000000001</v>
      </c>
      <c r="O184">
        <f>_xlfn.XLOOKUP(G184,AE:AE,'Tarievensheet per persoon'!AG:AG)</f>
        <v>1.5528</v>
      </c>
      <c r="P184">
        <f>_xlfn.XLOOKUP(G184,AE:AE,'Tarievensheet per persoon'!AH:AH)</f>
        <v>1.3391999999999999</v>
      </c>
      <c r="Q184">
        <f>_xlfn.XLOOKUP(G184,AE:AE,'Tarievensheet per persoon'!AI:AI)</f>
        <v>1.3391999999999999</v>
      </c>
      <c r="R184">
        <v>0</v>
      </c>
      <c r="S184" s="14">
        <v>2.99</v>
      </c>
      <c r="T184" s="10">
        <f t="shared" si="23"/>
        <v>32.278688000000002</v>
      </c>
      <c r="U184" s="10">
        <f t="shared" si="24"/>
        <v>41.071883840000005</v>
      </c>
      <c r="V184" s="10">
        <f t="shared" si="25"/>
        <v>41.604804800000004</v>
      </c>
      <c r="W184" s="10">
        <f t="shared" si="26"/>
        <v>53.595526400000004</v>
      </c>
      <c r="X184" s="10">
        <f t="shared" si="27"/>
        <v>58.924736000000003</v>
      </c>
      <c r="Y184" s="10">
        <f t="shared" si="28"/>
        <v>85.570784000000003</v>
      </c>
      <c r="Z184" s="10">
        <f t="shared" si="29"/>
        <v>30.316809600000003</v>
      </c>
      <c r="AA184" s="10">
        <f t="shared" si="30"/>
        <v>38.978755200000002</v>
      </c>
      <c r="AB184" s="10">
        <f t="shared" si="31"/>
        <v>43.309728</v>
      </c>
      <c r="AC184" s="10">
        <f t="shared" si="32"/>
        <v>64.96459200000001</v>
      </c>
    </row>
    <row r="185" spans="1:29" x14ac:dyDescent="0.25">
      <c r="A185">
        <v>385157</v>
      </c>
      <c r="B185" t="s">
        <v>37</v>
      </c>
      <c r="C185" s="10">
        <v>17.16</v>
      </c>
      <c r="D185" s="10">
        <v>16.170000000000002</v>
      </c>
      <c r="E185" s="10">
        <v>0</v>
      </c>
      <c r="F185">
        <v>105</v>
      </c>
      <c r="G185" t="s">
        <v>19</v>
      </c>
      <c r="H185" s="11">
        <v>45985</v>
      </c>
      <c r="I185" t="s">
        <v>21</v>
      </c>
      <c r="J185" s="12">
        <v>3.75</v>
      </c>
      <c r="K185" s="3">
        <v>154.01</v>
      </c>
      <c r="L185" s="3">
        <f t="shared" si="22"/>
        <v>41.069333333333333</v>
      </c>
      <c r="M185" s="13"/>
      <c r="N185">
        <f>_xlfn.XLOOKUP(G185,'Tarievensheet per persoon'!AE:AE,'Tarievensheet per persoon'!AF:AF)</f>
        <v>1.7068000000000001</v>
      </c>
      <c r="O185">
        <f>_xlfn.XLOOKUP(G185,AE:AE,'Tarievensheet per persoon'!AG:AG)</f>
        <v>1.5528</v>
      </c>
      <c r="P185">
        <f>_xlfn.XLOOKUP(G185,AE:AE,'Tarievensheet per persoon'!AH:AH)</f>
        <v>1.3391999999999999</v>
      </c>
      <c r="Q185">
        <f>_xlfn.XLOOKUP(G185,AE:AE,'Tarievensheet per persoon'!AI:AI)</f>
        <v>1.3391999999999999</v>
      </c>
      <c r="R185">
        <v>0</v>
      </c>
      <c r="S185" s="14">
        <v>2.99</v>
      </c>
      <c r="T185" s="10">
        <f t="shared" si="23"/>
        <v>32.278688000000002</v>
      </c>
      <c r="U185" s="10">
        <f t="shared" si="24"/>
        <v>41.071883840000005</v>
      </c>
      <c r="V185" s="10">
        <f t="shared" si="25"/>
        <v>41.604804800000004</v>
      </c>
      <c r="W185" s="10">
        <f t="shared" si="26"/>
        <v>53.595526400000004</v>
      </c>
      <c r="X185" s="10">
        <f t="shared" si="27"/>
        <v>58.924736000000003</v>
      </c>
      <c r="Y185" s="10">
        <f t="shared" si="28"/>
        <v>85.570784000000003</v>
      </c>
      <c r="Z185" s="10">
        <f t="shared" si="29"/>
        <v>30.316809600000003</v>
      </c>
      <c r="AA185" s="10">
        <f t="shared" si="30"/>
        <v>38.978755200000002</v>
      </c>
      <c r="AB185" s="10">
        <f t="shared" si="31"/>
        <v>43.309728</v>
      </c>
      <c r="AC185" s="10">
        <f t="shared" si="32"/>
        <v>64.96459200000001</v>
      </c>
    </row>
    <row r="186" spans="1:29" x14ac:dyDescent="0.25">
      <c r="A186">
        <v>385157</v>
      </c>
      <c r="B186" t="s">
        <v>37</v>
      </c>
      <c r="C186" s="10">
        <v>17.16</v>
      </c>
      <c r="D186" s="10">
        <v>16.170000000000002</v>
      </c>
      <c r="E186" s="10">
        <v>0</v>
      </c>
      <c r="F186">
        <v>105</v>
      </c>
      <c r="G186" t="s">
        <v>19</v>
      </c>
      <c r="H186" s="11">
        <v>45986</v>
      </c>
      <c r="I186" t="s">
        <v>13</v>
      </c>
      <c r="J186" s="12">
        <v>2.75</v>
      </c>
      <c r="K186" s="3">
        <v>88.77</v>
      </c>
      <c r="L186" s="3">
        <f t="shared" si="22"/>
        <v>32.28</v>
      </c>
      <c r="M186" s="13"/>
      <c r="N186">
        <f>_xlfn.XLOOKUP(G186,'Tarievensheet per persoon'!AE:AE,'Tarievensheet per persoon'!AF:AF)</f>
        <v>1.7068000000000001</v>
      </c>
      <c r="O186">
        <f>_xlfn.XLOOKUP(G186,AE:AE,'Tarievensheet per persoon'!AG:AG)</f>
        <v>1.5528</v>
      </c>
      <c r="P186">
        <f>_xlfn.XLOOKUP(G186,AE:AE,'Tarievensheet per persoon'!AH:AH)</f>
        <v>1.3391999999999999</v>
      </c>
      <c r="Q186">
        <f>_xlfn.XLOOKUP(G186,AE:AE,'Tarievensheet per persoon'!AI:AI)</f>
        <v>1.3391999999999999</v>
      </c>
      <c r="R186">
        <v>0</v>
      </c>
      <c r="S186" s="14">
        <v>2.99</v>
      </c>
      <c r="T186" s="10">
        <f t="shared" si="23"/>
        <v>32.278688000000002</v>
      </c>
      <c r="U186" s="10">
        <f t="shared" si="24"/>
        <v>41.071883840000005</v>
      </c>
      <c r="V186" s="10">
        <f t="shared" si="25"/>
        <v>41.604804800000004</v>
      </c>
      <c r="W186" s="10">
        <f t="shared" si="26"/>
        <v>53.595526400000004</v>
      </c>
      <c r="X186" s="10">
        <f t="shared" si="27"/>
        <v>58.924736000000003</v>
      </c>
      <c r="Y186" s="10">
        <f t="shared" si="28"/>
        <v>85.570784000000003</v>
      </c>
      <c r="Z186" s="10">
        <f t="shared" si="29"/>
        <v>30.316809600000003</v>
      </c>
      <c r="AA186" s="10">
        <f t="shared" si="30"/>
        <v>38.978755200000002</v>
      </c>
      <c r="AB186" s="10">
        <f t="shared" si="31"/>
        <v>43.309728</v>
      </c>
      <c r="AC186" s="10">
        <f t="shared" si="32"/>
        <v>64.96459200000001</v>
      </c>
    </row>
    <row r="187" spans="1:29" x14ac:dyDescent="0.25">
      <c r="A187">
        <v>385157</v>
      </c>
      <c r="B187" t="s">
        <v>37</v>
      </c>
      <c r="C187" s="10">
        <v>17.16</v>
      </c>
      <c r="D187" s="10">
        <v>16.170000000000002</v>
      </c>
      <c r="E187" s="10">
        <v>0</v>
      </c>
      <c r="F187">
        <v>105</v>
      </c>
      <c r="G187" t="s">
        <v>19</v>
      </c>
      <c r="H187" s="11">
        <v>45986</v>
      </c>
      <c r="I187" t="s">
        <v>21</v>
      </c>
      <c r="J187" s="12">
        <v>4</v>
      </c>
      <c r="K187" s="3">
        <v>164.28</v>
      </c>
      <c r="L187" s="3">
        <f t="shared" si="22"/>
        <v>41.07</v>
      </c>
      <c r="M187" s="13"/>
      <c r="N187">
        <f>_xlfn.XLOOKUP(G187,'Tarievensheet per persoon'!AE:AE,'Tarievensheet per persoon'!AF:AF)</f>
        <v>1.7068000000000001</v>
      </c>
      <c r="O187">
        <f>_xlfn.XLOOKUP(G187,AE:AE,'Tarievensheet per persoon'!AG:AG)</f>
        <v>1.5528</v>
      </c>
      <c r="P187">
        <f>_xlfn.XLOOKUP(G187,AE:AE,'Tarievensheet per persoon'!AH:AH)</f>
        <v>1.3391999999999999</v>
      </c>
      <c r="Q187">
        <f>_xlfn.XLOOKUP(G187,AE:AE,'Tarievensheet per persoon'!AI:AI)</f>
        <v>1.3391999999999999</v>
      </c>
      <c r="R187">
        <v>0</v>
      </c>
      <c r="S187" s="14">
        <v>2.99</v>
      </c>
      <c r="T187" s="10">
        <f t="shared" si="23"/>
        <v>32.278688000000002</v>
      </c>
      <c r="U187" s="10">
        <f t="shared" si="24"/>
        <v>41.071883840000005</v>
      </c>
      <c r="V187" s="10">
        <f t="shared" si="25"/>
        <v>41.604804800000004</v>
      </c>
      <c r="W187" s="10">
        <f t="shared" si="26"/>
        <v>53.595526400000004</v>
      </c>
      <c r="X187" s="10">
        <f t="shared" si="27"/>
        <v>58.924736000000003</v>
      </c>
      <c r="Y187" s="10">
        <f t="shared" si="28"/>
        <v>85.570784000000003</v>
      </c>
      <c r="Z187" s="10">
        <f t="shared" si="29"/>
        <v>30.316809600000003</v>
      </c>
      <c r="AA187" s="10">
        <f t="shared" si="30"/>
        <v>38.978755200000002</v>
      </c>
      <c r="AB187" s="10">
        <f t="shared" si="31"/>
        <v>43.309728</v>
      </c>
      <c r="AC187" s="10">
        <f t="shared" si="32"/>
        <v>64.96459200000001</v>
      </c>
    </row>
    <row r="188" spans="1:29" x14ac:dyDescent="0.25">
      <c r="A188">
        <v>385157</v>
      </c>
      <c r="B188" t="s">
        <v>37</v>
      </c>
      <c r="C188" s="10">
        <v>17.16</v>
      </c>
      <c r="D188" s="10">
        <v>16.170000000000002</v>
      </c>
      <c r="E188" s="10">
        <v>0</v>
      </c>
      <c r="F188">
        <v>105</v>
      </c>
      <c r="G188" t="s">
        <v>19</v>
      </c>
      <c r="H188" s="11">
        <v>45987</v>
      </c>
      <c r="I188" t="s">
        <v>13</v>
      </c>
      <c r="J188" s="12">
        <v>2.75</v>
      </c>
      <c r="K188" s="3">
        <v>88.77</v>
      </c>
      <c r="L188" s="3">
        <f t="shared" si="22"/>
        <v>32.28</v>
      </c>
      <c r="M188" s="13"/>
      <c r="N188">
        <f>_xlfn.XLOOKUP(G188,'Tarievensheet per persoon'!AE:AE,'Tarievensheet per persoon'!AF:AF)</f>
        <v>1.7068000000000001</v>
      </c>
      <c r="O188">
        <f>_xlfn.XLOOKUP(G188,AE:AE,'Tarievensheet per persoon'!AG:AG)</f>
        <v>1.5528</v>
      </c>
      <c r="P188">
        <f>_xlfn.XLOOKUP(G188,AE:AE,'Tarievensheet per persoon'!AH:AH)</f>
        <v>1.3391999999999999</v>
      </c>
      <c r="Q188">
        <f>_xlfn.XLOOKUP(G188,AE:AE,'Tarievensheet per persoon'!AI:AI)</f>
        <v>1.3391999999999999</v>
      </c>
      <c r="R188">
        <v>0</v>
      </c>
      <c r="S188" s="14">
        <v>2.99</v>
      </c>
      <c r="T188" s="10">
        <f t="shared" si="23"/>
        <v>32.278688000000002</v>
      </c>
      <c r="U188" s="10">
        <f t="shared" si="24"/>
        <v>41.071883840000005</v>
      </c>
      <c r="V188" s="10">
        <f t="shared" si="25"/>
        <v>41.604804800000004</v>
      </c>
      <c r="W188" s="10">
        <f t="shared" si="26"/>
        <v>53.595526400000004</v>
      </c>
      <c r="X188" s="10">
        <f t="shared" si="27"/>
        <v>58.924736000000003</v>
      </c>
      <c r="Y188" s="10">
        <f t="shared" si="28"/>
        <v>85.570784000000003</v>
      </c>
      <c r="Z188" s="10">
        <f t="shared" si="29"/>
        <v>30.316809600000003</v>
      </c>
      <c r="AA188" s="10">
        <f t="shared" si="30"/>
        <v>38.978755200000002</v>
      </c>
      <c r="AB188" s="10">
        <f t="shared" si="31"/>
        <v>43.309728</v>
      </c>
      <c r="AC188" s="10">
        <f t="shared" si="32"/>
        <v>64.96459200000001</v>
      </c>
    </row>
    <row r="189" spans="1:29" x14ac:dyDescent="0.25">
      <c r="A189">
        <v>385157</v>
      </c>
      <c r="B189" t="s">
        <v>37</v>
      </c>
      <c r="C189" s="10">
        <v>17.16</v>
      </c>
      <c r="D189" s="10">
        <v>16.170000000000002</v>
      </c>
      <c r="E189" s="10">
        <v>0</v>
      </c>
      <c r="F189">
        <v>105</v>
      </c>
      <c r="G189" t="s">
        <v>19</v>
      </c>
      <c r="H189" s="11">
        <v>45987</v>
      </c>
      <c r="I189" t="s">
        <v>21</v>
      </c>
      <c r="J189" s="12">
        <v>4</v>
      </c>
      <c r="K189" s="3">
        <v>164.28</v>
      </c>
      <c r="L189" s="3">
        <f t="shared" si="22"/>
        <v>41.07</v>
      </c>
      <c r="M189" s="13"/>
      <c r="N189">
        <f>_xlfn.XLOOKUP(G189,'Tarievensheet per persoon'!AE:AE,'Tarievensheet per persoon'!AF:AF)</f>
        <v>1.7068000000000001</v>
      </c>
      <c r="O189">
        <f>_xlfn.XLOOKUP(G189,AE:AE,'Tarievensheet per persoon'!AG:AG)</f>
        <v>1.5528</v>
      </c>
      <c r="P189">
        <f>_xlfn.XLOOKUP(G189,AE:AE,'Tarievensheet per persoon'!AH:AH)</f>
        <v>1.3391999999999999</v>
      </c>
      <c r="Q189">
        <f>_xlfn.XLOOKUP(G189,AE:AE,'Tarievensheet per persoon'!AI:AI)</f>
        <v>1.3391999999999999</v>
      </c>
      <c r="R189">
        <v>0</v>
      </c>
      <c r="S189" s="14">
        <v>2.99</v>
      </c>
      <c r="T189" s="10">
        <f t="shared" si="23"/>
        <v>32.278688000000002</v>
      </c>
      <c r="U189" s="10">
        <f t="shared" si="24"/>
        <v>41.071883840000005</v>
      </c>
      <c r="V189" s="10">
        <f t="shared" si="25"/>
        <v>41.604804800000004</v>
      </c>
      <c r="W189" s="10">
        <f t="shared" si="26"/>
        <v>53.595526400000004</v>
      </c>
      <c r="X189" s="10">
        <f t="shared" si="27"/>
        <v>58.924736000000003</v>
      </c>
      <c r="Y189" s="10">
        <f t="shared" si="28"/>
        <v>85.570784000000003</v>
      </c>
      <c r="Z189" s="10">
        <f t="shared" si="29"/>
        <v>30.316809600000003</v>
      </c>
      <c r="AA189" s="10">
        <f t="shared" si="30"/>
        <v>38.978755200000002</v>
      </c>
      <c r="AB189" s="10">
        <f t="shared" si="31"/>
        <v>43.309728</v>
      </c>
      <c r="AC189" s="10">
        <f t="shared" si="32"/>
        <v>64.96459200000001</v>
      </c>
    </row>
    <row r="190" spans="1:29" x14ac:dyDescent="0.25">
      <c r="A190">
        <v>385157</v>
      </c>
      <c r="B190" t="s">
        <v>37</v>
      </c>
      <c r="C190" s="10">
        <v>17.16</v>
      </c>
      <c r="D190" s="10">
        <v>16.170000000000002</v>
      </c>
      <c r="E190" s="10">
        <v>0</v>
      </c>
      <c r="F190">
        <v>105</v>
      </c>
      <c r="G190" t="s">
        <v>19</v>
      </c>
      <c r="H190" s="11">
        <v>45988</v>
      </c>
      <c r="I190" t="s">
        <v>13</v>
      </c>
      <c r="J190" s="12">
        <v>2.75</v>
      </c>
      <c r="K190" s="3">
        <v>88.77</v>
      </c>
      <c r="L190" s="3">
        <f t="shared" si="22"/>
        <v>32.28</v>
      </c>
      <c r="M190" s="13"/>
      <c r="N190">
        <f>_xlfn.XLOOKUP(G190,'Tarievensheet per persoon'!AE:AE,'Tarievensheet per persoon'!AF:AF)</f>
        <v>1.7068000000000001</v>
      </c>
      <c r="O190">
        <f>_xlfn.XLOOKUP(G190,AE:AE,'Tarievensheet per persoon'!AG:AG)</f>
        <v>1.5528</v>
      </c>
      <c r="P190">
        <f>_xlfn.XLOOKUP(G190,AE:AE,'Tarievensheet per persoon'!AH:AH)</f>
        <v>1.3391999999999999</v>
      </c>
      <c r="Q190">
        <f>_xlfn.XLOOKUP(G190,AE:AE,'Tarievensheet per persoon'!AI:AI)</f>
        <v>1.3391999999999999</v>
      </c>
      <c r="R190">
        <v>0</v>
      </c>
      <c r="S190" s="14">
        <v>2.99</v>
      </c>
      <c r="T190" s="10">
        <f t="shared" si="23"/>
        <v>32.278688000000002</v>
      </c>
      <c r="U190" s="10">
        <f t="shared" si="24"/>
        <v>41.071883840000005</v>
      </c>
      <c r="V190" s="10">
        <f t="shared" si="25"/>
        <v>41.604804800000004</v>
      </c>
      <c r="W190" s="10">
        <f t="shared" si="26"/>
        <v>53.595526400000004</v>
      </c>
      <c r="X190" s="10">
        <f t="shared" si="27"/>
        <v>58.924736000000003</v>
      </c>
      <c r="Y190" s="10">
        <f t="shared" si="28"/>
        <v>85.570784000000003</v>
      </c>
      <c r="Z190" s="10">
        <f t="shared" si="29"/>
        <v>30.316809600000003</v>
      </c>
      <c r="AA190" s="10">
        <f t="shared" si="30"/>
        <v>38.978755200000002</v>
      </c>
      <c r="AB190" s="10">
        <f t="shared" si="31"/>
        <v>43.309728</v>
      </c>
      <c r="AC190" s="10">
        <f t="shared" si="32"/>
        <v>64.96459200000001</v>
      </c>
    </row>
    <row r="191" spans="1:29" x14ac:dyDescent="0.25">
      <c r="A191">
        <v>385157</v>
      </c>
      <c r="B191" t="s">
        <v>37</v>
      </c>
      <c r="C191" s="10">
        <v>17.16</v>
      </c>
      <c r="D191" s="10">
        <v>16.170000000000002</v>
      </c>
      <c r="E191" s="10">
        <v>0</v>
      </c>
      <c r="F191">
        <v>105</v>
      </c>
      <c r="G191" t="s">
        <v>19</v>
      </c>
      <c r="H191" s="11">
        <v>45988</v>
      </c>
      <c r="I191" t="s">
        <v>21</v>
      </c>
      <c r="J191" s="12">
        <v>3.75</v>
      </c>
      <c r="K191" s="3">
        <v>154.01</v>
      </c>
      <c r="L191" s="3">
        <f t="shared" si="22"/>
        <v>41.069333333333333</v>
      </c>
      <c r="M191" s="13"/>
      <c r="N191">
        <f>_xlfn.XLOOKUP(G191,'Tarievensheet per persoon'!AE:AE,'Tarievensheet per persoon'!AF:AF)</f>
        <v>1.7068000000000001</v>
      </c>
      <c r="O191">
        <f>_xlfn.XLOOKUP(G191,AE:AE,'Tarievensheet per persoon'!AG:AG)</f>
        <v>1.5528</v>
      </c>
      <c r="P191">
        <f>_xlfn.XLOOKUP(G191,AE:AE,'Tarievensheet per persoon'!AH:AH)</f>
        <v>1.3391999999999999</v>
      </c>
      <c r="Q191">
        <f>_xlfn.XLOOKUP(G191,AE:AE,'Tarievensheet per persoon'!AI:AI)</f>
        <v>1.3391999999999999</v>
      </c>
      <c r="R191">
        <v>0</v>
      </c>
      <c r="S191" s="14">
        <v>2.99</v>
      </c>
      <c r="T191" s="10">
        <f t="shared" si="23"/>
        <v>32.278688000000002</v>
      </c>
      <c r="U191" s="10">
        <f t="shared" si="24"/>
        <v>41.071883840000005</v>
      </c>
      <c r="V191" s="10">
        <f t="shared" si="25"/>
        <v>41.604804800000004</v>
      </c>
      <c r="W191" s="10">
        <f t="shared" si="26"/>
        <v>53.595526400000004</v>
      </c>
      <c r="X191" s="10">
        <f t="shared" si="27"/>
        <v>58.924736000000003</v>
      </c>
      <c r="Y191" s="10">
        <f t="shared" si="28"/>
        <v>85.570784000000003</v>
      </c>
      <c r="Z191" s="10">
        <f t="shared" si="29"/>
        <v>30.316809600000003</v>
      </c>
      <c r="AA191" s="10">
        <f t="shared" si="30"/>
        <v>38.978755200000002</v>
      </c>
      <c r="AB191" s="10">
        <f t="shared" si="31"/>
        <v>43.309728</v>
      </c>
      <c r="AC191" s="10">
        <f t="shared" si="32"/>
        <v>64.96459200000001</v>
      </c>
    </row>
    <row r="192" spans="1:29" x14ac:dyDescent="0.25">
      <c r="A192">
        <v>385157</v>
      </c>
      <c r="B192" t="s">
        <v>37</v>
      </c>
      <c r="C192" s="10">
        <v>17.16</v>
      </c>
      <c r="D192" s="10">
        <v>16.170000000000002</v>
      </c>
      <c r="E192" s="10">
        <v>0</v>
      </c>
      <c r="F192">
        <v>105</v>
      </c>
      <c r="G192" t="s">
        <v>19</v>
      </c>
      <c r="H192" s="11">
        <v>45989</v>
      </c>
      <c r="I192" t="s">
        <v>13</v>
      </c>
      <c r="J192" s="12">
        <v>2.75</v>
      </c>
      <c r="K192" s="3">
        <v>88.77</v>
      </c>
      <c r="L192" s="3">
        <f t="shared" si="22"/>
        <v>32.28</v>
      </c>
      <c r="M192" s="13"/>
      <c r="N192">
        <f>_xlfn.XLOOKUP(G192,'Tarievensheet per persoon'!AE:AE,'Tarievensheet per persoon'!AF:AF)</f>
        <v>1.7068000000000001</v>
      </c>
      <c r="O192">
        <f>_xlfn.XLOOKUP(G192,AE:AE,'Tarievensheet per persoon'!AG:AG)</f>
        <v>1.5528</v>
      </c>
      <c r="P192">
        <f>_xlfn.XLOOKUP(G192,AE:AE,'Tarievensheet per persoon'!AH:AH)</f>
        <v>1.3391999999999999</v>
      </c>
      <c r="Q192">
        <f>_xlfn.XLOOKUP(G192,AE:AE,'Tarievensheet per persoon'!AI:AI)</f>
        <v>1.3391999999999999</v>
      </c>
      <c r="R192">
        <v>0</v>
      </c>
      <c r="S192" s="14">
        <v>2.99</v>
      </c>
      <c r="T192" s="10">
        <f t="shared" si="23"/>
        <v>32.278688000000002</v>
      </c>
      <c r="U192" s="10">
        <f t="shared" si="24"/>
        <v>41.071883840000005</v>
      </c>
      <c r="V192" s="10">
        <f t="shared" si="25"/>
        <v>41.604804800000004</v>
      </c>
      <c r="W192" s="10">
        <f t="shared" si="26"/>
        <v>53.595526400000004</v>
      </c>
      <c r="X192" s="10">
        <f t="shared" si="27"/>
        <v>58.924736000000003</v>
      </c>
      <c r="Y192" s="10">
        <f t="shared" si="28"/>
        <v>85.570784000000003</v>
      </c>
      <c r="Z192" s="10">
        <f t="shared" si="29"/>
        <v>30.316809600000003</v>
      </c>
      <c r="AA192" s="10">
        <f t="shared" si="30"/>
        <v>38.978755200000002</v>
      </c>
      <c r="AB192" s="10">
        <f t="shared" si="31"/>
        <v>43.309728</v>
      </c>
      <c r="AC192" s="10">
        <f t="shared" si="32"/>
        <v>64.96459200000001</v>
      </c>
    </row>
    <row r="193" spans="1:29" x14ac:dyDescent="0.25">
      <c r="A193">
        <v>385157</v>
      </c>
      <c r="B193" t="s">
        <v>37</v>
      </c>
      <c r="C193" s="10">
        <v>17.16</v>
      </c>
      <c r="D193" s="10">
        <v>16.170000000000002</v>
      </c>
      <c r="E193" s="10">
        <v>0</v>
      </c>
      <c r="F193">
        <v>105</v>
      </c>
      <c r="G193" t="s">
        <v>19</v>
      </c>
      <c r="H193" s="11">
        <v>45989</v>
      </c>
      <c r="I193" t="s">
        <v>21</v>
      </c>
      <c r="J193" s="12">
        <v>3.5</v>
      </c>
      <c r="K193" s="3">
        <v>143.75</v>
      </c>
      <c r="L193" s="3">
        <f t="shared" si="22"/>
        <v>41.071428571428569</v>
      </c>
      <c r="M193" s="13"/>
      <c r="N193">
        <f>_xlfn.XLOOKUP(G193,'Tarievensheet per persoon'!AE:AE,'Tarievensheet per persoon'!AF:AF)</f>
        <v>1.7068000000000001</v>
      </c>
      <c r="O193">
        <f>_xlfn.XLOOKUP(G193,AE:AE,'Tarievensheet per persoon'!AG:AG)</f>
        <v>1.5528</v>
      </c>
      <c r="P193">
        <f>_xlfn.XLOOKUP(G193,AE:AE,'Tarievensheet per persoon'!AH:AH)</f>
        <v>1.3391999999999999</v>
      </c>
      <c r="Q193">
        <f>_xlfn.XLOOKUP(G193,AE:AE,'Tarievensheet per persoon'!AI:AI)</f>
        <v>1.3391999999999999</v>
      </c>
      <c r="R193">
        <v>0</v>
      </c>
      <c r="S193" s="14">
        <v>2.99</v>
      </c>
      <c r="T193" s="10">
        <f t="shared" si="23"/>
        <v>32.278688000000002</v>
      </c>
      <c r="U193" s="10">
        <f t="shared" si="24"/>
        <v>41.071883840000005</v>
      </c>
      <c r="V193" s="10">
        <f t="shared" si="25"/>
        <v>41.604804800000004</v>
      </c>
      <c r="W193" s="10">
        <f t="shared" si="26"/>
        <v>53.595526400000004</v>
      </c>
      <c r="X193" s="10">
        <f t="shared" si="27"/>
        <v>58.924736000000003</v>
      </c>
      <c r="Y193" s="10">
        <f t="shared" si="28"/>
        <v>85.570784000000003</v>
      </c>
      <c r="Z193" s="10">
        <f t="shared" si="29"/>
        <v>30.316809600000003</v>
      </c>
      <c r="AA193" s="10">
        <f t="shared" si="30"/>
        <v>38.978755200000002</v>
      </c>
      <c r="AB193" s="10">
        <f t="shared" si="31"/>
        <v>43.309728</v>
      </c>
      <c r="AC193" s="10">
        <f t="shared" si="32"/>
        <v>64.96459200000001</v>
      </c>
    </row>
    <row r="194" spans="1:29" x14ac:dyDescent="0.25">
      <c r="A194">
        <v>385246</v>
      </c>
      <c r="B194" t="s">
        <v>38</v>
      </c>
      <c r="C194" s="10">
        <v>15.89</v>
      </c>
      <c r="D194" s="10">
        <v>14.98</v>
      </c>
      <c r="E194" s="10">
        <v>0</v>
      </c>
      <c r="F194">
        <v>65</v>
      </c>
      <c r="G194" t="s">
        <v>19</v>
      </c>
      <c r="H194" s="11">
        <v>45986</v>
      </c>
      <c r="I194" t="s">
        <v>13</v>
      </c>
      <c r="J194" s="12">
        <v>2.25</v>
      </c>
      <c r="K194" s="3">
        <v>67.75</v>
      </c>
      <c r="L194" s="3">
        <f t="shared" si="22"/>
        <v>30.111111111111111</v>
      </c>
      <c r="M194" s="13"/>
      <c r="N194">
        <f>_xlfn.XLOOKUP(G194,'Tarievensheet per persoon'!AE:AE,'Tarievensheet per persoon'!AF:AF)</f>
        <v>1.7068000000000001</v>
      </c>
      <c r="O194">
        <f>_xlfn.XLOOKUP(G194,AE:AE,'Tarievensheet per persoon'!AG:AG)</f>
        <v>1.5528</v>
      </c>
      <c r="P194">
        <f>_xlfn.XLOOKUP(G194,AE:AE,'Tarievensheet per persoon'!AH:AH)</f>
        <v>1.3391999999999999</v>
      </c>
      <c r="Q194">
        <f>_xlfn.XLOOKUP(G194,AE:AE,'Tarievensheet per persoon'!AI:AI)</f>
        <v>1.3391999999999999</v>
      </c>
      <c r="R194">
        <v>0</v>
      </c>
      <c r="S194" s="14">
        <v>2.99</v>
      </c>
      <c r="T194" s="10">
        <f t="shared" si="23"/>
        <v>30.111052000000001</v>
      </c>
      <c r="U194" s="10">
        <f t="shared" si="24"/>
        <v>38.253469360000004</v>
      </c>
      <c r="V194" s="10">
        <f t="shared" si="25"/>
        <v>38.746949200000003</v>
      </c>
      <c r="W194" s="10">
        <f t="shared" si="26"/>
        <v>49.850245600000001</v>
      </c>
      <c r="X194" s="10">
        <f t="shared" si="27"/>
        <v>54.785043999999999</v>
      </c>
      <c r="Y194" s="10">
        <f t="shared" si="28"/>
        <v>79.459035999999998</v>
      </c>
      <c r="Z194" s="10">
        <f t="shared" si="29"/>
        <v>28.085702399999995</v>
      </c>
      <c r="AA194" s="10">
        <f t="shared" si="30"/>
        <v>36.110188800000003</v>
      </c>
      <c r="AB194" s="10">
        <f t="shared" si="31"/>
        <v>40.122431999999996</v>
      </c>
      <c r="AC194" s="10">
        <f t="shared" si="32"/>
        <v>60.183647999999998</v>
      </c>
    </row>
    <row r="195" spans="1:29" x14ac:dyDescent="0.25">
      <c r="A195">
        <v>385246</v>
      </c>
      <c r="B195" t="s">
        <v>38</v>
      </c>
      <c r="C195" s="10">
        <v>15.89</v>
      </c>
      <c r="D195" s="10">
        <v>14.98</v>
      </c>
      <c r="E195" s="10">
        <v>0</v>
      </c>
      <c r="F195">
        <v>65</v>
      </c>
      <c r="G195" t="s">
        <v>19</v>
      </c>
      <c r="H195" s="11">
        <v>45986</v>
      </c>
      <c r="I195" t="s">
        <v>21</v>
      </c>
      <c r="J195" s="12">
        <v>5</v>
      </c>
      <c r="K195" s="3">
        <v>191.25</v>
      </c>
      <c r="L195" s="3">
        <f t="shared" ref="L195:L258" si="33">K195/J195</f>
        <v>38.25</v>
      </c>
      <c r="M195" s="13"/>
      <c r="N195">
        <f>_xlfn.XLOOKUP(G195,'Tarievensheet per persoon'!AE:AE,'Tarievensheet per persoon'!AF:AF)</f>
        <v>1.7068000000000001</v>
      </c>
      <c r="O195">
        <f>_xlfn.XLOOKUP(G195,AE:AE,'Tarievensheet per persoon'!AG:AG)</f>
        <v>1.5528</v>
      </c>
      <c r="P195">
        <f>_xlfn.XLOOKUP(G195,AE:AE,'Tarievensheet per persoon'!AH:AH)</f>
        <v>1.3391999999999999</v>
      </c>
      <c r="Q195">
        <f>_xlfn.XLOOKUP(G195,AE:AE,'Tarievensheet per persoon'!AI:AI)</f>
        <v>1.3391999999999999</v>
      </c>
      <c r="R195">
        <v>0</v>
      </c>
      <c r="S195" s="14">
        <v>2.99</v>
      </c>
      <c r="T195" s="10">
        <f t="shared" ref="T195:T258" si="34">C195*N195+C195*Q195*R195+S195+(E195*O195)</f>
        <v>30.111052000000001</v>
      </c>
      <c r="U195" s="10">
        <f t="shared" ref="U195:U258" si="35">T195+C195*(U$1-1)*O195</f>
        <v>38.253469360000004</v>
      </c>
      <c r="V195" s="10">
        <f t="shared" ref="V195:V258" si="36">T195+C195*(V$1-1)*O195</f>
        <v>38.746949200000003</v>
      </c>
      <c r="W195" s="10">
        <f t="shared" ref="W195:W258" si="37">T195+C195*(W$1-1)*O195</f>
        <v>49.850245600000001</v>
      </c>
      <c r="X195" s="10">
        <f t="shared" ref="X195:X258" si="38">T195+C195*(X$1-1)*O195</f>
        <v>54.785043999999999</v>
      </c>
      <c r="Y195" s="10">
        <f t="shared" ref="Y195:Y258" si="39">T195+C195*(Y$1-1)*O195</f>
        <v>79.459035999999998</v>
      </c>
      <c r="Z195" s="10">
        <f t="shared" ref="Z195:Z258" si="40">D195*Z$1*P195</f>
        <v>28.085702399999995</v>
      </c>
      <c r="AA195" s="10">
        <f t="shared" ref="AA195:AA258" si="41">D195*AA$1*P195</f>
        <v>36.110188800000003</v>
      </c>
      <c r="AB195" s="10">
        <f t="shared" ref="AB195:AB258" si="42">D195*AB$1*P195</f>
        <v>40.122431999999996</v>
      </c>
      <c r="AC195" s="10">
        <f t="shared" ref="AC195:AC258" si="43">D195*AC$1*P195</f>
        <v>60.183647999999998</v>
      </c>
    </row>
    <row r="196" spans="1:29" x14ac:dyDescent="0.25">
      <c r="A196">
        <v>385246</v>
      </c>
      <c r="B196" t="s">
        <v>38</v>
      </c>
      <c r="C196" s="10">
        <v>15.89</v>
      </c>
      <c r="D196" s="10">
        <v>14.98</v>
      </c>
      <c r="E196" s="10">
        <v>0</v>
      </c>
      <c r="F196">
        <v>65</v>
      </c>
      <c r="G196" t="s">
        <v>19</v>
      </c>
      <c r="H196" s="11">
        <v>45987</v>
      </c>
      <c r="I196" t="s">
        <v>13</v>
      </c>
      <c r="J196" s="12">
        <v>2.25</v>
      </c>
      <c r="K196" s="3">
        <v>67.75</v>
      </c>
      <c r="L196" s="3">
        <f t="shared" si="33"/>
        <v>30.111111111111111</v>
      </c>
      <c r="M196" s="13"/>
      <c r="N196">
        <f>_xlfn.XLOOKUP(G196,'Tarievensheet per persoon'!AE:AE,'Tarievensheet per persoon'!AF:AF)</f>
        <v>1.7068000000000001</v>
      </c>
      <c r="O196">
        <f>_xlfn.XLOOKUP(G196,AE:AE,'Tarievensheet per persoon'!AG:AG)</f>
        <v>1.5528</v>
      </c>
      <c r="P196">
        <f>_xlfn.XLOOKUP(G196,AE:AE,'Tarievensheet per persoon'!AH:AH)</f>
        <v>1.3391999999999999</v>
      </c>
      <c r="Q196">
        <f>_xlfn.XLOOKUP(G196,AE:AE,'Tarievensheet per persoon'!AI:AI)</f>
        <v>1.3391999999999999</v>
      </c>
      <c r="R196">
        <v>0</v>
      </c>
      <c r="S196" s="14">
        <v>2.99</v>
      </c>
      <c r="T196" s="10">
        <f t="shared" si="34"/>
        <v>30.111052000000001</v>
      </c>
      <c r="U196" s="10">
        <f t="shared" si="35"/>
        <v>38.253469360000004</v>
      </c>
      <c r="V196" s="10">
        <f t="shared" si="36"/>
        <v>38.746949200000003</v>
      </c>
      <c r="W196" s="10">
        <f t="shared" si="37"/>
        <v>49.850245600000001</v>
      </c>
      <c r="X196" s="10">
        <f t="shared" si="38"/>
        <v>54.785043999999999</v>
      </c>
      <c r="Y196" s="10">
        <f t="shared" si="39"/>
        <v>79.459035999999998</v>
      </c>
      <c r="Z196" s="10">
        <f t="shared" si="40"/>
        <v>28.085702399999995</v>
      </c>
      <c r="AA196" s="10">
        <f t="shared" si="41"/>
        <v>36.110188800000003</v>
      </c>
      <c r="AB196" s="10">
        <f t="shared" si="42"/>
        <v>40.122431999999996</v>
      </c>
      <c r="AC196" s="10">
        <f t="shared" si="43"/>
        <v>60.183647999999998</v>
      </c>
    </row>
    <row r="197" spans="1:29" x14ac:dyDescent="0.25">
      <c r="A197">
        <v>385246</v>
      </c>
      <c r="B197" t="s">
        <v>38</v>
      </c>
      <c r="C197" s="10">
        <v>15.89</v>
      </c>
      <c r="D197" s="10">
        <v>14.98</v>
      </c>
      <c r="E197" s="10">
        <v>0</v>
      </c>
      <c r="F197">
        <v>65</v>
      </c>
      <c r="G197" t="s">
        <v>19</v>
      </c>
      <c r="H197" s="11">
        <v>45987</v>
      </c>
      <c r="I197" t="s">
        <v>21</v>
      </c>
      <c r="J197" s="12">
        <v>5</v>
      </c>
      <c r="K197" s="3">
        <v>191.25</v>
      </c>
      <c r="L197" s="3">
        <f t="shared" si="33"/>
        <v>38.25</v>
      </c>
      <c r="M197" s="13"/>
      <c r="N197">
        <f>_xlfn.XLOOKUP(G197,'Tarievensheet per persoon'!AE:AE,'Tarievensheet per persoon'!AF:AF)</f>
        <v>1.7068000000000001</v>
      </c>
      <c r="O197">
        <f>_xlfn.XLOOKUP(G197,AE:AE,'Tarievensheet per persoon'!AG:AG)</f>
        <v>1.5528</v>
      </c>
      <c r="P197">
        <f>_xlfn.XLOOKUP(G197,AE:AE,'Tarievensheet per persoon'!AH:AH)</f>
        <v>1.3391999999999999</v>
      </c>
      <c r="Q197">
        <f>_xlfn.XLOOKUP(G197,AE:AE,'Tarievensheet per persoon'!AI:AI)</f>
        <v>1.3391999999999999</v>
      </c>
      <c r="R197">
        <v>0</v>
      </c>
      <c r="S197" s="14">
        <v>2.99</v>
      </c>
      <c r="T197" s="10">
        <f t="shared" si="34"/>
        <v>30.111052000000001</v>
      </c>
      <c r="U197" s="10">
        <f t="shared" si="35"/>
        <v>38.253469360000004</v>
      </c>
      <c r="V197" s="10">
        <f t="shared" si="36"/>
        <v>38.746949200000003</v>
      </c>
      <c r="W197" s="10">
        <f t="shared" si="37"/>
        <v>49.850245600000001</v>
      </c>
      <c r="X197" s="10">
        <f t="shared" si="38"/>
        <v>54.785043999999999</v>
      </c>
      <c r="Y197" s="10">
        <f t="shared" si="39"/>
        <v>79.459035999999998</v>
      </c>
      <c r="Z197" s="10">
        <f t="shared" si="40"/>
        <v>28.085702399999995</v>
      </c>
      <c r="AA197" s="10">
        <f t="shared" si="41"/>
        <v>36.110188800000003</v>
      </c>
      <c r="AB197" s="10">
        <f t="shared" si="42"/>
        <v>40.122431999999996</v>
      </c>
      <c r="AC197" s="10">
        <f t="shared" si="43"/>
        <v>60.183647999999998</v>
      </c>
    </row>
    <row r="198" spans="1:29" x14ac:dyDescent="0.25">
      <c r="A198">
        <v>385246</v>
      </c>
      <c r="B198" t="s">
        <v>38</v>
      </c>
      <c r="C198" s="10">
        <v>15.89</v>
      </c>
      <c r="D198" s="10">
        <v>14.98</v>
      </c>
      <c r="E198" s="10">
        <v>0</v>
      </c>
      <c r="F198">
        <v>65</v>
      </c>
      <c r="G198" t="s">
        <v>19</v>
      </c>
      <c r="H198" s="11">
        <v>45988</v>
      </c>
      <c r="I198" t="s">
        <v>13</v>
      </c>
      <c r="J198" s="12">
        <v>2.25</v>
      </c>
      <c r="K198" s="3">
        <v>67.75</v>
      </c>
      <c r="L198" s="3">
        <f t="shared" si="33"/>
        <v>30.111111111111111</v>
      </c>
      <c r="M198" s="13"/>
      <c r="N198">
        <f>_xlfn.XLOOKUP(G198,'Tarievensheet per persoon'!AE:AE,'Tarievensheet per persoon'!AF:AF)</f>
        <v>1.7068000000000001</v>
      </c>
      <c r="O198">
        <f>_xlfn.XLOOKUP(G198,AE:AE,'Tarievensheet per persoon'!AG:AG)</f>
        <v>1.5528</v>
      </c>
      <c r="P198">
        <f>_xlfn.XLOOKUP(G198,AE:AE,'Tarievensheet per persoon'!AH:AH)</f>
        <v>1.3391999999999999</v>
      </c>
      <c r="Q198">
        <f>_xlfn.XLOOKUP(G198,AE:AE,'Tarievensheet per persoon'!AI:AI)</f>
        <v>1.3391999999999999</v>
      </c>
      <c r="R198">
        <v>0</v>
      </c>
      <c r="S198" s="14">
        <v>2.99</v>
      </c>
      <c r="T198" s="10">
        <f t="shared" si="34"/>
        <v>30.111052000000001</v>
      </c>
      <c r="U198" s="10">
        <f t="shared" si="35"/>
        <v>38.253469360000004</v>
      </c>
      <c r="V198" s="10">
        <f t="shared" si="36"/>
        <v>38.746949200000003</v>
      </c>
      <c r="W198" s="10">
        <f t="shared" si="37"/>
        <v>49.850245600000001</v>
      </c>
      <c r="X198" s="10">
        <f t="shared" si="38"/>
        <v>54.785043999999999</v>
      </c>
      <c r="Y198" s="10">
        <f t="shared" si="39"/>
        <v>79.459035999999998</v>
      </c>
      <c r="Z198" s="10">
        <f t="shared" si="40"/>
        <v>28.085702399999995</v>
      </c>
      <c r="AA198" s="10">
        <f t="shared" si="41"/>
        <v>36.110188800000003</v>
      </c>
      <c r="AB198" s="10">
        <f t="shared" si="42"/>
        <v>40.122431999999996</v>
      </c>
      <c r="AC198" s="10">
        <f t="shared" si="43"/>
        <v>60.183647999999998</v>
      </c>
    </row>
    <row r="199" spans="1:29" x14ac:dyDescent="0.25">
      <c r="A199">
        <v>385246</v>
      </c>
      <c r="B199" t="s">
        <v>38</v>
      </c>
      <c r="C199" s="10">
        <v>15.89</v>
      </c>
      <c r="D199" s="10">
        <v>14.98</v>
      </c>
      <c r="E199" s="10">
        <v>0</v>
      </c>
      <c r="F199">
        <v>65</v>
      </c>
      <c r="G199" t="s">
        <v>19</v>
      </c>
      <c r="H199" s="11">
        <v>45988</v>
      </c>
      <c r="I199" t="s">
        <v>21</v>
      </c>
      <c r="J199" s="12">
        <v>5.25</v>
      </c>
      <c r="K199" s="3">
        <v>200.81</v>
      </c>
      <c r="L199" s="3">
        <f t="shared" si="33"/>
        <v>38.249523809523808</v>
      </c>
      <c r="M199" s="13"/>
      <c r="N199">
        <f>_xlfn.XLOOKUP(G199,'Tarievensheet per persoon'!AE:AE,'Tarievensheet per persoon'!AF:AF)</f>
        <v>1.7068000000000001</v>
      </c>
      <c r="O199">
        <f>_xlfn.XLOOKUP(G199,AE:AE,'Tarievensheet per persoon'!AG:AG)</f>
        <v>1.5528</v>
      </c>
      <c r="P199">
        <f>_xlfn.XLOOKUP(G199,AE:AE,'Tarievensheet per persoon'!AH:AH)</f>
        <v>1.3391999999999999</v>
      </c>
      <c r="Q199">
        <f>_xlfn.XLOOKUP(G199,AE:AE,'Tarievensheet per persoon'!AI:AI)</f>
        <v>1.3391999999999999</v>
      </c>
      <c r="R199">
        <v>0</v>
      </c>
      <c r="S199" s="14">
        <v>2.99</v>
      </c>
      <c r="T199" s="10">
        <f t="shared" si="34"/>
        <v>30.111052000000001</v>
      </c>
      <c r="U199" s="10">
        <f t="shared" si="35"/>
        <v>38.253469360000004</v>
      </c>
      <c r="V199" s="10">
        <f t="shared" si="36"/>
        <v>38.746949200000003</v>
      </c>
      <c r="W199" s="10">
        <f t="shared" si="37"/>
        <v>49.850245600000001</v>
      </c>
      <c r="X199" s="10">
        <f t="shared" si="38"/>
        <v>54.785043999999999</v>
      </c>
      <c r="Y199" s="10">
        <f t="shared" si="39"/>
        <v>79.459035999999998</v>
      </c>
      <c r="Z199" s="10">
        <f t="shared" si="40"/>
        <v>28.085702399999995</v>
      </c>
      <c r="AA199" s="10">
        <f t="shared" si="41"/>
        <v>36.110188800000003</v>
      </c>
      <c r="AB199" s="10">
        <f t="shared" si="42"/>
        <v>40.122431999999996</v>
      </c>
      <c r="AC199" s="10">
        <f t="shared" si="43"/>
        <v>60.183647999999998</v>
      </c>
    </row>
    <row r="200" spans="1:29" x14ac:dyDescent="0.25">
      <c r="A200">
        <v>385246</v>
      </c>
      <c r="B200" t="s">
        <v>38</v>
      </c>
      <c r="C200" s="10">
        <v>15.89</v>
      </c>
      <c r="D200" s="10">
        <v>14.98</v>
      </c>
      <c r="E200" s="10">
        <v>0</v>
      </c>
      <c r="F200">
        <v>65</v>
      </c>
      <c r="G200" t="s">
        <v>19</v>
      </c>
      <c r="H200" s="11">
        <v>45989</v>
      </c>
      <c r="I200" t="s">
        <v>13</v>
      </c>
      <c r="J200" s="12">
        <v>2.25</v>
      </c>
      <c r="K200" s="3">
        <v>67.75</v>
      </c>
      <c r="L200" s="3">
        <f t="shared" si="33"/>
        <v>30.111111111111111</v>
      </c>
      <c r="M200" s="13"/>
      <c r="N200">
        <f>_xlfn.XLOOKUP(G200,'Tarievensheet per persoon'!AE:AE,'Tarievensheet per persoon'!AF:AF)</f>
        <v>1.7068000000000001</v>
      </c>
      <c r="O200">
        <f>_xlfn.XLOOKUP(G200,AE:AE,'Tarievensheet per persoon'!AG:AG)</f>
        <v>1.5528</v>
      </c>
      <c r="P200">
        <f>_xlfn.XLOOKUP(G200,AE:AE,'Tarievensheet per persoon'!AH:AH)</f>
        <v>1.3391999999999999</v>
      </c>
      <c r="Q200">
        <f>_xlfn.XLOOKUP(G200,AE:AE,'Tarievensheet per persoon'!AI:AI)</f>
        <v>1.3391999999999999</v>
      </c>
      <c r="R200">
        <v>0</v>
      </c>
      <c r="S200" s="14">
        <v>2.99</v>
      </c>
      <c r="T200" s="10">
        <f t="shared" si="34"/>
        <v>30.111052000000001</v>
      </c>
      <c r="U200" s="10">
        <f t="shared" si="35"/>
        <v>38.253469360000004</v>
      </c>
      <c r="V200" s="10">
        <f t="shared" si="36"/>
        <v>38.746949200000003</v>
      </c>
      <c r="W200" s="10">
        <f t="shared" si="37"/>
        <v>49.850245600000001</v>
      </c>
      <c r="X200" s="10">
        <f t="shared" si="38"/>
        <v>54.785043999999999</v>
      </c>
      <c r="Y200" s="10">
        <f t="shared" si="39"/>
        <v>79.459035999999998</v>
      </c>
      <c r="Z200" s="10">
        <f t="shared" si="40"/>
        <v>28.085702399999995</v>
      </c>
      <c r="AA200" s="10">
        <f t="shared" si="41"/>
        <v>36.110188800000003</v>
      </c>
      <c r="AB200" s="10">
        <f t="shared" si="42"/>
        <v>40.122431999999996</v>
      </c>
      <c r="AC200" s="10">
        <f t="shared" si="43"/>
        <v>60.183647999999998</v>
      </c>
    </row>
    <row r="201" spans="1:29" x14ac:dyDescent="0.25">
      <c r="A201">
        <v>385246</v>
      </c>
      <c r="B201" t="s">
        <v>38</v>
      </c>
      <c r="C201" s="10">
        <v>15.89</v>
      </c>
      <c r="D201" s="10">
        <v>14.98</v>
      </c>
      <c r="E201" s="10">
        <v>0</v>
      </c>
      <c r="F201">
        <v>65</v>
      </c>
      <c r="G201" t="s">
        <v>19</v>
      </c>
      <c r="H201" s="11">
        <v>45989</v>
      </c>
      <c r="I201" t="s">
        <v>21</v>
      </c>
      <c r="J201" s="12">
        <v>4</v>
      </c>
      <c r="K201" s="3">
        <v>153</v>
      </c>
      <c r="L201" s="3">
        <f t="shared" si="33"/>
        <v>38.25</v>
      </c>
      <c r="M201" s="13"/>
      <c r="N201">
        <f>_xlfn.XLOOKUP(G201,'Tarievensheet per persoon'!AE:AE,'Tarievensheet per persoon'!AF:AF)</f>
        <v>1.7068000000000001</v>
      </c>
      <c r="O201">
        <f>_xlfn.XLOOKUP(G201,AE:AE,'Tarievensheet per persoon'!AG:AG)</f>
        <v>1.5528</v>
      </c>
      <c r="P201">
        <f>_xlfn.XLOOKUP(G201,AE:AE,'Tarievensheet per persoon'!AH:AH)</f>
        <v>1.3391999999999999</v>
      </c>
      <c r="Q201">
        <f>_xlfn.XLOOKUP(G201,AE:AE,'Tarievensheet per persoon'!AI:AI)</f>
        <v>1.3391999999999999</v>
      </c>
      <c r="R201">
        <v>0</v>
      </c>
      <c r="S201" s="14">
        <v>2.99</v>
      </c>
      <c r="T201" s="10">
        <f t="shared" si="34"/>
        <v>30.111052000000001</v>
      </c>
      <c r="U201" s="10">
        <f t="shared" si="35"/>
        <v>38.253469360000004</v>
      </c>
      <c r="V201" s="10">
        <f t="shared" si="36"/>
        <v>38.746949200000003</v>
      </c>
      <c r="W201" s="10">
        <f t="shared" si="37"/>
        <v>49.850245600000001</v>
      </c>
      <c r="X201" s="10">
        <f t="shared" si="38"/>
        <v>54.785043999999999</v>
      </c>
      <c r="Y201" s="10">
        <f t="shared" si="39"/>
        <v>79.459035999999998</v>
      </c>
      <c r="Z201" s="10">
        <f t="shared" si="40"/>
        <v>28.085702399999995</v>
      </c>
      <c r="AA201" s="10">
        <f t="shared" si="41"/>
        <v>36.110188800000003</v>
      </c>
      <c r="AB201" s="10">
        <f t="shared" si="42"/>
        <v>40.122431999999996</v>
      </c>
      <c r="AC201" s="10">
        <f t="shared" si="43"/>
        <v>60.183647999999998</v>
      </c>
    </row>
    <row r="202" spans="1:29" x14ac:dyDescent="0.25">
      <c r="A202">
        <v>386399</v>
      </c>
      <c r="B202" t="s">
        <v>143</v>
      </c>
      <c r="C202" s="10">
        <v>16.98</v>
      </c>
      <c r="D202" s="10">
        <v>16</v>
      </c>
      <c r="E202" s="10">
        <v>0</v>
      </c>
      <c r="F202">
        <v>114</v>
      </c>
      <c r="G202" t="s">
        <v>19</v>
      </c>
      <c r="H202" s="11">
        <v>45985</v>
      </c>
      <c r="I202" t="s">
        <v>13</v>
      </c>
      <c r="J202" s="12">
        <v>6.5</v>
      </c>
      <c r="K202" s="3">
        <v>207.81</v>
      </c>
      <c r="L202" s="3">
        <f t="shared" si="33"/>
        <v>31.970769230769232</v>
      </c>
      <c r="M202" s="13"/>
      <c r="N202">
        <f>_xlfn.XLOOKUP(G202,'Tarievensheet per persoon'!AE:AE,'Tarievensheet per persoon'!AF:AF)</f>
        <v>1.7068000000000001</v>
      </c>
      <c r="O202">
        <f>_xlfn.XLOOKUP(G202,AE:AE,'Tarievensheet per persoon'!AG:AG)</f>
        <v>1.5528</v>
      </c>
      <c r="P202">
        <f>_xlfn.XLOOKUP(G202,AE:AE,'Tarievensheet per persoon'!AH:AH)</f>
        <v>1.3391999999999999</v>
      </c>
      <c r="Q202">
        <f>_xlfn.XLOOKUP(G202,AE:AE,'Tarievensheet per persoon'!AI:AI)</f>
        <v>1.3391999999999999</v>
      </c>
      <c r="R202">
        <v>0</v>
      </c>
      <c r="S202" s="14">
        <v>2.99</v>
      </c>
      <c r="T202" s="10">
        <f t="shared" si="34"/>
        <v>31.971464000000005</v>
      </c>
      <c r="U202" s="10">
        <f t="shared" si="35"/>
        <v>40.672423520000009</v>
      </c>
      <c r="V202" s="10">
        <f t="shared" si="36"/>
        <v>41.199754400000003</v>
      </c>
      <c r="W202" s="10">
        <f t="shared" si="37"/>
        <v>53.064699200000007</v>
      </c>
      <c r="X202" s="10">
        <f t="shared" si="38"/>
        <v>58.338008000000002</v>
      </c>
      <c r="Y202" s="10">
        <f t="shared" si="39"/>
        <v>84.704552000000007</v>
      </c>
      <c r="Z202" s="10">
        <f t="shared" si="40"/>
        <v>29.998079999999998</v>
      </c>
      <c r="AA202" s="10">
        <f t="shared" si="41"/>
        <v>38.568959999999997</v>
      </c>
      <c r="AB202" s="10">
        <f t="shared" si="42"/>
        <v>42.854399999999998</v>
      </c>
      <c r="AC202" s="10">
        <f t="shared" si="43"/>
        <v>64.281599999999997</v>
      </c>
    </row>
    <row r="203" spans="1:29" x14ac:dyDescent="0.25">
      <c r="A203">
        <v>386399</v>
      </c>
      <c r="B203" t="s">
        <v>143</v>
      </c>
      <c r="C203" s="10">
        <v>16.98</v>
      </c>
      <c r="D203" s="10">
        <v>16</v>
      </c>
      <c r="E203" s="10">
        <v>0</v>
      </c>
      <c r="F203">
        <v>114</v>
      </c>
      <c r="G203" t="s">
        <v>19</v>
      </c>
      <c r="H203" s="11">
        <v>45985</v>
      </c>
      <c r="I203" t="s">
        <v>22</v>
      </c>
      <c r="J203" s="12">
        <v>1.5</v>
      </c>
      <c r="K203" s="3">
        <v>61.8</v>
      </c>
      <c r="L203" s="3">
        <f t="shared" si="33"/>
        <v>41.199999999999996</v>
      </c>
      <c r="M203" s="13"/>
      <c r="N203">
        <f>_xlfn.XLOOKUP(G203,'Tarievensheet per persoon'!AE:AE,'Tarievensheet per persoon'!AF:AF)</f>
        <v>1.7068000000000001</v>
      </c>
      <c r="O203">
        <f>_xlfn.XLOOKUP(G203,AE:AE,'Tarievensheet per persoon'!AG:AG)</f>
        <v>1.5528</v>
      </c>
      <c r="P203">
        <f>_xlfn.XLOOKUP(G203,AE:AE,'Tarievensheet per persoon'!AH:AH)</f>
        <v>1.3391999999999999</v>
      </c>
      <c r="Q203">
        <f>_xlfn.XLOOKUP(G203,AE:AE,'Tarievensheet per persoon'!AI:AI)</f>
        <v>1.3391999999999999</v>
      </c>
      <c r="R203">
        <v>0</v>
      </c>
      <c r="S203" s="14">
        <v>2.99</v>
      </c>
      <c r="T203" s="10">
        <f t="shared" si="34"/>
        <v>31.971464000000005</v>
      </c>
      <c r="U203" s="10">
        <f t="shared" si="35"/>
        <v>40.672423520000009</v>
      </c>
      <c r="V203" s="10">
        <f t="shared" si="36"/>
        <v>41.199754400000003</v>
      </c>
      <c r="W203" s="10">
        <f t="shared" si="37"/>
        <v>53.064699200000007</v>
      </c>
      <c r="X203" s="10">
        <f t="shared" si="38"/>
        <v>58.338008000000002</v>
      </c>
      <c r="Y203" s="10">
        <f t="shared" si="39"/>
        <v>84.704552000000007</v>
      </c>
      <c r="Z203" s="10">
        <f t="shared" si="40"/>
        <v>29.998079999999998</v>
      </c>
      <c r="AA203" s="10">
        <f t="shared" si="41"/>
        <v>38.568959999999997</v>
      </c>
      <c r="AB203" s="10">
        <f t="shared" si="42"/>
        <v>42.854399999999998</v>
      </c>
      <c r="AC203" s="10">
        <f t="shared" si="43"/>
        <v>64.281599999999997</v>
      </c>
    </row>
    <row r="204" spans="1:29" x14ac:dyDescent="0.25">
      <c r="A204">
        <v>386399</v>
      </c>
      <c r="B204" t="s">
        <v>143</v>
      </c>
      <c r="C204" s="10">
        <v>16.98</v>
      </c>
      <c r="D204" s="10">
        <v>16</v>
      </c>
      <c r="E204" s="10">
        <v>0</v>
      </c>
      <c r="F204">
        <v>114</v>
      </c>
      <c r="G204" t="s">
        <v>19</v>
      </c>
      <c r="H204" s="11">
        <v>45986</v>
      </c>
      <c r="I204" t="s">
        <v>13</v>
      </c>
      <c r="J204" s="12">
        <v>6.5</v>
      </c>
      <c r="K204" s="3">
        <v>207.81</v>
      </c>
      <c r="L204" s="3">
        <f t="shared" si="33"/>
        <v>31.970769230769232</v>
      </c>
      <c r="M204" s="13"/>
      <c r="N204">
        <f>_xlfn.XLOOKUP(G204,'Tarievensheet per persoon'!AE:AE,'Tarievensheet per persoon'!AF:AF)</f>
        <v>1.7068000000000001</v>
      </c>
      <c r="O204">
        <f>_xlfn.XLOOKUP(G204,AE:AE,'Tarievensheet per persoon'!AG:AG)</f>
        <v>1.5528</v>
      </c>
      <c r="P204">
        <f>_xlfn.XLOOKUP(G204,AE:AE,'Tarievensheet per persoon'!AH:AH)</f>
        <v>1.3391999999999999</v>
      </c>
      <c r="Q204">
        <f>_xlfn.XLOOKUP(G204,AE:AE,'Tarievensheet per persoon'!AI:AI)</f>
        <v>1.3391999999999999</v>
      </c>
      <c r="R204">
        <v>0</v>
      </c>
      <c r="S204" s="14">
        <v>2.99</v>
      </c>
      <c r="T204" s="10">
        <f t="shared" si="34"/>
        <v>31.971464000000005</v>
      </c>
      <c r="U204" s="10">
        <f t="shared" si="35"/>
        <v>40.672423520000009</v>
      </c>
      <c r="V204" s="10">
        <f t="shared" si="36"/>
        <v>41.199754400000003</v>
      </c>
      <c r="W204" s="10">
        <f t="shared" si="37"/>
        <v>53.064699200000007</v>
      </c>
      <c r="X204" s="10">
        <f t="shared" si="38"/>
        <v>58.338008000000002</v>
      </c>
      <c r="Y204" s="10">
        <f t="shared" si="39"/>
        <v>84.704552000000007</v>
      </c>
      <c r="Z204" s="10">
        <f t="shared" si="40"/>
        <v>29.998079999999998</v>
      </c>
      <c r="AA204" s="10">
        <f t="shared" si="41"/>
        <v>38.568959999999997</v>
      </c>
      <c r="AB204" s="10">
        <f t="shared" si="42"/>
        <v>42.854399999999998</v>
      </c>
      <c r="AC204" s="10">
        <f t="shared" si="43"/>
        <v>64.281599999999997</v>
      </c>
    </row>
    <row r="205" spans="1:29" x14ac:dyDescent="0.25">
      <c r="A205">
        <v>386399</v>
      </c>
      <c r="B205" t="s">
        <v>143</v>
      </c>
      <c r="C205" s="10">
        <v>16.98</v>
      </c>
      <c r="D205" s="10">
        <v>16</v>
      </c>
      <c r="E205" s="10">
        <v>0</v>
      </c>
      <c r="F205">
        <v>114</v>
      </c>
      <c r="G205" t="s">
        <v>19</v>
      </c>
      <c r="H205" s="11">
        <v>45986</v>
      </c>
      <c r="I205" t="s">
        <v>22</v>
      </c>
      <c r="J205" s="12">
        <v>1.5</v>
      </c>
      <c r="K205" s="3">
        <v>61.8</v>
      </c>
      <c r="L205" s="3">
        <f t="shared" si="33"/>
        <v>41.199999999999996</v>
      </c>
      <c r="M205" s="13"/>
      <c r="N205">
        <f>_xlfn.XLOOKUP(G205,'Tarievensheet per persoon'!AE:AE,'Tarievensheet per persoon'!AF:AF)</f>
        <v>1.7068000000000001</v>
      </c>
      <c r="O205">
        <f>_xlfn.XLOOKUP(G205,AE:AE,'Tarievensheet per persoon'!AG:AG)</f>
        <v>1.5528</v>
      </c>
      <c r="P205">
        <f>_xlfn.XLOOKUP(G205,AE:AE,'Tarievensheet per persoon'!AH:AH)</f>
        <v>1.3391999999999999</v>
      </c>
      <c r="Q205">
        <f>_xlfn.XLOOKUP(G205,AE:AE,'Tarievensheet per persoon'!AI:AI)</f>
        <v>1.3391999999999999</v>
      </c>
      <c r="R205">
        <v>0</v>
      </c>
      <c r="S205" s="14">
        <v>2.99</v>
      </c>
      <c r="T205" s="10">
        <f t="shared" si="34"/>
        <v>31.971464000000005</v>
      </c>
      <c r="U205" s="10">
        <f t="shared" si="35"/>
        <v>40.672423520000009</v>
      </c>
      <c r="V205" s="10">
        <f t="shared" si="36"/>
        <v>41.199754400000003</v>
      </c>
      <c r="W205" s="10">
        <f t="shared" si="37"/>
        <v>53.064699200000007</v>
      </c>
      <c r="X205" s="10">
        <f t="shared" si="38"/>
        <v>58.338008000000002</v>
      </c>
      <c r="Y205" s="10">
        <f t="shared" si="39"/>
        <v>84.704552000000007</v>
      </c>
      <c r="Z205" s="10">
        <f t="shared" si="40"/>
        <v>29.998079999999998</v>
      </c>
      <c r="AA205" s="10">
        <f t="shared" si="41"/>
        <v>38.568959999999997</v>
      </c>
      <c r="AB205" s="10">
        <f t="shared" si="42"/>
        <v>42.854399999999998</v>
      </c>
      <c r="AC205" s="10">
        <f t="shared" si="43"/>
        <v>64.281599999999997</v>
      </c>
    </row>
    <row r="206" spans="1:29" x14ac:dyDescent="0.25">
      <c r="A206">
        <v>386399</v>
      </c>
      <c r="B206" t="s">
        <v>143</v>
      </c>
      <c r="C206" s="10">
        <v>16.98</v>
      </c>
      <c r="D206" s="10">
        <v>16</v>
      </c>
      <c r="E206" s="10">
        <v>0</v>
      </c>
      <c r="F206">
        <v>114</v>
      </c>
      <c r="G206" t="s">
        <v>19</v>
      </c>
      <c r="H206" s="11">
        <v>45987</v>
      </c>
      <c r="I206" t="s">
        <v>13</v>
      </c>
      <c r="J206" s="12">
        <v>6.25</v>
      </c>
      <c r="K206" s="3">
        <v>199.81</v>
      </c>
      <c r="L206" s="3">
        <f t="shared" si="33"/>
        <v>31.9696</v>
      </c>
      <c r="M206" s="13"/>
      <c r="N206">
        <f>_xlfn.XLOOKUP(G206,'Tarievensheet per persoon'!AE:AE,'Tarievensheet per persoon'!AF:AF)</f>
        <v>1.7068000000000001</v>
      </c>
      <c r="O206">
        <f>_xlfn.XLOOKUP(G206,AE:AE,'Tarievensheet per persoon'!AG:AG)</f>
        <v>1.5528</v>
      </c>
      <c r="P206">
        <f>_xlfn.XLOOKUP(G206,AE:AE,'Tarievensheet per persoon'!AH:AH)</f>
        <v>1.3391999999999999</v>
      </c>
      <c r="Q206">
        <f>_xlfn.XLOOKUP(G206,AE:AE,'Tarievensheet per persoon'!AI:AI)</f>
        <v>1.3391999999999999</v>
      </c>
      <c r="R206">
        <v>0</v>
      </c>
      <c r="S206" s="14">
        <v>2.99</v>
      </c>
      <c r="T206" s="10">
        <f t="shared" si="34"/>
        <v>31.971464000000005</v>
      </c>
      <c r="U206" s="10">
        <f t="shared" si="35"/>
        <v>40.672423520000009</v>
      </c>
      <c r="V206" s="10">
        <f t="shared" si="36"/>
        <v>41.199754400000003</v>
      </c>
      <c r="W206" s="10">
        <f t="shared" si="37"/>
        <v>53.064699200000007</v>
      </c>
      <c r="X206" s="10">
        <f t="shared" si="38"/>
        <v>58.338008000000002</v>
      </c>
      <c r="Y206" s="10">
        <f t="shared" si="39"/>
        <v>84.704552000000007</v>
      </c>
      <c r="Z206" s="10">
        <f t="shared" si="40"/>
        <v>29.998079999999998</v>
      </c>
      <c r="AA206" s="10">
        <f t="shared" si="41"/>
        <v>38.568959999999997</v>
      </c>
      <c r="AB206" s="10">
        <f t="shared" si="42"/>
        <v>42.854399999999998</v>
      </c>
      <c r="AC206" s="10">
        <f t="shared" si="43"/>
        <v>64.281599999999997</v>
      </c>
    </row>
    <row r="207" spans="1:29" x14ac:dyDescent="0.25">
      <c r="A207">
        <v>386399</v>
      </c>
      <c r="B207" t="s">
        <v>143</v>
      </c>
      <c r="C207" s="10">
        <v>16.98</v>
      </c>
      <c r="D207" s="10">
        <v>16</v>
      </c>
      <c r="E207" s="10">
        <v>0</v>
      </c>
      <c r="F207">
        <v>114</v>
      </c>
      <c r="G207" t="s">
        <v>19</v>
      </c>
      <c r="H207" s="11">
        <v>45987</v>
      </c>
      <c r="I207" t="s">
        <v>23</v>
      </c>
      <c r="J207" s="12">
        <v>0.5</v>
      </c>
      <c r="K207" s="3">
        <v>15</v>
      </c>
      <c r="L207" s="3">
        <f t="shared" si="33"/>
        <v>30</v>
      </c>
      <c r="M207" s="13"/>
      <c r="N207">
        <f>_xlfn.XLOOKUP(G207,'Tarievensheet per persoon'!AE:AE,'Tarievensheet per persoon'!AF:AF)</f>
        <v>1.7068000000000001</v>
      </c>
      <c r="O207">
        <f>_xlfn.XLOOKUP(G207,AE:AE,'Tarievensheet per persoon'!AG:AG)</f>
        <v>1.5528</v>
      </c>
      <c r="P207">
        <f>_xlfn.XLOOKUP(G207,AE:AE,'Tarievensheet per persoon'!AH:AH)</f>
        <v>1.3391999999999999</v>
      </c>
      <c r="Q207">
        <f>_xlfn.XLOOKUP(G207,AE:AE,'Tarievensheet per persoon'!AI:AI)</f>
        <v>1.3391999999999999</v>
      </c>
      <c r="R207">
        <v>0</v>
      </c>
      <c r="S207" s="14">
        <v>2.99</v>
      </c>
      <c r="T207" s="10">
        <f t="shared" si="34"/>
        <v>31.971464000000005</v>
      </c>
      <c r="U207" s="10">
        <f t="shared" si="35"/>
        <v>40.672423520000009</v>
      </c>
      <c r="V207" s="10">
        <f t="shared" si="36"/>
        <v>41.199754400000003</v>
      </c>
      <c r="W207" s="10">
        <f t="shared" si="37"/>
        <v>53.064699200000007</v>
      </c>
      <c r="X207" s="10">
        <f t="shared" si="38"/>
        <v>58.338008000000002</v>
      </c>
      <c r="Y207" s="10">
        <f t="shared" si="39"/>
        <v>84.704552000000007</v>
      </c>
      <c r="Z207" s="10">
        <f t="shared" si="40"/>
        <v>29.998079999999998</v>
      </c>
      <c r="AA207" s="10">
        <f t="shared" si="41"/>
        <v>38.568959999999997</v>
      </c>
      <c r="AB207" s="10">
        <f t="shared" si="42"/>
        <v>42.854399999999998</v>
      </c>
      <c r="AC207" s="10">
        <f t="shared" si="43"/>
        <v>64.281599999999997</v>
      </c>
    </row>
    <row r="208" spans="1:29" x14ac:dyDescent="0.25">
      <c r="A208">
        <v>386399</v>
      </c>
      <c r="B208" t="s">
        <v>143</v>
      </c>
      <c r="C208" s="10">
        <v>16.98</v>
      </c>
      <c r="D208" s="10">
        <v>16</v>
      </c>
      <c r="E208" s="10">
        <v>0</v>
      </c>
      <c r="F208">
        <v>114</v>
      </c>
      <c r="G208" t="s">
        <v>19</v>
      </c>
      <c r="H208" s="11">
        <v>45987</v>
      </c>
      <c r="I208" t="s">
        <v>22</v>
      </c>
      <c r="J208" s="12">
        <v>1.5</v>
      </c>
      <c r="K208" s="3">
        <v>61.8</v>
      </c>
      <c r="L208" s="3">
        <f t="shared" si="33"/>
        <v>41.199999999999996</v>
      </c>
      <c r="M208" s="13"/>
      <c r="N208">
        <f>_xlfn.XLOOKUP(G208,'Tarievensheet per persoon'!AE:AE,'Tarievensheet per persoon'!AF:AF)</f>
        <v>1.7068000000000001</v>
      </c>
      <c r="O208">
        <f>_xlfn.XLOOKUP(G208,AE:AE,'Tarievensheet per persoon'!AG:AG)</f>
        <v>1.5528</v>
      </c>
      <c r="P208">
        <f>_xlfn.XLOOKUP(G208,AE:AE,'Tarievensheet per persoon'!AH:AH)</f>
        <v>1.3391999999999999</v>
      </c>
      <c r="Q208">
        <f>_xlfn.XLOOKUP(G208,AE:AE,'Tarievensheet per persoon'!AI:AI)</f>
        <v>1.3391999999999999</v>
      </c>
      <c r="R208">
        <v>0</v>
      </c>
      <c r="S208" s="14">
        <v>2.99</v>
      </c>
      <c r="T208" s="10">
        <f t="shared" si="34"/>
        <v>31.971464000000005</v>
      </c>
      <c r="U208" s="10">
        <f t="shared" si="35"/>
        <v>40.672423520000009</v>
      </c>
      <c r="V208" s="10">
        <f t="shared" si="36"/>
        <v>41.199754400000003</v>
      </c>
      <c r="W208" s="10">
        <f t="shared" si="37"/>
        <v>53.064699200000007</v>
      </c>
      <c r="X208" s="10">
        <f t="shared" si="38"/>
        <v>58.338008000000002</v>
      </c>
      <c r="Y208" s="10">
        <f t="shared" si="39"/>
        <v>84.704552000000007</v>
      </c>
      <c r="Z208" s="10">
        <f t="shared" si="40"/>
        <v>29.998079999999998</v>
      </c>
      <c r="AA208" s="10">
        <f t="shared" si="41"/>
        <v>38.568959999999997</v>
      </c>
      <c r="AB208" s="10">
        <f t="shared" si="42"/>
        <v>42.854399999999998</v>
      </c>
      <c r="AC208" s="10">
        <f t="shared" si="43"/>
        <v>64.281599999999997</v>
      </c>
    </row>
    <row r="209" spans="1:29" x14ac:dyDescent="0.25">
      <c r="A209">
        <v>386399</v>
      </c>
      <c r="B209" t="s">
        <v>143</v>
      </c>
      <c r="C209" s="10">
        <v>16.98</v>
      </c>
      <c r="D209" s="10">
        <v>16</v>
      </c>
      <c r="E209" s="10">
        <v>0</v>
      </c>
      <c r="F209">
        <v>114</v>
      </c>
      <c r="G209" t="s">
        <v>19</v>
      </c>
      <c r="H209" s="11">
        <v>45988</v>
      </c>
      <c r="I209" t="s">
        <v>13</v>
      </c>
      <c r="J209" s="12">
        <v>7</v>
      </c>
      <c r="K209" s="3">
        <v>223.79</v>
      </c>
      <c r="L209" s="3">
        <f t="shared" si="33"/>
        <v>31.97</v>
      </c>
      <c r="M209" s="13"/>
      <c r="N209">
        <f>_xlfn.XLOOKUP(G209,'Tarievensheet per persoon'!AE:AE,'Tarievensheet per persoon'!AF:AF)</f>
        <v>1.7068000000000001</v>
      </c>
      <c r="O209">
        <f>_xlfn.XLOOKUP(G209,AE:AE,'Tarievensheet per persoon'!AG:AG)</f>
        <v>1.5528</v>
      </c>
      <c r="P209">
        <f>_xlfn.XLOOKUP(G209,AE:AE,'Tarievensheet per persoon'!AH:AH)</f>
        <v>1.3391999999999999</v>
      </c>
      <c r="Q209">
        <f>_xlfn.XLOOKUP(G209,AE:AE,'Tarievensheet per persoon'!AI:AI)</f>
        <v>1.3391999999999999</v>
      </c>
      <c r="R209">
        <v>0</v>
      </c>
      <c r="S209" s="14">
        <v>2.99</v>
      </c>
      <c r="T209" s="10">
        <f t="shared" si="34"/>
        <v>31.971464000000005</v>
      </c>
      <c r="U209" s="10">
        <f t="shared" si="35"/>
        <v>40.672423520000009</v>
      </c>
      <c r="V209" s="10">
        <f t="shared" si="36"/>
        <v>41.199754400000003</v>
      </c>
      <c r="W209" s="10">
        <f t="shared" si="37"/>
        <v>53.064699200000007</v>
      </c>
      <c r="X209" s="10">
        <f t="shared" si="38"/>
        <v>58.338008000000002</v>
      </c>
      <c r="Y209" s="10">
        <f t="shared" si="39"/>
        <v>84.704552000000007</v>
      </c>
      <c r="Z209" s="10">
        <f t="shared" si="40"/>
        <v>29.998079999999998</v>
      </c>
      <c r="AA209" s="10">
        <f t="shared" si="41"/>
        <v>38.568959999999997</v>
      </c>
      <c r="AB209" s="10">
        <f t="shared" si="42"/>
        <v>42.854399999999998</v>
      </c>
      <c r="AC209" s="10">
        <f t="shared" si="43"/>
        <v>64.281599999999997</v>
      </c>
    </row>
    <row r="210" spans="1:29" x14ac:dyDescent="0.25">
      <c r="A210">
        <v>386399</v>
      </c>
      <c r="B210" t="s">
        <v>143</v>
      </c>
      <c r="C210" s="10">
        <v>16.98</v>
      </c>
      <c r="D210" s="10">
        <v>16</v>
      </c>
      <c r="E210" s="10">
        <v>0</v>
      </c>
      <c r="F210">
        <v>114</v>
      </c>
      <c r="G210" t="s">
        <v>19</v>
      </c>
      <c r="H210" s="11">
        <v>45988</v>
      </c>
      <c r="I210" t="s">
        <v>22</v>
      </c>
      <c r="J210" s="12">
        <v>1.5</v>
      </c>
      <c r="K210" s="3">
        <v>61.8</v>
      </c>
      <c r="L210" s="3">
        <f t="shared" si="33"/>
        <v>41.199999999999996</v>
      </c>
      <c r="M210" s="13"/>
      <c r="N210">
        <f>_xlfn.XLOOKUP(G210,'Tarievensheet per persoon'!AE:AE,'Tarievensheet per persoon'!AF:AF)</f>
        <v>1.7068000000000001</v>
      </c>
      <c r="O210">
        <f>_xlfn.XLOOKUP(G210,AE:AE,'Tarievensheet per persoon'!AG:AG)</f>
        <v>1.5528</v>
      </c>
      <c r="P210">
        <f>_xlfn.XLOOKUP(G210,AE:AE,'Tarievensheet per persoon'!AH:AH)</f>
        <v>1.3391999999999999</v>
      </c>
      <c r="Q210">
        <f>_xlfn.XLOOKUP(G210,AE:AE,'Tarievensheet per persoon'!AI:AI)</f>
        <v>1.3391999999999999</v>
      </c>
      <c r="R210">
        <v>0</v>
      </c>
      <c r="S210" s="14">
        <v>2.99</v>
      </c>
      <c r="T210" s="10">
        <f t="shared" si="34"/>
        <v>31.971464000000005</v>
      </c>
      <c r="U210" s="10">
        <f t="shared" si="35"/>
        <v>40.672423520000009</v>
      </c>
      <c r="V210" s="10">
        <f t="shared" si="36"/>
        <v>41.199754400000003</v>
      </c>
      <c r="W210" s="10">
        <f t="shared" si="37"/>
        <v>53.064699200000007</v>
      </c>
      <c r="X210" s="10">
        <f t="shared" si="38"/>
        <v>58.338008000000002</v>
      </c>
      <c r="Y210" s="10">
        <f t="shared" si="39"/>
        <v>84.704552000000007</v>
      </c>
      <c r="Z210" s="10">
        <f t="shared" si="40"/>
        <v>29.998079999999998</v>
      </c>
      <c r="AA210" s="10">
        <f t="shared" si="41"/>
        <v>38.568959999999997</v>
      </c>
      <c r="AB210" s="10">
        <f t="shared" si="42"/>
        <v>42.854399999999998</v>
      </c>
      <c r="AC210" s="10">
        <f t="shared" si="43"/>
        <v>64.281599999999997</v>
      </c>
    </row>
    <row r="211" spans="1:29" x14ac:dyDescent="0.25">
      <c r="A211">
        <v>386399</v>
      </c>
      <c r="B211" t="s">
        <v>143</v>
      </c>
      <c r="C211" s="10">
        <v>16.98</v>
      </c>
      <c r="D211" s="10">
        <v>16</v>
      </c>
      <c r="E211" s="10">
        <v>0</v>
      </c>
      <c r="F211">
        <v>114</v>
      </c>
      <c r="G211" t="s">
        <v>19</v>
      </c>
      <c r="H211" s="11">
        <v>45989</v>
      </c>
      <c r="I211" t="s">
        <v>13</v>
      </c>
      <c r="J211" s="12">
        <v>6.75</v>
      </c>
      <c r="K211" s="3">
        <v>215.8</v>
      </c>
      <c r="L211" s="3">
        <f t="shared" si="33"/>
        <v>31.970370370370372</v>
      </c>
      <c r="M211" s="13"/>
      <c r="N211">
        <f>_xlfn.XLOOKUP(G211,'Tarievensheet per persoon'!AE:AE,'Tarievensheet per persoon'!AF:AF)</f>
        <v>1.7068000000000001</v>
      </c>
      <c r="O211">
        <f>_xlfn.XLOOKUP(G211,AE:AE,'Tarievensheet per persoon'!AG:AG)</f>
        <v>1.5528</v>
      </c>
      <c r="P211">
        <f>_xlfn.XLOOKUP(G211,AE:AE,'Tarievensheet per persoon'!AH:AH)</f>
        <v>1.3391999999999999</v>
      </c>
      <c r="Q211">
        <f>_xlfn.XLOOKUP(G211,AE:AE,'Tarievensheet per persoon'!AI:AI)</f>
        <v>1.3391999999999999</v>
      </c>
      <c r="R211">
        <v>0</v>
      </c>
      <c r="S211" s="14">
        <v>2.99</v>
      </c>
      <c r="T211" s="10">
        <f t="shared" si="34"/>
        <v>31.971464000000005</v>
      </c>
      <c r="U211" s="10">
        <f t="shared" si="35"/>
        <v>40.672423520000009</v>
      </c>
      <c r="V211" s="10">
        <f t="shared" si="36"/>
        <v>41.199754400000003</v>
      </c>
      <c r="W211" s="10">
        <f t="shared" si="37"/>
        <v>53.064699200000007</v>
      </c>
      <c r="X211" s="10">
        <f t="shared" si="38"/>
        <v>58.338008000000002</v>
      </c>
      <c r="Y211" s="10">
        <f t="shared" si="39"/>
        <v>84.704552000000007</v>
      </c>
      <c r="Z211" s="10">
        <f t="shared" si="40"/>
        <v>29.998079999999998</v>
      </c>
      <c r="AA211" s="10">
        <f t="shared" si="41"/>
        <v>38.568959999999997</v>
      </c>
      <c r="AB211" s="10">
        <f t="shared" si="42"/>
        <v>42.854399999999998</v>
      </c>
      <c r="AC211" s="10">
        <f t="shared" si="43"/>
        <v>64.281599999999997</v>
      </c>
    </row>
    <row r="212" spans="1:29" x14ac:dyDescent="0.25">
      <c r="A212">
        <v>386399</v>
      </c>
      <c r="B212" t="s">
        <v>143</v>
      </c>
      <c r="C212" s="10">
        <v>16.98</v>
      </c>
      <c r="D212" s="10">
        <v>16</v>
      </c>
      <c r="E212" s="10">
        <v>0</v>
      </c>
      <c r="F212">
        <v>114</v>
      </c>
      <c r="G212" t="s">
        <v>19</v>
      </c>
      <c r="H212" s="11">
        <v>45989</v>
      </c>
      <c r="I212" t="s">
        <v>22</v>
      </c>
      <c r="J212" s="12">
        <v>1</v>
      </c>
      <c r="K212" s="3">
        <v>41.2</v>
      </c>
      <c r="L212" s="3">
        <f t="shared" si="33"/>
        <v>41.2</v>
      </c>
      <c r="M212" s="13"/>
      <c r="N212">
        <f>_xlfn.XLOOKUP(G212,'Tarievensheet per persoon'!AE:AE,'Tarievensheet per persoon'!AF:AF)</f>
        <v>1.7068000000000001</v>
      </c>
      <c r="O212">
        <f>_xlfn.XLOOKUP(G212,AE:AE,'Tarievensheet per persoon'!AG:AG)</f>
        <v>1.5528</v>
      </c>
      <c r="P212">
        <f>_xlfn.XLOOKUP(G212,AE:AE,'Tarievensheet per persoon'!AH:AH)</f>
        <v>1.3391999999999999</v>
      </c>
      <c r="Q212">
        <f>_xlfn.XLOOKUP(G212,AE:AE,'Tarievensheet per persoon'!AI:AI)</f>
        <v>1.3391999999999999</v>
      </c>
      <c r="R212">
        <v>0</v>
      </c>
      <c r="S212" s="14">
        <v>2.99</v>
      </c>
      <c r="T212" s="10">
        <f t="shared" si="34"/>
        <v>31.971464000000005</v>
      </c>
      <c r="U212" s="10">
        <f t="shared" si="35"/>
        <v>40.672423520000009</v>
      </c>
      <c r="V212" s="10">
        <f t="shared" si="36"/>
        <v>41.199754400000003</v>
      </c>
      <c r="W212" s="10">
        <f t="shared" si="37"/>
        <v>53.064699200000007</v>
      </c>
      <c r="X212" s="10">
        <f t="shared" si="38"/>
        <v>58.338008000000002</v>
      </c>
      <c r="Y212" s="10">
        <f t="shared" si="39"/>
        <v>84.704552000000007</v>
      </c>
      <c r="Z212" s="10">
        <f t="shared" si="40"/>
        <v>29.998079999999998</v>
      </c>
      <c r="AA212" s="10">
        <f t="shared" si="41"/>
        <v>38.568959999999997</v>
      </c>
      <c r="AB212" s="10">
        <f t="shared" si="42"/>
        <v>42.854399999999998</v>
      </c>
      <c r="AC212" s="10">
        <f t="shared" si="43"/>
        <v>64.281599999999997</v>
      </c>
    </row>
    <row r="213" spans="1:29" x14ac:dyDescent="0.25">
      <c r="A213">
        <v>399663</v>
      </c>
      <c r="B213" t="s">
        <v>40</v>
      </c>
      <c r="C213" s="10">
        <v>15.89</v>
      </c>
      <c r="D213" s="10">
        <v>14.98</v>
      </c>
      <c r="E213" s="10">
        <v>0</v>
      </c>
      <c r="F213">
        <v>38</v>
      </c>
      <c r="G213" t="s">
        <v>15</v>
      </c>
      <c r="H213" s="11">
        <v>45985</v>
      </c>
      <c r="I213" t="s">
        <v>13</v>
      </c>
      <c r="J213" s="12">
        <v>7</v>
      </c>
      <c r="K213" s="3">
        <v>210.28</v>
      </c>
      <c r="L213" s="3">
        <f t="shared" si="33"/>
        <v>30.04</v>
      </c>
      <c r="M213" s="13"/>
      <c r="N213">
        <f>_xlfn.XLOOKUP(G213,'Tarievensheet per persoon'!AE:AE,'Tarievensheet per persoon'!AF:AF)</f>
        <v>1.7024999999999999</v>
      </c>
      <c r="O213">
        <f>_xlfn.XLOOKUP(G213,AE:AE,'Tarievensheet per persoon'!AG:AG)</f>
        <v>1.5642</v>
      </c>
      <c r="P213">
        <f>_xlfn.XLOOKUP(G213,AE:AE,'Tarievensheet per persoon'!AH:AH)</f>
        <v>1.3552</v>
      </c>
      <c r="Q213">
        <f>_xlfn.XLOOKUP(G213,AE:AE,'Tarievensheet per persoon'!AI:AI)</f>
        <v>1.3552</v>
      </c>
      <c r="R213">
        <v>0</v>
      </c>
      <c r="S213" s="14">
        <v>2.99</v>
      </c>
      <c r="T213" s="10">
        <f t="shared" si="34"/>
        <v>30.042724999999997</v>
      </c>
      <c r="U213" s="10">
        <f t="shared" si="35"/>
        <v>38.244920539999995</v>
      </c>
      <c r="V213" s="10">
        <f t="shared" si="36"/>
        <v>38.7420233</v>
      </c>
      <c r="W213" s="10">
        <f t="shared" si="37"/>
        <v>49.926835400000002</v>
      </c>
      <c r="X213" s="10">
        <f t="shared" si="38"/>
        <v>54.897863000000001</v>
      </c>
      <c r="Y213" s="10">
        <f t="shared" si="39"/>
        <v>79.753000999999998</v>
      </c>
      <c r="Z213" s="10">
        <f t="shared" si="40"/>
        <v>28.421254399999995</v>
      </c>
      <c r="AA213" s="10">
        <f t="shared" si="41"/>
        <v>36.541612800000003</v>
      </c>
      <c r="AB213" s="10">
        <f t="shared" si="42"/>
        <v>40.601792000000003</v>
      </c>
      <c r="AC213" s="10">
        <f t="shared" si="43"/>
        <v>60.902687999999998</v>
      </c>
    </row>
    <row r="214" spans="1:29" x14ac:dyDescent="0.25">
      <c r="A214">
        <v>399663</v>
      </c>
      <c r="B214" t="s">
        <v>40</v>
      </c>
      <c r="C214" s="10">
        <v>15.89</v>
      </c>
      <c r="D214" s="10">
        <v>14.98</v>
      </c>
      <c r="E214" s="10">
        <v>0</v>
      </c>
      <c r="F214">
        <v>38</v>
      </c>
      <c r="G214" t="s">
        <v>15</v>
      </c>
      <c r="H214" s="11">
        <v>45985</v>
      </c>
      <c r="I214" t="s">
        <v>22</v>
      </c>
      <c r="J214" s="12">
        <v>1</v>
      </c>
      <c r="K214" s="3">
        <v>38.74</v>
      </c>
      <c r="L214" s="3">
        <f t="shared" si="33"/>
        <v>38.74</v>
      </c>
      <c r="M214" s="13"/>
      <c r="N214">
        <f>_xlfn.XLOOKUP(G214,'Tarievensheet per persoon'!AE:AE,'Tarievensheet per persoon'!AF:AF)</f>
        <v>1.7024999999999999</v>
      </c>
      <c r="O214">
        <f>_xlfn.XLOOKUP(G214,AE:AE,'Tarievensheet per persoon'!AG:AG)</f>
        <v>1.5642</v>
      </c>
      <c r="P214">
        <f>_xlfn.XLOOKUP(G214,AE:AE,'Tarievensheet per persoon'!AH:AH)</f>
        <v>1.3552</v>
      </c>
      <c r="Q214">
        <f>_xlfn.XLOOKUP(G214,AE:AE,'Tarievensheet per persoon'!AI:AI)</f>
        <v>1.3552</v>
      </c>
      <c r="R214">
        <v>0</v>
      </c>
      <c r="S214" s="14">
        <v>2.99</v>
      </c>
      <c r="T214" s="10">
        <f t="shared" si="34"/>
        <v>30.042724999999997</v>
      </c>
      <c r="U214" s="10">
        <f t="shared" si="35"/>
        <v>38.244920539999995</v>
      </c>
      <c r="V214" s="10">
        <f t="shared" si="36"/>
        <v>38.7420233</v>
      </c>
      <c r="W214" s="10">
        <f t="shared" si="37"/>
        <v>49.926835400000002</v>
      </c>
      <c r="X214" s="10">
        <f t="shared" si="38"/>
        <v>54.897863000000001</v>
      </c>
      <c r="Y214" s="10">
        <f t="shared" si="39"/>
        <v>79.753000999999998</v>
      </c>
      <c r="Z214" s="10">
        <f t="shared" si="40"/>
        <v>28.421254399999995</v>
      </c>
      <c r="AA214" s="10">
        <f t="shared" si="41"/>
        <v>36.541612800000003</v>
      </c>
      <c r="AB214" s="10">
        <f t="shared" si="42"/>
        <v>40.601792000000003</v>
      </c>
      <c r="AC214" s="10">
        <f t="shared" si="43"/>
        <v>60.902687999999998</v>
      </c>
    </row>
    <row r="215" spans="1:29" x14ac:dyDescent="0.25">
      <c r="A215">
        <v>399663</v>
      </c>
      <c r="B215" t="s">
        <v>40</v>
      </c>
      <c r="C215" s="10">
        <v>15.89</v>
      </c>
      <c r="D215" s="10">
        <v>14.98</v>
      </c>
      <c r="E215" s="10">
        <v>0</v>
      </c>
      <c r="F215">
        <v>38</v>
      </c>
      <c r="G215" t="s">
        <v>15</v>
      </c>
      <c r="H215" s="11">
        <v>45986</v>
      </c>
      <c r="I215" t="s">
        <v>13</v>
      </c>
      <c r="J215" s="12">
        <v>7</v>
      </c>
      <c r="K215" s="3">
        <v>210.28</v>
      </c>
      <c r="L215" s="3">
        <f t="shared" si="33"/>
        <v>30.04</v>
      </c>
      <c r="M215" s="13"/>
      <c r="N215">
        <f>_xlfn.XLOOKUP(G215,'Tarievensheet per persoon'!AE:AE,'Tarievensheet per persoon'!AF:AF)</f>
        <v>1.7024999999999999</v>
      </c>
      <c r="O215">
        <f>_xlfn.XLOOKUP(G215,AE:AE,'Tarievensheet per persoon'!AG:AG)</f>
        <v>1.5642</v>
      </c>
      <c r="P215">
        <f>_xlfn.XLOOKUP(G215,AE:AE,'Tarievensheet per persoon'!AH:AH)</f>
        <v>1.3552</v>
      </c>
      <c r="Q215">
        <f>_xlfn.XLOOKUP(G215,AE:AE,'Tarievensheet per persoon'!AI:AI)</f>
        <v>1.3552</v>
      </c>
      <c r="R215">
        <v>0</v>
      </c>
      <c r="S215" s="14">
        <v>2.99</v>
      </c>
      <c r="T215" s="10">
        <f t="shared" si="34"/>
        <v>30.042724999999997</v>
      </c>
      <c r="U215" s="10">
        <f t="shared" si="35"/>
        <v>38.244920539999995</v>
      </c>
      <c r="V215" s="10">
        <f t="shared" si="36"/>
        <v>38.7420233</v>
      </c>
      <c r="W215" s="10">
        <f t="shared" si="37"/>
        <v>49.926835400000002</v>
      </c>
      <c r="X215" s="10">
        <f t="shared" si="38"/>
        <v>54.897863000000001</v>
      </c>
      <c r="Y215" s="10">
        <f t="shared" si="39"/>
        <v>79.753000999999998</v>
      </c>
      <c r="Z215" s="10">
        <f t="shared" si="40"/>
        <v>28.421254399999995</v>
      </c>
      <c r="AA215" s="10">
        <f t="shared" si="41"/>
        <v>36.541612800000003</v>
      </c>
      <c r="AB215" s="10">
        <f t="shared" si="42"/>
        <v>40.601792000000003</v>
      </c>
      <c r="AC215" s="10">
        <f t="shared" si="43"/>
        <v>60.902687999999998</v>
      </c>
    </row>
    <row r="216" spans="1:29" x14ac:dyDescent="0.25">
      <c r="A216">
        <v>399663</v>
      </c>
      <c r="B216" t="s">
        <v>40</v>
      </c>
      <c r="C216" s="10">
        <v>15.89</v>
      </c>
      <c r="D216" s="10">
        <v>14.98</v>
      </c>
      <c r="E216" s="10">
        <v>0</v>
      </c>
      <c r="F216">
        <v>38</v>
      </c>
      <c r="G216" t="s">
        <v>15</v>
      </c>
      <c r="H216" s="11">
        <v>45986</v>
      </c>
      <c r="I216" t="s">
        <v>22</v>
      </c>
      <c r="J216" s="12">
        <v>1</v>
      </c>
      <c r="K216" s="3">
        <v>38.74</v>
      </c>
      <c r="L216" s="3">
        <f t="shared" si="33"/>
        <v>38.74</v>
      </c>
      <c r="M216" s="13"/>
      <c r="N216">
        <f>_xlfn.XLOOKUP(G216,'Tarievensheet per persoon'!AE:AE,'Tarievensheet per persoon'!AF:AF)</f>
        <v>1.7024999999999999</v>
      </c>
      <c r="O216">
        <f>_xlfn.XLOOKUP(G216,AE:AE,'Tarievensheet per persoon'!AG:AG)</f>
        <v>1.5642</v>
      </c>
      <c r="P216">
        <f>_xlfn.XLOOKUP(G216,AE:AE,'Tarievensheet per persoon'!AH:AH)</f>
        <v>1.3552</v>
      </c>
      <c r="Q216">
        <f>_xlfn.XLOOKUP(G216,AE:AE,'Tarievensheet per persoon'!AI:AI)</f>
        <v>1.3552</v>
      </c>
      <c r="R216">
        <v>0</v>
      </c>
      <c r="S216" s="14">
        <v>2.99</v>
      </c>
      <c r="T216" s="10">
        <f t="shared" si="34"/>
        <v>30.042724999999997</v>
      </c>
      <c r="U216" s="10">
        <f t="shared" si="35"/>
        <v>38.244920539999995</v>
      </c>
      <c r="V216" s="10">
        <f t="shared" si="36"/>
        <v>38.7420233</v>
      </c>
      <c r="W216" s="10">
        <f t="shared" si="37"/>
        <v>49.926835400000002</v>
      </c>
      <c r="X216" s="10">
        <f t="shared" si="38"/>
        <v>54.897863000000001</v>
      </c>
      <c r="Y216" s="10">
        <f t="shared" si="39"/>
        <v>79.753000999999998</v>
      </c>
      <c r="Z216" s="10">
        <f t="shared" si="40"/>
        <v>28.421254399999995</v>
      </c>
      <c r="AA216" s="10">
        <f t="shared" si="41"/>
        <v>36.541612800000003</v>
      </c>
      <c r="AB216" s="10">
        <f t="shared" si="42"/>
        <v>40.601792000000003</v>
      </c>
      <c r="AC216" s="10">
        <f t="shared" si="43"/>
        <v>60.902687999999998</v>
      </c>
    </row>
    <row r="217" spans="1:29" x14ac:dyDescent="0.25">
      <c r="A217">
        <v>399663</v>
      </c>
      <c r="B217" t="s">
        <v>40</v>
      </c>
      <c r="C217" s="10">
        <v>15.89</v>
      </c>
      <c r="D217" s="10">
        <v>14.98</v>
      </c>
      <c r="E217" s="10">
        <v>0</v>
      </c>
      <c r="F217">
        <v>38</v>
      </c>
      <c r="G217" t="s">
        <v>15</v>
      </c>
      <c r="H217" s="11">
        <v>45987</v>
      </c>
      <c r="I217" t="s">
        <v>13</v>
      </c>
      <c r="J217" s="12">
        <v>7</v>
      </c>
      <c r="K217" s="3">
        <v>210.28</v>
      </c>
      <c r="L217" s="3">
        <f t="shared" si="33"/>
        <v>30.04</v>
      </c>
      <c r="M217" s="13"/>
      <c r="N217">
        <f>_xlfn.XLOOKUP(G217,'Tarievensheet per persoon'!AE:AE,'Tarievensheet per persoon'!AF:AF)</f>
        <v>1.7024999999999999</v>
      </c>
      <c r="O217">
        <f>_xlfn.XLOOKUP(G217,AE:AE,'Tarievensheet per persoon'!AG:AG)</f>
        <v>1.5642</v>
      </c>
      <c r="P217">
        <f>_xlfn.XLOOKUP(G217,AE:AE,'Tarievensheet per persoon'!AH:AH)</f>
        <v>1.3552</v>
      </c>
      <c r="Q217">
        <f>_xlfn.XLOOKUP(G217,AE:AE,'Tarievensheet per persoon'!AI:AI)</f>
        <v>1.3552</v>
      </c>
      <c r="R217">
        <v>0</v>
      </c>
      <c r="S217" s="14">
        <v>2.99</v>
      </c>
      <c r="T217" s="10">
        <f t="shared" si="34"/>
        <v>30.042724999999997</v>
      </c>
      <c r="U217" s="10">
        <f t="shared" si="35"/>
        <v>38.244920539999995</v>
      </c>
      <c r="V217" s="10">
        <f t="shared" si="36"/>
        <v>38.7420233</v>
      </c>
      <c r="W217" s="10">
        <f t="shared" si="37"/>
        <v>49.926835400000002</v>
      </c>
      <c r="X217" s="10">
        <f t="shared" si="38"/>
        <v>54.897863000000001</v>
      </c>
      <c r="Y217" s="10">
        <f t="shared" si="39"/>
        <v>79.753000999999998</v>
      </c>
      <c r="Z217" s="10">
        <f t="shared" si="40"/>
        <v>28.421254399999995</v>
      </c>
      <c r="AA217" s="10">
        <f t="shared" si="41"/>
        <v>36.541612800000003</v>
      </c>
      <c r="AB217" s="10">
        <f t="shared" si="42"/>
        <v>40.601792000000003</v>
      </c>
      <c r="AC217" s="10">
        <f t="shared" si="43"/>
        <v>60.902687999999998</v>
      </c>
    </row>
    <row r="218" spans="1:29" x14ac:dyDescent="0.25">
      <c r="A218">
        <v>399663</v>
      </c>
      <c r="B218" t="s">
        <v>40</v>
      </c>
      <c r="C218" s="10">
        <v>15.89</v>
      </c>
      <c r="D218" s="10">
        <v>14.98</v>
      </c>
      <c r="E218" s="10">
        <v>0</v>
      </c>
      <c r="F218">
        <v>38</v>
      </c>
      <c r="G218" t="s">
        <v>15</v>
      </c>
      <c r="H218" s="11">
        <v>45987</v>
      </c>
      <c r="I218" t="s">
        <v>22</v>
      </c>
      <c r="J218" s="12">
        <v>1</v>
      </c>
      <c r="K218" s="3">
        <v>38.74</v>
      </c>
      <c r="L218" s="3">
        <f t="shared" si="33"/>
        <v>38.74</v>
      </c>
      <c r="M218" s="13"/>
      <c r="N218">
        <f>_xlfn.XLOOKUP(G218,'Tarievensheet per persoon'!AE:AE,'Tarievensheet per persoon'!AF:AF)</f>
        <v>1.7024999999999999</v>
      </c>
      <c r="O218">
        <f>_xlfn.XLOOKUP(G218,AE:AE,'Tarievensheet per persoon'!AG:AG)</f>
        <v>1.5642</v>
      </c>
      <c r="P218">
        <f>_xlfn.XLOOKUP(G218,AE:AE,'Tarievensheet per persoon'!AH:AH)</f>
        <v>1.3552</v>
      </c>
      <c r="Q218">
        <f>_xlfn.XLOOKUP(G218,AE:AE,'Tarievensheet per persoon'!AI:AI)</f>
        <v>1.3552</v>
      </c>
      <c r="R218">
        <v>0</v>
      </c>
      <c r="S218" s="14">
        <v>2.99</v>
      </c>
      <c r="T218" s="10">
        <f t="shared" si="34"/>
        <v>30.042724999999997</v>
      </c>
      <c r="U218" s="10">
        <f t="shared" si="35"/>
        <v>38.244920539999995</v>
      </c>
      <c r="V218" s="10">
        <f t="shared" si="36"/>
        <v>38.7420233</v>
      </c>
      <c r="W218" s="10">
        <f t="shared" si="37"/>
        <v>49.926835400000002</v>
      </c>
      <c r="X218" s="10">
        <f t="shared" si="38"/>
        <v>54.897863000000001</v>
      </c>
      <c r="Y218" s="10">
        <f t="shared" si="39"/>
        <v>79.753000999999998</v>
      </c>
      <c r="Z218" s="10">
        <f t="shared" si="40"/>
        <v>28.421254399999995</v>
      </c>
      <c r="AA218" s="10">
        <f t="shared" si="41"/>
        <v>36.541612800000003</v>
      </c>
      <c r="AB218" s="10">
        <f t="shared" si="42"/>
        <v>40.601792000000003</v>
      </c>
      <c r="AC218" s="10">
        <f t="shared" si="43"/>
        <v>60.902687999999998</v>
      </c>
    </row>
    <row r="219" spans="1:29" x14ac:dyDescent="0.25">
      <c r="A219">
        <v>399663</v>
      </c>
      <c r="B219" t="s">
        <v>40</v>
      </c>
      <c r="C219" s="10">
        <v>15.89</v>
      </c>
      <c r="D219" s="10">
        <v>14.98</v>
      </c>
      <c r="E219" s="10">
        <v>0</v>
      </c>
      <c r="F219">
        <v>38</v>
      </c>
      <c r="G219" t="s">
        <v>15</v>
      </c>
      <c r="H219" s="11">
        <v>45988</v>
      </c>
      <c r="I219" t="s">
        <v>13</v>
      </c>
      <c r="J219" s="12">
        <v>7</v>
      </c>
      <c r="K219" s="3">
        <v>210.28</v>
      </c>
      <c r="L219" s="3">
        <f t="shared" si="33"/>
        <v>30.04</v>
      </c>
      <c r="M219" s="13"/>
      <c r="N219">
        <f>_xlfn.XLOOKUP(G219,'Tarievensheet per persoon'!AE:AE,'Tarievensheet per persoon'!AF:AF)</f>
        <v>1.7024999999999999</v>
      </c>
      <c r="O219">
        <f>_xlfn.XLOOKUP(G219,AE:AE,'Tarievensheet per persoon'!AG:AG)</f>
        <v>1.5642</v>
      </c>
      <c r="P219">
        <f>_xlfn.XLOOKUP(G219,AE:AE,'Tarievensheet per persoon'!AH:AH)</f>
        <v>1.3552</v>
      </c>
      <c r="Q219">
        <f>_xlfn.XLOOKUP(G219,AE:AE,'Tarievensheet per persoon'!AI:AI)</f>
        <v>1.3552</v>
      </c>
      <c r="R219">
        <v>0</v>
      </c>
      <c r="S219" s="14">
        <v>2.99</v>
      </c>
      <c r="T219" s="10">
        <f t="shared" si="34"/>
        <v>30.042724999999997</v>
      </c>
      <c r="U219" s="10">
        <f t="shared" si="35"/>
        <v>38.244920539999995</v>
      </c>
      <c r="V219" s="10">
        <f t="shared" si="36"/>
        <v>38.7420233</v>
      </c>
      <c r="W219" s="10">
        <f t="shared" si="37"/>
        <v>49.926835400000002</v>
      </c>
      <c r="X219" s="10">
        <f t="shared" si="38"/>
        <v>54.897863000000001</v>
      </c>
      <c r="Y219" s="10">
        <f t="shared" si="39"/>
        <v>79.753000999999998</v>
      </c>
      <c r="Z219" s="10">
        <f t="shared" si="40"/>
        <v>28.421254399999995</v>
      </c>
      <c r="AA219" s="10">
        <f t="shared" si="41"/>
        <v>36.541612800000003</v>
      </c>
      <c r="AB219" s="10">
        <f t="shared" si="42"/>
        <v>40.601792000000003</v>
      </c>
      <c r="AC219" s="10">
        <f t="shared" si="43"/>
        <v>60.902687999999998</v>
      </c>
    </row>
    <row r="220" spans="1:29" x14ac:dyDescent="0.25">
      <c r="A220">
        <v>399663</v>
      </c>
      <c r="B220" t="s">
        <v>40</v>
      </c>
      <c r="C220" s="10">
        <v>15.89</v>
      </c>
      <c r="D220" s="10">
        <v>14.98</v>
      </c>
      <c r="E220" s="10">
        <v>0</v>
      </c>
      <c r="F220">
        <v>38</v>
      </c>
      <c r="G220" t="s">
        <v>15</v>
      </c>
      <c r="H220" s="11">
        <v>45988</v>
      </c>
      <c r="I220" t="s">
        <v>22</v>
      </c>
      <c r="J220" s="12">
        <v>1</v>
      </c>
      <c r="K220" s="3">
        <v>38.74</v>
      </c>
      <c r="L220" s="3">
        <f t="shared" si="33"/>
        <v>38.74</v>
      </c>
      <c r="M220" s="13"/>
      <c r="N220">
        <f>_xlfn.XLOOKUP(G220,'Tarievensheet per persoon'!AE:AE,'Tarievensheet per persoon'!AF:AF)</f>
        <v>1.7024999999999999</v>
      </c>
      <c r="O220">
        <f>_xlfn.XLOOKUP(G220,AE:AE,'Tarievensheet per persoon'!AG:AG)</f>
        <v>1.5642</v>
      </c>
      <c r="P220">
        <f>_xlfn.XLOOKUP(G220,AE:AE,'Tarievensheet per persoon'!AH:AH)</f>
        <v>1.3552</v>
      </c>
      <c r="Q220">
        <f>_xlfn.XLOOKUP(G220,AE:AE,'Tarievensheet per persoon'!AI:AI)</f>
        <v>1.3552</v>
      </c>
      <c r="R220">
        <v>0</v>
      </c>
      <c r="S220" s="14">
        <v>2.99</v>
      </c>
      <c r="T220" s="10">
        <f t="shared" si="34"/>
        <v>30.042724999999997</v>
      </c>
      <c r="U220" s="10">
        <f t="shared" si="35"/>
        <v>38.244920539999995</v>
      </c>
      <c r="V220" s="10">
        <f t="shared" si="36"/>
        <v>38.7420233</v>
      </c>
      <c r="W220" s="10">
        <f t="shared" si="37"/>
        <v>49.926835400000002</v>
      </c>
      <c r="X220" s="10">
        <f t="shared" si="38"/>
        <v>54.897863000000001</v>
      </c>
      <c r="Y220" s="10">
        <f t="shared" si="39"/>
        <v>79.753000999999998</v>
      </c>
      <c r="Z220" s="10">
        <f t="shared" si="40"/>
        <v>28.421254399999995</v>
      </c>
      <c r="AA220" s="10">
        <f t="shared" si="41"/>
        <v>36.541612800000003</v>
      </c>
      <c r="AB220" s="10">
        <f t="shared" si="42"/>
        <v>40.601792000000003</v>
      </c>
      <c r="AC220" s="10">
        <f t="shared" si="43"/>
        <v>60.902687999999998</v>
      </c>
    </row>
    <row r="221" spans="1:29" x14ac:dyDescent="0.25">
      <c r="A221">
        <v>399663</v>
      </c>
      <c r="B221" t="s">
        <v>40</v>
      </c>
      <c r="C221" s="10">
        <v>15.89</v>
      </c>
      <c r="D221" s="10">
        <v>14.98</v>
      </c>
      <c r="E221" s="10">
        <v>0</v>
      </c>
      <c r="F221">
        <v>38</v>
      </c>
      <c r="G221" t="s">
        <v>15</v>
      </c>
      <c r="H221" s="11">
        <v>45989</v>
      </c>
      <c r="I221" t="s">
        <v>13</v>
      </c>
      <c r="J221" s="12">
        <v>7</v>
      </c>
      <c r="K221" s="3">
        <v>210.28</v>
      </c>
      <c r="L221" s="3">
        <f t="shared" si="33"/>
        <v>30.04</v>
      </c>
      <c r="M221" s="13"/>
      <c r="N221">
        <f>_xlfn.XLOOKUP(G221,'Tarievensheet per persoon'!AE:AE,'Tarievensheet per persoon'!AF:AF)</f>
        <v>1.7024999999999999</v>
      </c>
      <c r="O221">
        <f>_xlfn.XLOOKUP(G221,AE:AE,'Tarievensheet per persoon'!AG:AG)</f>
        <v>1.5642</v>
      </c>
      <c r="P221">
        <f>_xlfn.XLOOKUP(G221,AE:AE,'Tarievensheet per persoon'!AH:AH)</f>
        <v>1.3552</v>
      </c>
      <c r="Q221">
        <f>_xlfn.XLOOKUP(G221,AE:AE,'Tarievensheet per persoon'!AI:AI)</f>
        <v>1.3552</v>
      </c>
      <c r="R221">
        <v>0</v>
      </c>
      <c r="S221" s="14">
        <v>2.99</v>
      </c>
      <c r="T221" s="10">
        <f t="shared" si="34"/>
        <v>30.042724999999997</v>
      </c>
      <c r="U221" s="10">
        <f t="shared" si="35"/>
        <v>38.244920539999995</v>
      </c>
      <c r="V221" s="10">
        <f t="shared" si="36"/>
        <v>38.7420233</v>
      </c>
      <c r="W221" s="10">
        <f t="shared" si="37"/>
        <v>49.926835400000002</v>
      </c>
      <c r="X221" s="10">
        <f t="shared" si="38"/>
        <v>54.897863000000001</v>
      </c>
      <c r="Y221" s="10">
        <f t="shared" si="39"/>
        <v>79.753000999999998</v>
      </c>
      <c r="Z221" s="10">
        <f t="shared" si="40"/>
        <v>28.421254399999995</v>
      </c>
      <c r="AA221" s="10">
        <f t="shared" si="41"/>
        <v>36.541612800000003</v>
      </c>
      <c r="AB221" s="10">
        <f t="shared" si="42"/>
        <v>40.601792000000003</v>
      </c>
      <c r="AC221" s="10">
        <f t="shared" si="43"/>
        <v>60.902687999999998</v>
      </c>
    </row>
    <row r="222" spans="1:29" x14ac:dyDescent="0.25">
      <c r="A222">
        <v>399663</v>
      </c>
      <c r="B222" t="s">
        <v>40</v>
      </c>
      <c r="C222" s="10">
        <v>15.89</v>
      </c>
      <c r="D222" s="10">
        <v>14.98</v>
      </c>
      <c r="E222" s="10">
        <v>0</v>
      </c>
      <c r="F222">
        <v>38</v>
      </c>
      <c r="G222" t="s">
        <v>15</v>
      </c>
      <c r="H222" s="11">
        <v>45989</v>
      </c>
      <c r="I222" t="s">
        <v>22</v>
      </c>
      <c r="J222" s="12">
        <v>1</v>
      </c>
      <c r="K222" s="3">
        <v>38.74</v>
      </c>
      <c r="L222" s="3">
        <f t="shared" si="33"/>
        <v>38.74</v>
      </c>
      <c r="M222" s="13"/>
      <c r="N222">
        <f>_xlfn.XLOOKUP(G222,'Tarievensheet per persoon'!AE:AE,'Tarievensheet per persoon'!AF:AF)</f>
        <v>1.7024999999999999</v>
      </c>
      <c r="O222">
        <f>_xlfn.XLOOKUP(G222,AE:AE,'Tarievensheet per persoon'!AG:AG)</f>
        <v>1.5642</v>
      </c>
      <c r="P222">
        <f>_xlfn.XLOOKUP(G222,AE:AE,'Tarievensheet per persoon'!AH:AH)</f>
        <v>1.3552</v>
      </c>
      <c r="Q222">
        <f>_xlfn.XLOOKUP(G222,AE:AE,'Tarievensheet per persoon'!AI:AI)</f>
        <v>1.3552</v>
      </c>
      <c r="R222">
        <v>0</v>
      </c>
      <c r="S222" s="14">
        <v>2.99</v>
      </c>
      <c r="T222" s="10">
        <f t="shared" si="34"/>
        <v>30.042724999999997</v>
      </c>
      <c r="U222" s="10">
        <f t="shared" si="35"/>
        <v>38.244920539999995</v>
      </c>
      <c r="V222" s="10">
        <f t="shared" si="36"/>
        <v>38.7420233</v>
      </c>
      <c r="W222" s="10">
        <f t="shared" si="37"/>
        <v>49.926835400000002</v>
      </c>
      <c r="X222" s="10">
        <f t="shared" si="38"/>
        <v>54.897863000000001</v>
      </c>
      <c r="Y222" s="10">
        <f t="shared" si="39"/>
        <v>79.753000999999998</v>
      </c>
      <c r="Z222" s="10">
        <f t="shared" si="40"/>
        <v>28.421254399999995</v>
      </c>
      <c r="AA222" s="10">
        <f t="shared" si="41"/>
        <v>36.541612800000003</v>
      </c>
      <c r="AB222" s="10">
        <f t="shared" si="42"/>
        <v>40.601792000000003</v>
      </c>
      <c r="AC222" s="10">
        <f t="shared" si="43"/>
        <v>60.902687999999998</v>
      </c>
    </row>
    <row r="223" spans="1:29" x14ac:dyDescent="0.25">
      <c r="A223">
        <v>399664</v>
      </c>
      <c r="B223" t="s">
        <v>41</v>
      </c>
      <c r="C223" s="10">
        <v>15.89</v>
      </c>
      <c r="D223" s="10">
        <v>14.98</v>
      </c>
      <c r="E223" s="10">
        <v>0</v>
      </c>
      <c r="F223">
        <v>38</v>
      </c>
      <c r="G223" t="s">
        <v>15</v>
      </c>
      <c r="H223" s="11">
        <v>45985</v>
      </c>
      <c r="I223" t="s">
        <v>13</v>
      </c>
      <c r="J223" s="12">
        <v>2.5</v>
      </c>
      <c r="K223" s="3">
        <v>75.099999999999994</v>
      </c>
      <c r="L223" s="3">
        <f t="shared" si="33"/>
        <v>30.04</v>
      </c>
      <c r="M223" s="13"/>
      <c r="N223">
        <f>_xlfn.XLOOKUP(G223,'Tarievensheet per persoon'!AE:AE,'Tarievensheet per persoon'!AF:AF)</f>
        <v>1.7024999999999999</v>
      </c>
      <c r="O223">
        <f>_xlfn.XLOOKUP(G223,AE:AE,'Tarievensheet per persoon'!AG:AG)</f>
        <v>1.5642</v>
      </c>
      <c r="P223">
        <f>_xlfn.XLOOKUP(G223,AE:AE,'Tarievensheet per persoon'!AH:AH)</f>
        <v>1.3552</v>
      </c>
      <c r="Q223">
        <f>_xlfn.XLOOKUP(G223,AE:AE,'Tarievensheet per persoon'!AI:AI)</f>
        <v>1.3552</v>
      </c>
      <c r="R223">
        <v>0</v>
      </c>
      <c r="S223" s="14">
        <v>2.99</v>
      </c>
      <c r="T223" s="10">
        <f t="shared" si="34"/>
        <v>30.042724999999997</v>
      </c>
      <c r="U223" s="10">
        <f t="shared" si="35"/>
        <v>38.244920539999995</v>
      </c>
      <c r="V223" s="10">
        <f t="shared" si="36"/>
        <v>38.7420233</v>
      </c>
      <c r="W223" s="10">
        <f t="shared" si="37"/>
        <v>49.926835400000002</v>
      </c>
      <c r="X223" s="10">
        <f t="shared" si="38"/>
        <v>54.897863000000001</v>
      </c>
      <c r="Y223" s="10">
        <f t="shared" si="39"/>
        <v>79.753000999999998</v>
      </c>
      <c r="Z223" s="10">
        <f t="shared" si="40"/>
        <v>28.421254399999995</v>
      </c>
      <c r="AA223" s="10">
        <f t="shared" si="41"/>
        <v>36.541612800000003</v>
      </c>
      <c r="AB223" s="10">
        <f t="shared" si="42"/>
        <v>40.601792000000003</v>
      </c>
      <c r="AC223" s="10">
        <f t="shared" si="43"/>
        <v>60.902687999999998</v>
      </c>
    </row>
    <row r="224" spans="1:29" x14ac:dyDescent="0.25">
      <c r="A224">
        <v>399664</v>
      </c>
      <c r="B224" t="s">
        <v>41</v>
      </c>
      <c r="C224" s="10">
        <v>15.89</v>
      </c>
      <c r="D224" s="10">
        <v>14.98</v>
      </c>
      <c r="E224" s="10">
        <v>0</v>
      </c>
      <c r="F224">
        <v>38</v>
      </c>
      <c r="G224" t="s">
        <v>15</v>
      </c>
      <c r="H224" s="11">
        <v>45985</v>
      </c>
      <c r="I224" t="s">
        <v>21</v>
      </c>
      <c r="J224" s="12">
        <v>5.25</v>
      </c>
      <c r="K224" s="3">
        <v>200.76</v>
      </c>
      <c r="L224" s="3">
        <f t="shared" si="33"/>
        <v>38.239999999999995</v>
      </c>
      <c r="M224" s="13"/>
      <c r="N224">
        <f>_xlfn.XLOOKUP(G224,'Tarievensheet per persoon'!AE:AE,'Tarievensheet per persoon'!AF:AF)</f>
        <v>1.7024999999999999</v>
      </c>
      <c r="O224">
        <f>_xlfn.XLOOKUP(G224,AE:AE,'Tarievensheet per persoon'!AG:AG)</f>
        <v>1.5642</v>
      </c>
      <c r="P224">
        <f>_xlfn.XLOOKUP(G224,AE:AE,'Tarievensheet per persoon'!AH:AH)</f>
        <v>1.3552</v>
      </c>
      <c r="Q224">
        <f>_xlfn.XLOOKUP(G224,AE:AE,'Tarievensheet per persoon'!AI:AI)</f>
        <v>1.3552</v>
      </c>
      <c r="R224">
        <v>0</v>
      </c>
      <c r="S224" s="14">
        <v>2.99</v>
      </c>
      <c r="T224" s="10">
        <f t="shared" si="34"/>
        <v>30.042724999999997</v>
      </c>
      <c r="U224" s="10">
        <f t="shared" si="35"/>
        <v>38.244920539999995</v>
      </c>
      <c r="V224" s="10">
        <f t="shared" si="36"/>
        <v>38.7420233</v>
      </c>
      <c r="W224" s="10">
        <f t="shared" si="37"/>
        <v>49.926835400000002</v>
      </c>
      <c r="X224" s="10">
        <f t="shared" si="38"/>
        <v>54.897863000000001</v>
      </c>
      <c r="Y224" s="10">
        <f t="shared" si="39"/>
        <v>79.753000999999998</v>
      </c>
      <c r="Z224" s="10">
        <f t="shared" si="40"/>
        <v>28.421254399999995</v>
      </c>
      <c r="AA224" s="10">
        <f t="shared" si="41"/>
        <v>36.541612800000003</v>
      </c>
      <c r="AB224" s="10">
        <f t="shared" si="42"/>
        <v>40.601792000000003</v>
      </c>
      <c r="AC224" s="10">
        <f t="shared" si="43"/>
        <v>60.902687999999998</v>
      </c>
    </row>
    <row r="225" spans="1:29" x14ac:dyDescent="0.25">
      <c r="A225">
        <v>399664</v>
      </c>
      <c r="B225" t="s">
        <v>41</v>
      </c>
      <c r="C225" s="10">
        <v>15.89</v>
      </c>
      <c r="D225" s="10">
        <v>14.98</v>
      </c>
      <c r="E225" s="10">
        <v>0</v>
      </c>
      <c r="F225">
        <v>38</v>
      </c>
      <c r="G225" t="s">
        <v>15</v>
      </c>
      <c r="H225" s="11">
        <v>45986</v>
      </c>
      <c r="I225" t="s">
        <v>13</v>
      </c>
      <c r="J225" s="12">
        <v>2.5</v>
      </c>
      <c r="K225" s="3">
        <v>75.099999999999994</v>
      </c>
      <c r="L225" s="3">
        <f t="shared" si="33"/>
        <v>30.04</v>
      </c>
      <c r="M225" s="13"/>
      <c r="N225">
        <f>_xlfn.XLOOKUP(G225,'Tarievensheet per persoon'!AE:AE,'Tarievensheet per persoon'!AF:AF)</f>
        <v>1.7024999999999999</v>
      </c>
      <c r="O225">
        <f>_xlfn.XLOOKUP(G225,AE:AE,'Tarievensheet per persoon'!AG:AG)</f>
        <v>1.5642</v>
      </c>
      <c r="P225">
        <f>_xlfn.XLOOKUP(G225,AE:AE,'Tarievensheet per persoon'!AH:AH)</f>
        <v>1.3552</v>
      </c>
      <c r="Q225">
        <f>_xlfn.XLOOKUP(G225,AE:AE,'Tarievensheet per persoon'!AI:AI)</f>
        <v>1.3552</v>
      </c>
      <c r="R225">
        <v>0</v>
      </c>
      <c r="S225" s="14">
        <v>2.99</v>
      </c>
      <c r="T225" s="10">
        <f t="shared" si="34"/>
        <v>30.042724999999997</v>
      </c>
      <c r="U225" s="10">
        <f t="shared" si="35"/>
        <v>38.244920539999995</v>
      </c>
      <c r="V225" s="10">
        <f t="shared" si="36"/>
        <v>38.7420233</v>
      </c>
      <c r="W225" s="10">
        <f t="shared" si="37"/>
        <v>49.926835400000002</v>
      </c>
      <c r="X225" s="10">
        <f t="shared" si="38"/>
        <v>54.897863000000001</v>
      </c>
      <c r="Y225" s="10">
        <f t="shared" si="39"/>
        <v>79.753000999999998</v>
      </c>
      <c r="Z225" s="10">
        <f t="shared" si="40"/>
        <v>28.421254399999995</v>
      </c>
      <c r="AA225" s="10">
        <f t="shared" si="41"/>
        <v>36.541612800000003</v>
      </c>
      <c r="AB225" s="10">
        <f t="shared" si="42"/>
        <v>40.601792000000003</v>
      </c>
      <c r="AC225" s="10">
        <f t="shared" si="43"/>
        <v>60.902687999999998</v>
      </c>
    </row>
    <row r="226" spans="1:29" x14ac:dyDescent="0.25">
      <c r="A226">
        <v>399664</v>
      </c>
      <c r="B226" t="s">
        <v>41</v>
      </c>
      <c r="C226" s="10">
        <v>15.89</v>
      </c>
      <c r="D226" s="10">
        <v>14.98</v>
      </c>
      <c r="E226" s="10">
        <v>0</v>
      </c>
      <c r="F226">
        <v>38</v>
      </c>
      <c r="G226" t="s">
        <v>15</v>
      </c>
      <c r="H226" s="11">
        <v>45986</v>
      </c>
      <c r="I226" t="s">
        <v>21</v>
      </c>
      <c r="J226" s="12">
        <v>5.25</v>
      </c>
      <c r="K226" s="3">
        <v>200.76</v>
      </c>
      <c r="L226" s="3">
        <f t="shared" si="33"/>
        <v>38.239999999999995</v>
      </c>
      <c r="M226" s="13"/>
      <c r="N226">
        <f>_xlfn.XLOOKUP(G226,'Tarievensheet per persoon'!AE:AE,'Tarievensheet per persoon'!AF:AF)</f>
        <v>1.7024999999999999</v>
      </c>
      <c r="O226">
        <f>_xlfn.XLOOKUP(G226,AE:AE,'Tarievensheet per persoon'!AG:AG)</f>
        <v>1.5642</v>
      </c>
      <c r="P226">
        <f>_xlfn.XLOOKUP(G226,AE:AE,'Tarievensheet per persoon'!AH:AH)</f>
        <v>1.3552</v>
      </c>
      <c r="Q226">
        <f>_xlfn.XLOOKUP(G226,AE:AE,'Tarievensheet per persoon'!AI:AI)</f>
        <v>1.3552</v>
      </c>
      <c r="R226">
        <v>0</v>
      </c>
      <c r="S226" s="14">
        <v>2.99</v>
      </c>
      <c r="T226" s="10">
        <f t="shared" si="34"/>
        <v>30.042724999999997</v>
      </c>
      <c r="U226" s="10">
        <f t="shared" si="35"/>
        <v>38.244920539999995</v>
      </c>
      <c r="V226" s="10">
        <f t="shared" si="36"/>
        <v>38.7420233</v>
      </c>
      <c r="W226" s="10">
        <f t="shared" si="37"/>
        <v>49.926835400000002</v>
      </c>
      <c r="X226" s="10">
        <f t="shared" si="38"/>
        <v>54.897863000000001</v>
      </c>
      <c r="Y226" s="10">
        <f t="shared" si="39"/>
        <v>79.753000999999998</v>
      </c>
      <c r="Z226" s="10">
        <f t="shared" si="40"/>
        <v>28.421254399999995</v>
      </c>
      <c r="AA226" s="10">
        <f t="shared" si="41"/>
        <v>36.541612800000003</v>
      </c>
      <c r="AB226" s="10">
        <f t="shared" si="42"/>
        <v>40.601792000000003</v>
      </c>
      <c r="AC226" s="10">
        <f t="shared" si="43"/>
        <v>60.902687999999998</v>
      </c>
    </row>
    <row r="227" spans="1:29" x14ac:dyDescent="0.25">
      <c r="A227">
        <v>399664</v>
      </c>
      <c r="B227" t="s">
        <v>41</v>
      </c>
      <c r="C227" s="10">
        <v>15.89</v>
      </c>
      <c r="D227" s="10">
        <v>14.98</v>
      </c>
      <c r="E227" s="10">
        <v>0</v>
      </c>
      <c r="F227">
        <v>38</v>
      </c>
      <c r="G227" t="s">
        <v>15</v>
      </c>
      <c r="H227" s="11">
        <v>45987</v>
      </c>
      <c r="I227" t="s">
        <v>13</v>
      </c>
      <c r="J227" s="12">
        <v>5.25</v>
      </c>
      <c r="K227" s="3">
        <v>157.71</v>
      </c>
      <c r="L227" s="3">
        <f t="shared" si="33"/>
        <v>30.040000000000003</v>
      </c>
      <c r="M227" s="13"/>
      <c r="N227">
        <f>_xlfn.XLOOKUP(G227,'Tarievensheet per persoon'!AE:AE,'Tarievensheet per persoon'!AF:AF)</f>
        <v>1.7024999999999999</v>
      </c>
      <c r="O227">
        <f>_xlfn.XLOOKUP(G227,AE:AE,'Tarievensheet per persoon'!AG:AG)</f>
        <v>1.5642</v>
      </c>
      <c r="P227">
        <f>_xlfn.XLOOKUP(G227,AE:AE,'Tarievensheet per persoon'!AH:AH)</f>
        <v>1.3552</v>
      </c>
      <c r="Q227">
        <f>_xlfn.XLOOKUP(G227,AE:AE,'Tarievensheet per persoon'!AI:AI)</f>
        <v>1.3552</v>
      </c>
      <c r="R227">
        <v>0</v>
      </c>
      <c r="S227" s="14">
        <v>2.99</v>
      </c>
      <c r="T227" s="10">
        <f t="shared" si="34"/>
        <v>30.042724999999997</v>
      </c>
      <c r="U227" s="10">
        <f t="shared" si="35"/>
        <v>38.244920539999995</v>
      </c>
      <c r="V227" s="10">
        <f t="shared" si="36"/>
        <v>38.7420233</v>
      </c>
      <c r="W227" s="10">
        <f t="shared" si="37"/>
        <v>49.926835400000002</v>
      </c>
      <c r="X227" s="10">
        <f t="shared" si="38"/>
        <v>54.897863000000001</v>
      </c>
      <c r="Y227" s="10">
        <f t="shared" si="39"/>
        <v>79.753000999999998</v>
      </c>
      <c r="Z227" s="10">
        <f t="shared" si="40"/>
        <v>28.421254399999995</v>
      </c>
      <c r="AA227" s="10">
        <f t="shared" si="41"/>
        <v>36.541612800000003</v>
      </c>
      <c r="AB227" s="10">
        <f t="shared" si="42"/>
        <v>40.601792000000003</v>
      </c>
      <c r="AC227" s="10">
        <f t="shared" si="43"/>
        <v>60.902687999999998</v>
      </c>
    </row>
    <row r="228" spans="1:29" x14ac:dyDescent="0.25">
      <c r="A228">
        <v>399664</v>
      </c>
      <c r="B228" t="s">
        <v>41</v>
      </c>
      <c r="C228" s="10">
        <v>15.89</v>
      </c>
      <c r="D228" s="10">
        <v>14.98</v>
      </c>
      <c r="E228" s="10">
        <v>0</v>
      </c>
      <c r="F228">
        <v>38</v>
      </c>
      <c r="G228" t="s">
        <v>15</v>
      </c>
      <c r="H228" s="11">
        <v>45987</v>
      </c>
      <c r="I228" t="s">
        <v>21</v>
      </c>
      <c r="J228" s="12">
        <v>4.75</v>
      </c>
      <c r="K228" s="3">
        <v>181.64</v>
      </c>
      <c r="L228" s="3">
        <f t="shared" si="33"/>
        <v>38.239999999999995</v>
      </c>
      <c r="M228" s="13"/>
      <c r="N228">
        <f>_xlfn.XLOOKUP(G228,'Tarievensheet per persoon'!AE:AE,'Tarievensheet per persoon'!AF:AF)</f>
        <v>1.7024999999999999</v>
      </c>
      <c r="O228">
        <f>_xlfn.XLOOKUP(G228,AE:AE,'Tarievensheet per persoon'!AG:AG)</f>
        <v>1.5642</v>
      </c>
      <c r="P228">
        <f>_xlfn.XLOOKUP(G228,AE:AE,'Tarievensheet per persoon'!AH:AH)</f>
        <v>1.3552</v>
      </c>
      <c r="Q228">
        <f>_xlfn.XLOOKUP(G228,AE:AE,'Tarievensheet per persoon'!AI:AI)</f>
        <v>1.3552</v>
      </c>
      <c r="R228">
        <v>0</v>
      </c>
      <c r="S228" s="14">
        <v>2.99</v>
      </c>
      <c r="T228" s="10">
        <f t="shared" si="34"/>
        <v>30.042724999999997</v>
      </c>
      <c r="U228" s="10">
        <f t="shared" si="35"/>
        <v>38.244920539999995</v>
      </c>
      <c r="V228" s="10">
        <f t="shared" si="36"/>
        <v>38.7420233</v>
      </c>
      <c r="W228" s="10">
        <f t="shared" si="37"/>
        <v>49.926835400000002</v>
      </c>
      <c r="X228" s="10">
        <f t="shared" si="38"/>
        <v>54.897863000000001</v>
      </c>
      <c r="Y228" s="10">
        <f t="shared" si="39"/>
        <v>79.753000999999998</v>
      </c>
      <c r="Z228" s="10">
        <f t="shared" si="40"/>
        <v>28.421254399999995</v>
      </c>
      <c r="AA228" s="10">
        <f t="shared" si="41"/>
        <v>36.541612800000003</v>
      </c>
      <c r="AB228" s="10">
        <f t="shared" si="42"/>
        <v>40.601792000000003</v>
      </c>
      <c r="AC228" s="10">
        <f t="shared" si="43"/>
        <v>60.902687999999998</v>
      </c>
    </row>
    <row r="229" spans="1:29" x14ac:dyDescent="0.25">
      <c r="A229">
        <v>399664</v>
      </c>
      <c r="B229" t="s">
        <v>41</v>
      </c>
      <c r="C229" s="10">
        <v>15.89</v>
      </c>
      <c r="D229" s="10">
        <v>14.98</v>
      </c>
      <c r="E229" s="10">
        <v>0</v>
      </c>
      <c r="F229">
        <v>38</v>
      </c>
      <c r="G229" t="s">
        <v>15</v>
      </c>
      <c r="H229" s="11">
        <v>45988</v>
      </c>
      <c r="I229" t="s">
        <v>13</v>
      </c>
      <c r="J229" s="12">
        <v>1.75</v>
      </c>
      <c r="K229" s="3">
        <v>52.57</v>
      </c>
      <c r="L229" s="3">
        <f t="shared" si="33"/>
        <v>30.04</v>
      </c>
      <c r="M229" s="13"/>
      <c r="N229">
        <f>_xlfn.XLOOKUP(G229,'Tarievensheet per persoon'!AE:AE,'Tarievensheet per persoon'!AF:AF)</f>
        <v>1.7024999999999999</v>
      </c>
      <c r="O229">
        <f>_xlfn.XLOOKUP(G229,AE:AE,'Tarievensheet per persoon'!AG:AG)</f>
        <v>1.5642</v>
      </c>
      <c r="P229">
        <f>_xlfn.XLOOKUP(G229,AE:AE,'Tarievensheet per persoon'!AH:AH)</f>
        <v>1.3552</v>
      </c>
      <c r="Q229">
        <f>_xlfn.XLOOKUP(G229,AE:AE,'Tarievensheet per persoon'!AI:AI)</f>
        <v>1.3552</v>
      </c>
      <c r="R229">
        <v>0</v>
      </c>
      <c r="S229" s="14">
        <v>2.99</v>
      </c>
      <c r="T229" s="10">
        <f t="shared" si="34"/>
        <v>30.042724999999997</v>
      </c>
      <c r="U229" s="10">
        <f t="shared" si="35"/>
        <v>38.244920539999995</v>
      </c>
      <c r="V229" s="10">
        <f t="shared" si="36"/>
        <v>38.7420233</v>
      </c>
      <c r="W229" s="10">
        <f t="shared" si="37"/>
        <v>49.926835400000002</v>
      </c>
      <c r="X229" s="10">
        <f t="shared" si="38"/>
        <v>54.897863000000001</v>
      </c>
      <c r="Y229" s="10">
        <f t="shared" si="39"/>
        <v>79.753000999999998</v>
      </c>
      <c r="Z229" s="10">
        <f t="shared" si="40"/>
        <v>28.421254399999995</v>
      </c>
      <c r="AA229" s="10">
        <f t="shared" si="41"/>
        <v>36.541612800000003</v>
      </c>
      <c r="AB229" s="10">
        <f t="shared" si="42"/>
        <v>40.601792000000003</v>
      </c>
      <c r="AC229" s="10">
        <f t="shared" si="43"/>
        <v>60.902687999999998</v>
      </c>
    </row>
    <row r="230" spans="1:29" x14ac:dyDescent="0.25">
      <c r="A230">
        <v>399664</v>
      </c>
      <c r="B230" t="s">
        <v>41</v>
      </c>
      <c r="C230" s="10">
        <v>15.89</v>
      </c>
      <c r="D230" s="10">
        <v>14.98</v>
      </c>
      <c r="E230" s="10">
        <v>0</v>
      </c>
      <c r="F230">
        <v>38</v>
      </c>
      <c r="G230" t="s">
        <v>15</v>
      </c>
      <c r="H230" s="11">
        <v>45988</v>
      </c>
      <c r="I230" t="s">
        <v>23</v>
      </c>
      <c r="J230" s="12">
        <v>0.5</v>
      </c>
      <c r="K230" s="3">
        <v>14.21</v>
      </c>
      <c r="L230" s="3">
        <f t="shared" si="33"/>
        <v>28.42</v>
      </c>
      <c r="M230" s="13"/>
      <c r="N230">
        <f>_xlfn.XLOOKUP(G230,'Tarievensheet per persoon'!AE:AE,'Tarievensheet per persoon'!AF:AF)</f>
        <v>1.7024999999999999</v>
      </c>
      <c r="O230">
        <f>_xlfn.XLOOKUP(G230,AE:AE,'Tarievensheet per persoon'!AG:AG)</f>
        <v>1.5642</v>
      </c>
      <c r="P230">
        <f>_xlfn.XLOOKUP(G230,AE:AE,'Tarievensheet per persoon'!AH:AH)</f>
        <v>1.3552</v>
      </c>
      <c r="Q230">
        <f>_xlfn.XLOOKUP(G230,AE:AE,'Tarievensheet per persoon'!AI:AI)</f>
        <v>1.3552</v>
      </c>
      <c r="R230">
        <v>0</v>
      </c>
      <c r="S230" s="14">
        <v>2.99</v>
      </c>
      <c r="T230" s="10">
        <f t="shared" si="34"/>
        <v>30.042724999999997</v>
      </c>
      <c r="U230" s="10">
        <f t="shared" si="35"/>
        <v>38.244920539999995</v>
      </c>
      <c r="V230" s="10">
        <f t="shared" si="36"/>
        <v>38.7420233</v>
      </c>
      <c r="W230" s="10">
        <f t="shared" si="37"/>
        <v>49.926835400000002</v>
      </c>
      <c r="X230" s="10">
        <f t="shared" si="38"/>
        <v>54.897863000000001</v>
      </c>
      <c r="Y230" s="10">
        <f t="shared" si="39"/>
        <v>79.753000999999998</v>
      </c>
      <c r="Z230" s="10">
        <f t="shared" si="40"/>
        <v>28.421254399999995</v>
      </c>
      <c r="AA230" s="10">
        <f t="shared" si="41"/>
        <v>36.541612800000003</v>
      </c>
      <c r="AB230" s="10">
        <f t="shared" si="42"/>
        <v>40.601792000000003</v>
      </c>
      <c r="AC230" s="10">
        <f t="shared" si="43"/>
        <v>60.902687999999998</v>
      </c>
    </row>
    <row r="231" spans="1:29" x14ac:dyDescent="0.25">
      <c r="A231">
        <v>399664</v>
      </c>
      <c r="B231" t="s">
        <v>41</v>
      </c>
      <c r="C231" s="10">
        <v>15.89</v>
      </c>
      <c r="D231" s="10">
        <v>14.98</v>
      </c>
      <c r="E231" s="10">
        <v>0</v>
      </c>
      <c r="F231">
        <v>38</v>
      </c>
      <c r="G231" t="s">
        <v>15</v>
      </c>
      <c r="H231" s="11">
        <v>45988</v>
      </c>
      <c r="I231" t="s">
        <v>21</v>
      </c>
      <c r="J231" s="12">
        <v>5.25</v>
      </c>
      <c r="K231" s="3">
        <v>200.76</v>
      </c>
      <c r="L231" s="3">
        <f t="shared" si="33"/>
        <v>38.239999999999995</v>
      </c>
      <c r="M231" s="13"/>
      <c r="N231">
        <f>_xlfn.XLOOKUP(G231,'Tarievensheet per persoon'!AE:AE,'Tarievensheet per persoon'!AF:AF)</f>
        <v>1.7024999999999999</v>
      </c>
      <c r="O231">
        <f>_xlfn.XLOOKUP(G231,AE:AE,'Tarievensheet per persoon'!AG:AG)</f>
        <v>1.5642</v>
      </c>
      <c r="P231">
        <f>_xlfn.XLOOKUP(G231,AE:AE,'Tarievensheet per persoon'!AH:AH)</f>
        <v>1.3552</v>
      </c>
      <c r="Q231">
        <f>_xlfn.XLOOKUP(G231,AE:AE,'Tarievensheet per persoon'!AI:AI)</f>
        <v>1.3552</v>
      </c>
      <c r="R231">
        <v>0</v>
      </c>
      <c r="S231" s="14">
        <v>2.99</v>
      </c>
      <c r="T231" s="10">
        <f t="shared" si="34"/>
        <v>30.042724999999997</v>
      </c>
      <c r="U231" s="10">
        <f t="shared" si="35"/>
        <v>38.244920539999995</v>
      </c>
      <c r="V231" s="10">
        <f t="shared" si="36"/>
        <v>38.7420233</v>
      </c>
      <c r="W231" s="10">
        <f t="shared" si="37"/>
        <v>49.926835400000002</v>
      </c>
      <c r="X231" s="10">
        <f t="shared" si="38"/>
        <v>54.897863000000001</v>
      </c>
      <c r="Y231" s="10">
        <f t="shared" si="39"/>
        <v>79.753000999999998</v>
      </c>
      <c r="Z231" s="10">
        <f t="shared" si="40"/>
        <v>28.421254399999995</v>
      </c>
      <c r="AA231" s="10">
        <f t="shared" si="41"/>
        <v>36.541612800000003</v>
      </c>
      <c r="AB231" s="10">
        <f t="shared" si="42"/>
        <v>40.601792000000003</v>
      </c>
      <c r="AC231" s="10">
        <f t="shared" si="43"/>
        <v>60.902687999999998</v>
      </c>
    </row>
    <row r="232" spans="1:29" x14ac:dyDescent="0.25">
      <c r="A232">
        <v>399664</v>
      </c>
      <c r="B232" t="s">
        <v>41</v>
      </c>
      <c r="C232" s="10">
        <v>15.89</v>
      </c>
      <c r="D232" s="10">
        <v>14.98</v>
      </c>
      <c r="E232" s="10">
        <v>0</v>
      </c>
      <c r="F232">
        <v>38</v>
      </c>
      <c r="G232" t="s">
        <v>15</v>
      </c>
      <c r="H232" s="11">
        <v>45989</v>
      </c>
      <c r="I232" t="s">
        <v>13</v>
      </c>
      <c r="J232" s="12">
        <v>2</v>
      </c>
      <c r="K232" s="3">
        <v>60.08</v>
      </c>
      <c r="L232" s="3">
        <f t="shared" si="33"/>
        <v>30.04</v>
      </c>
      <c r="M232" s="13"/>
      <c r="N232">
        <f>_xlfn.XLOOKUP(G232,'Tarievensheet per persoon'!AE:AE,'Tarievensheet per persoon'!AF:AF)</f>
        <v>1.7024999999999999</v>
      </c>
      <c r="O232">
        <f>_xlfn.XLOOKUP(G232,AE:AE,'Tarievensheet per persoon'!AG:AG)</f>
        <v>1.5642</v>
      </c>
      <c r="P232">
        <f>_xlfn.XLOOKUP(G232,AE:AE,'Tarievensheet per persoon'!AH:AH)</f>
        <v>1.3552</v>
      </c>
      <c r="Q232">
        <f>_xlfn.XLOOKUP(G232,AE:AE,'Tarievensheet per persoon'!AI:AI)</f>
        <v>1.3552</v>
      </c>
      <c r="R232">
        <v>0</v>
      </c>
      <c r="S232" s="14">
        <v>2.99</v>
      </c>
      <c r="T232" s="10">
        <f t="shared" si="34"/>
        <v>30.042724999999997</v>
      </c>
      <c r="U232" s="10">
        <f t="shared" si="35"/>
        <v>38.244920539999995</v>
      </c>
      <c r="V232" s="10">
        <f t="shared" si="36"/>
        <v>38.7420233</v>
      </c>
      <c r="W232" s="10">
        <f t="shared" si="37"/>
        <v>49.926835400000002</v>
      </c>
      <c r="X232" s="10">
        <f t="shared" si="38"/>
        <v>54.897863000000001</v>
      </c>
      <c r="Y232" s="10">
        <f t="shared" si="39"/>
        <v>79.753000999999998</v>
      </c>
      <c r="Z232" s="10">
        <f t="shared" si="40"/>
        <v>28.421254399999995</v>
      </c>
      <c r="AA232" s="10">
        <f t="shared" si="41"/>
        <v>36.541612800000003</v>
      </c>
      <c r="AB232" s="10">
        <f t="shared" si="42"/>
        <v>40.601792000000003</v>
      </c>
      <c r="AC232" s="10">
        <f t="shared" si="43"/>
        <v>60.902687999999998</v>
      </c>
    </row>
    <row r="233" spans="1:29" x14ac:dyDescent="0.25">
      <c r="A233">
        <v>399664</v>
      </c>
      <c r="B233" t="s">
        <v>41</v>
      </c>
      <c r="C233" s="10">
        <v>15.89</v>
      </c>
      <c r="D233" s="10">
        <v>14.98</v>
      </c>
      <c r="E233" s="10">
        <v>0</v>
      </c>
      <c r="F233">
        <v>38</v>
      </c>
      <c r="G233" t="s">
        <v>15</v>
      </c>
      <c r="H233" s="11">
        <v>45989</v>
      </c>
      <c r="I233" t="s">
        <v>21</v>
      </c>
      <c r="J233" s="12">
        <v>5</v>
      </c>
      <c r="K233" s="3">
        <v>191.2</v>
      </c>
      <c r="L233" s="3">
        <f t="shared" si="33"/>
        <v>38.239999999999995</v>
      </c>
      <c r="M233" s="13"/>
      <c r="N233">
        <f>_xlfn.XLOOKUP(G233,'Tarievensheet per persoon'!AE:AE,'Tarievensheet per persoon'!AF:AF)</f>
        <v>1.7024999999999999</v>
      </c>
      <c r="O233">
        <f>_xlfn.XLOOKUP(G233,AE:AE,'Tarievensheet per persoon'!AG:AG)</f>
        <v>1.5642</v>
      </c>
      <c r="P233">
        <f>_xlfn.XLOOKUP(G233,AE:AE,'Tarievensheet per persoon'!AH:AH)</f>
        <v>1.3552</v>
      </c>
      <c r="Q233">
        <f>_xlfn.XLOOKUP(G233,AE:AE,'Tarievensheet per persoon'!AI:AI)</f>
        <v>1.3552</v>
      </c>
      <c r="R233">
        <v>0</v>
      </c>
      <c r="S233" s="14">
        <v>2.99</v>
      </c>
      <c r="T233" s="10">
        <f t="shared" si="34"/>
        <v>30.042724999999997</v>
      </c>
      <c r="U233" s="10">
        <f t="shared" si="35"/>
        <v>38.244920539999995</v>
      </c>
      <c r="V233" s="10">
        <f t="shared" si="36"/>
        <v>38.7420233</v>
      </c>
      <c r="W233" s="10">
        <f t="shared" si="37"/>
        <v>49.926835400000002</v>
      </c>
      <c r="X233" s="10">
        <f t="shared" si="38"/>
        <v>54.897863000000001</v>
      </c>
      <c r="Y233" s="10">
        <f t="shared" si="39"/>
        <v>79.753000999999998</v>
      </c>
      <c r="Z233" s="10">
        <f t="shared" si="40"/>
        <v>28.421254399999995</v>
      </c>
      <c r="AA233" s="10">
        <f t="shared" si="41"/>
        <v>36.541612800000003</v>
      </c>
      <c r="AB233" s="10">
        <f t="shared" si="42"/>
        <v>40.601792000000003</v>
      </c>
      <c r="AC233" s="10">
        <f t="shared" si="43"/>
        <v>60.902687999999998</v>
      </c>
    </row>
    <row r="234" spans="1:29" x14ac:dyDescent="0.25">
      <c r="A234">
        <v>399664</v>
      </c>
      <c r="B234" t="s">
        <v>41</v>
      </c>
      <c r="C234" s="10">
        <v>15.89</v>
      </c>
      <c r="D234" s="10">
        <v>14.98</v>
      </c>
      <c r="E234" s="10">
        <v>0</v>
      </c>
      <c r="F234">
        <v>38</v>
      </c>
      <c r="G234" t="s">
        <v>15</v>
      </c>
      <c r="H234" s="11">
        <v>45989</v>
      </c>
      <c r="I234" t="s">
        <v>22</v>
      </c>
      <c r="J234" s="12">
        <v>0.5</v>
      </c>
      <c r="K234" s="3">
        <v>19.37</v>
      </c>
      <c r="L234" s="3">
        <f t="shared" si="33"/>
        <v>38.74</v>
      </c>
      <c r="M234" s="13"/>
      <c r="N234">
        <f>_xlfn.XLOOKUP(G234,'Tarievensheet per persoon'!AE:AE,'Tarievensheet per persoon'!AF:AF)</f>
        <v>1.7024999999999999</v>
      </c>
      <c r="O234">
        <f>_xlfn.XLOOKUP(G234,AE:AE,'Tarievensheet per persoon'!AG:AG)</f>
        <v>1.5642</v>
      </c>
      <c r="P234">
        <f>_xlfn.XLOOKUP(G234,AE:AE,'Tarievensheet per persoon'!AH:AH)</f>
        <v>1.3552</v>
      </c>
      <c r="Q234">
        <f>_xlfn.XLOOKUP(G234,AE:AE,'Tarievensheet per persoon'!AI:AI)</f>
        <v>1.3552</v>
      </c>
      <c r="R234">
        <v>0</v>
      </c>
      <c r="S234" s="14">
        <v>2.99</v>
      </c>
      <c r="T234" s="10">
        <f t="shared" si="34"/>
        <v>30.042724999999997</v>
      </c>
      <c r="U234" s="10">
        <f t="shared" si="35"/>
        <v>38.244920539999995</v>
      </c>
      <c r="V234" s="10">
        <f t="shared" si="36"/>
        <v>38.7420233</v>
      </c>
      <c r="W234" s="10">
        <f t="shared" si="37"/>
        <v>49.926835400000002</v>
      </c>
      <c r="X234" s="10">
        <f t="shared" si="38"/>
        <v>54.897863000000001</v>
      </c>
      <c r="Y234" s="10">
        <f t="shared" si="39"/>
        <v>79.753000999999998</v>
      </c>
      <c r="Z234" s="10">
        <f t="shared" si="40"/>
        <v>28.421254399999995</v>
      </c>
      <c r="AA234" s="10">
        <f t="shared" si="41"/>
        <v>36.541612800000003</v>
      </c>
      <c r="AB234" s="10">
        <f t="shared" si="42"/>
        <v>40.601792000000003</v>
      </c>
      <c r="AC234" s="10">
        <f t="shared" si="43"/>
        <v>60.902687999999998</v>
      </c>
    </row>
    <row r="235" spans="1:29" x14ac:dyDescent="0.25">
      <c r="A235">
        <v>400658</v>
      </c>
      <c r="B235" t="s">
        <v>42</v>
      </c>
      <c r="C235" s="10">
        <v>16.09</v>
      </c>
      <c r="D235" s="10">
        <v>15.17</v>
      </c>
      <c r="E235" s="10">
        <v>0</v>
      </c>
      <c r="F235">
        <v>94</v>
      </c>
      <c r="G235" t="s">
        <v>19</v>
      </c>
      <c r="H235" s="11">
        <v>45986</v>
      </c>
      <c r="I235" t="s">
        <v>13</v>
      </c>
      <c r="J235" s="12">
        <v>2.25</v>
      </c>
      <c r="K235" s="3">
        <v>68.510000000000005</v>
      </c>
      <c r="L235" s="3">
        <f t="shared" si="33"/>
        <v>30.448888888888892</v>
      </c>
      <c r="M235" s="13"/>
      <c r="N235">
        <f>_xlfn.XLOOKUP(G235,'Tarievensheet per persoon'!AE:AE,'Tarievensheet per persoon'!AF:AF)</f>
        <v>1.7068000000000001</v>
      </c>
      <c r="O235">
        <f>_xlfn.XLOOKUP(G235,AE:AE,'Tarievensheet per persoon'!AG:AG)</f>
        <v>1.5528</v>
      </c>
      <c r="P235">
        <f>_xlfn.XLOOKUP(G235,AE:AE,'Tarievensheet per persoon'!AH:AH)</f>
        <v>1.3391999999999999</v>
      </c>
      <c r="Q235">
        <f>_xlfn.XLOOKUP(G235,AE:AE,'Tarievensheet per persoon'!AI:AI)</f>
        <v>1.3391999999999999</v>
      </c>
      <c r="R235">
        <v>0</v>
      </c>
      <c r="S235" s="14">
        <v>2.99</v>
      </c>
      <c r="T235" s="10">
        <f t="shared" si="34"/>
        <v>30.452412000000002</v>
      </c>
      <c r="U235" s="10">
        <f t="shared" si="35"/>
        <v>38.697314160000005</v>
      </c>
      <c r="V235" s="10">
        <f t="shared" si="36"/>
        <v>39.197005200000007</v>
      </c>
      <c r="W235" s="10">
        <f t="shared" si="37"/>
        <v>50.440053599999999</v>
      </c>
      <c r="X235" s="10">
        <f t="shared" si="38"/>
        <v>55.436964000000003</v>
      </c>
      <c r="Y235" s="10">
        <f t="shared" si="39"/>
        <v>80.421515999999997</v>
      </c>
      <c r="Z235" s="10">
        <f t="shared" si="40"/>
        <v>28.441929599999998</v>
      </c>
      <c r="AA235" s="10">
        <f t="shared" si="41"/>
        <v>36.568195199999998</v>
      </c>
      <c r="AB235" s="10">
        <f t="shared" si="42"/>
        <v>40.631327999999996</v>
      </c>
      <c r="AC235" s="10">
        <f t="shared" si="43"/>
        <v>60.946991999999995</v>
      </c>
    </row>
    <row r="236" spans="1:29" x14ac:dyDescent="0.25">
      <c r="A236">
        <v>400658</v>
      </c>
      <c r="B236" t="s">
        <v>42</v>
      </c>
      <c r="C236" s="10">
        <v>16.09</v>
      </c>
      <c r="D236" s="10">
        <v>15.17</v>
      </c>
      <c r="E236" s="10">
        <v>0</v>
      </c>
      <c r="F236">
        <v>94</v>
      </c>
      <c r="G236" t="s">
        <v>19</v>
      </c>
      <c r="H236" s="11">
        <v>45986</v>
      </c>
      <c r="I236" t="s">
        <v>21</v>
      </c>
      <c r="J236" s="12">
        <v>5</v>
      </c>
      <c r="K236" s="3">
        <v>193.45</v>
      </c>
      <c r="L236" s="3">
        <f t="shared" si="33"/>
        <v>38.69</v>
      </c>
      <c r="M236" s="13"/>
      <c r="N236">
        <f>_xlfn.XLOOKUP(G236,'Tarievensheet per persoon'!AE:AE,'Tarievensheet per persoon'!AF:AF)</f>
        <v>1.7068000000000001</v>
      </c>
      <c r="O236">
        <f>_xlfn.XLOOKUP(G236,AE:AE,'Tarievensheet per persoon'!AG:AG)</f>
        <v>1.5528</v>
      </c>
      <c r="P236">
        <f>_xlfn.XLOOKUP(G236,AE:AE,'Tarievensheet per persoon'!AH:AH)</f>
        <v>1.3391999999999999</v>
      </c>
      <c r="Q236">
        <f>_xlfn.XLOOKUP(G236,AE:AE,'Tarievensheet per persoon'!AI:AI)</f>
        <v>1.3391999999999999</v>
      </c>
      <c r="R236">
        <v>0</v>
      </c>
      <c r="S236" s="14">
        <v>2.99</v>
      </c>
      <c r="T236" s="10">
        <f t="shared" si="34"/>
        <v>30.452412000000002</v>
      </c>
      <c r="U236" s="10">
        <f t="shared" si="35"/>
        <v>38.697314160000005</v>
      </c>
      <c r="V236" s="10">
        <f t="shared" si="36"/>
        <v>39.197005200000007</v>
      </c>
      <c r="W236" s="10">
        <f t="shared" si="37"/>
        <v>50.440053599999999</v>
      </c>
      <c r="X236" s="10">
        <f t="shared" si="38"/>
        <v>55.436964000000003</v>
      </c>
      <c r="Y236" s="10">
        <f t="shared" si="39"/>
        <v>80.421515999999997</v>
      </c>
      <c r="Z236" s="10">
        <f t="shared" si="40"/>
        <v>28.441929599999998</v>
      </c>
      <c r="AA236" s="10">
        <f t="shared" si="41"/>
        <v>36.568195199999998</v>
      </c>
      <c r="AB236" s="10">
        <f t="shared" si="42"/>
        <v>40.631327999999996</v>
      </c>
      <c r="AC236" s="10">
        <f t="shared" si="43"/>
        <v>60.946991999999995</v>
      </c>
    </row>
    <row r="237" spans="1:29" x14ac:dyDescent="0.25">
      <c r="A237">
        <v>400658</v>
      </c>
      <c r="B237" t="s">
        <v>42</v>
      </c>
      <c r="C237" s="10">
        <v>16.09</v>
      </c>
      <c r="D237" s="10">
        <v>15.17</v>
      </c>
      <c r="E237" s="10">
        <v>0</v>
      </c>
      <c r="F237">
        <v>94</v>
      </c>
      <c r="G237" t="s">
        <v>19</v>
      </c>
      <c r="H237" s="11">
        <v>45987</v>
      </c>
      <c r="I237" t="s">
        <v>13</v>
      </c>
      <c r="J237" s="12">
        <v>2.25</v>
      </c>
      <c r="K237" s="3">
        <v>68.510000000000005</v>
      </c>
      <c r="L237" s="3">
        <f t="shared" si="33"/>
        <v>30.448888888888892</v>
      </c>
      <c r="M237" s="13"/>
      <c r="N237">
        <f>_xlfn.XLOOKUP(G237,'Tarievensheet per persoon'!AE:AE,'Tarievensheet per persoon'!AF:AF)</f>
        <v>1.7068000000000001</v>
      </c>
      <c r="O237">
        <f>_xlfn.XLOOKUP(G237,AE:AE,'Tarievensheet per persoon'!AG:AG)</f>
        <v>1.5528</v>
      </c>
      <c r="P237">
        <f>_xlfn.XLOOKUP(G237,AE:AE,'Tarievensheet per persoon'!AH:AH)</f>
        <v>1.3391999999999999</v>
      </c>
      <c r="Q237">
        <f>_xlfn.XLOOKUP(G237,AE:AE,'Tarievensheet per persoon'!AI:AI)</f>
        <v>1.3391999999999999</v>
      </c>
      <c r="R237">
        <v>0</v>
      </c>
      <c r="S237" s="14">
        <v>2.99</v>
      </c>
      <c r="T237" s="10">
        <f t="shared" si="34"/>
        <v>30.452412000000002</v>
      </c>
      <c r="U237" s="10">
        <f t="shared" si="35"/>
        <v>38.697314160000005</v>
      </c>
      <c r="V237" s="10">
        <f t="shared" si="36"/>
        <v>39.197005200000007</v>
      </c>
      <c r="W237" s="10">
        <f t="shared" si="37"/>
        <v>50.440053599999999</v>
      </c>
      <c r="X237" s="10">
        <f t="shared" si="38"/>
        <v>55.436964000000003</v>
      </c>
      <c r="Y237" s="10">
        <f t="shared" si="39"/>
        <v>80.421515999999997</v>
      </c>
      <c r="Z237" s="10">
        <f t="shared" si="40"/>
        <v>28.441929599999998</v>
      </c>
      <c r="AA237" s="10">
        <f t="shared" si="41"/>
        <v>36.568195199999998</v>
      </c>
      <c r="AB237" s="10">
        <f t="shared" si="42"/>
        <v>40.631327999999996</v>
      </c>
      <c r="AC237" s="10">
        <f t="shared" si="43"/>
        <v>60.946991999999995</v>
      </c>
    </row>
    <row r="238" spans="1:29" x14ac:dyDescent="0.25">
      <c r="A238">
        <v>400658</v>
      </c>
      <c r="B238" t="s">
        <v>42</v>
      </c>
      <c r="C238" s="10">
        <v>16.09</v>
      </c>
      <c r="D238" s="10">
        <v>15.17</v>
      </c>
      <c r="E238" s="10">
        <v>0</v>
      </c>
      <c r="F238">
        <v>94</v>
      </c>
      <c r="G238" t="s">
        <v>19</v>
      </c>
      <c r="H238" s="11">
        <v>45987</v>
      </c>
      <c r="I238" t="s">
        <v>21</v>
      </c>
      <c r="J238" s="12">
        <v>5</v>
      </c>
      <c r="K238" s="3">
        <v>193.45</v>
      </c>
      <c r="L238" s="3">
        <f t="shared" si="33"/>
        <v>38.69</v>
      </c>
      <c r="M238" s="13"/>
      <c r="N238">
        <f>_xlfn.XLOOKUP(G238,'Tarievensheet per persoon'!AE:AE,'Tarievensheet per persoon'!AF:AF)</f>
        <v>1.7068000000000001</v>
      </c>
      <c r="O238">
        <f>_xlfn.XLOOKUP(G238,AE:AE,'Tarievensheet per persoon'!AG:AG)</f>
        <v>1.5528</v>
      </c>
      <c r="P238">
        <f>_xlfn.XLOOKUP(G238,AE:AE,'Tarievensheet per persoon'!AH:AH)</f>
        <v>1.3391999999999999</v>
      </c>
      <c r="Q238">
        <f>_xlfn.XLOOKUP(G238,AE:AE,'Tarievensheet per persoon'!AI:AI)</f>
        <v>1.3391999999999999</v>
      </c>
      <c r="R238">
        <v>0</v>
      </c>
      <c r="S238" s="14">
        <v>2.99</v>
      </c>
      <c r="T238" s="10">
        <f t="shared" si="34"/>
        <v>30.452412000000002</v>
      </c>
      <c r="U238" s="10">
        <f t="shared" si="35"/>
        <v>38.697314160000005</v>
      </c>
      <c r="V238" s="10">
        <f t="shared" si="36"/>
        <v>39.197005200000007</v>
      </c>
      <c r="W238" s="10">
        <f t="shared" si="37"/>
        <v>50.440053599999999</v>
      </c>
      <c r="X238" s="10">
        <f t="shared" si="38"/>
        <v>55.436964000000003</v>
      </c>
      <c r="Y238" s="10">
        <f t="shared" si="39"/>
        <v>80.421515999999997</v>
      </c>
      <c r="Z238" s="10">
        <f t="shared" si="40"/>
        <v>28.441929599999998</v>
      </c>
      <c r="AA238" s="10">
        <f t="shared" si="41"/>
        <v>36.568195199999998</v>
      </c>
      <c r="AB238" s="10">
        <f t="shared" si="42"/>
        <v>40.631327999999996</v>
      </c>
      <c r="AC238" s="10">
        <f t="shared" si="43"/>
        <v>60.946991999999995</v>
      </c>
    </row>
    <row r="239" spans="1:29" x14ac:dyDescent="0.25">
      <c r="A239">
        <v>400658</v>
      </c>
      <c r="B239" t="s">
        <v>42</v>
      </c>
      <c r="C239" s="10">
        <v>16.09</v>
      </c>
      <c r="D239" s="10">
        <v>15.17</v>
      </c>
      <c r="E239" s="10">
        <v>0</v>
      </c>
      <c r="F239">
        <v>94</v>
      </c>
      <c r="G239" t="s">
        <v>19</v>
      </c>
      <c r="H239" s="11">
        <v>45988</v>
      </c>
      <c r="I239" t="s">
        <v>13</v>
      </c>
      <c r="J239" s="12">
        <v>2.25</v>
      </c>
      <c r="K239" s="3">
        <v>68.510000000000005</v>
      </c>
      <c r="L239" s="3">
        <f t="shared" si="33"/>
        <v>30.448888888888892</v>
      </c>
      <c r="M239" s="13"/>
      <c r="N239">
        <f>_xlfn.XLOOKUP(G239,'Tarievensheet per persoon'!AE:AE,'Tarievensheet per persoon'!AF:AF)</f>
        <v>1.7068000000000001</v>
      </c>
      <c r="O239">
        <f>_xlfn.XLOOKUP(G239,AE:AE,'Tarievensheet per persoon'!AG:AG)</f>
        <v>1.5528</v>
      </c>
      <c r="P239">
        <f>_xlfn.XLOOKUP(G239,AE:AE,'Tarievensheet per persoon'!AH:AH)</f>
        <v>1.3391999999999999</v>
      </c>
      <c r="Q239">
        <f>_xlfn.XLOOKUP(G239,AE:AE,'Tarievensheet per persoon'!AI:AI)</f>
        <v>1.3391999999999999</v>
      </c>
      <c r="R239">
        <v>0</v>
      </c>
      <c r="S239" s="14">
        <v>2.99</v>
      </c>
      <c r="T239" s="10">
        <f t="shared" si="34"/>
        <v>30.452412000000002</v>
      </c>
      <c r="U239" s="10">
        <f t="shared" si="35"/>
        <v>38.697314160000005</v>
      </c>
      <c r="V239" s="10">
        <f t="shared" si="36"/>
        <v>39.197005200000007</v>
      </c>
      <c r="W239" s="10">
        <f t="shared" si="37"/>
        <v>50.440053599999999</v>
      </c>
      <c r="X239" s="10">
        <f t="shared" si="38"/>
        <v>55.436964000000003</v>
      </c>
      <c r="Y239" s="10">
        <f t="shared" si="39"/>
        <v>80.421515999999997</v>
      </c>
      <c r="Z239" s="10">
        <f t="shared" si="40"/>
        <v>28.441929599999998</v>
      </c>
      <c r="AA239" s="10">
        <f t="shared" si="41"/>
        <v>36.568195199999998</v>
      </c>
      <c r="AB239" s="10">
        <f t="shared" si="42"/>
        <v>40.631327999999996</v>
      </c>
      <c r="AC239" s="10">
        <f t="shared" si="43"/>
        <v>60.946991999999995</v>
      </c>
    </row>
    <row r="240" spans="1:29" x14ac:dyDescent="0.25">
      <c r="A240">
        <v>400658</v>
      </c>
      <c r="B240" t="s">
        <v>42</v>
      </c>
      <c r="C240" s="10">
        <v>16.09</v>
      </c>
      <c r="D240" s="10">
        <v>15.17</v>
      </c>
      <c r="E240" s="10">
        <v>0</v>
      </c>
      <c r="F240">
        <v>94</v>
      </c>
      <c r="G240" t="s">
        <v>19</v>
      </c>
      <c r="H240" s="11">
        <v>45988</v>
      </c>
      <c r="I240" t="s">
        <v>21</v>
      </c>
      <c r="J240" s="12">
        <v>5.25</v>
      </c>
      <c r="K240" s="3">
        <v>203.12</v>
      </c>
      <c r="L240" s="3">
        <f t="shared" si="33"/>
        <v>38.689523809523813</v>
      </c>
      <c r="M240" s="13"/>
      <c r="N240">
        <f>_xlfn.XLOOKUP(G240,'Tarievensheet per persoon'!AE:AE,'Tarievensheet per persoon'!AF:AF)</f>
        <v>1.7068000000000001</v>
      </c>
      <c r="O240">
        <f>_xlfn.XLOOKUP(G240,AE:AE,'Tarievensheet per persoon'!AG:AG)</f>
        <v>1.5528</v>
      </c>
      <c r="P240">
        <f>_xlfn.XLOOKUP(G240,AE:AE,'Tarievensheet per persoon'!AH:AH)</f>
        <v>1.3391999999999999</v>
      </c>
      <c r="Q240">
        <f>_xlfn.XLOOKUP(G240,AE:AE,'Tarievensheet per persoon'!AI:AI)</f>
        <v>1.3391999999999999</v>
      </c>
      <c r="R240">
        <v>0</v>
      </c>
      <c r="S240" s="14">
        <v>2.99</v>
      </c>
      <c r="T240" s="10">
        <f t="shared" si="34"/>
        <v>30.452412000000002</v>
      </c>
      <c r="U240" s="10">
        <f t="shared" si="35"/>
        <v>38.697314160000005</v>
      </c>
      <c r="V240" s="10">
        <f t="shared" si="36"/>
        <v>39.197005200000007</v>
      </c>
      <c r="W240" s="10">
        <f t="shared" si="37"/>
        <v>50.440053599999999</v>
      </c>
      <c r="X240" s="10">
        <f t="shared" si="38"/>
        <v>55.436964000000003</v>
      </c>
      <c r="Y240" s="10">
        <f t="shared" si="39"/>
        <v>80.421515999999997</v>
      </c>
      <c r="Z240" s="10">
        <f t="shared" si="40"/>
        <v>28.441929599999998</v>
      </c>
      <c r="AA240" s="10">
        <f t="shared" si="41"/>
        <v>36.568195199999998</v>
      </c>
      <c r="AB240" s="10">
        <f t="shared" si="42"/>
        <v>40.631327999999996</v>
      </c>
      <c r="AC240" s="10">
        <f t="shared" si="43"/>
        <v>60.946991999999995</v>
      </c>
    </row>
    <row r="241" spans="1:29" x14ac:dyDescent="0.25">
      <c r="A241">
        <v>400658</v>
      </c>
      <c r="B241" t="s">
        <v>42</v>
      </c>
      <c r="C241" s="10">
        <v>16.09</v>
      </c>
      <c r="D241" s="10">
        <v>15.17</v>
      </c>
      <c r="E241" s="10">
        <v>0</v>
      </c>
      <c r="F241">
        <v>94</v>
      </c>
      <c r="G241" t="s">
        <v>19</v>
      </c>
      <c r="H241" s="11">
        <v>45989</v>
      </c>
      <c r="I241" t="s">
        <v>13</v>
      </c>
      <c r="J241" s="12">
        <v>2.25</v>
      </c>
      <c r="K241" s="3">
        <v>68.510000000000005</v>
      </c>
      <c r="L241" s="3">
        <f t="shared" si="33"/>
        <v>30.448888888888892</v>
      </c>
      <c r="M241" s="13"/>
      <c r="N241">
        <f>_xlfn.XLOOKUP(G241,'Tarievensheet per persoon'!AE:AE,'Tarievensheet per persoon'!AF:AF)</f>
        <v>1.7068000000000001</v>
      </c>
      <c r="O241">
        <f>_xlfn.XLOOKUP(G241,AE:AE,'Tarievensheet per persoon'!AG:AG)</f>
        <v>1.5528</v>
      </c>
      <c r="P241">
        <f>_xlfn.XLOOKUP(G241,AE:AE,'Tarievensheet per persoon'!AH:AH)</f>
        <v>1.3391999999999999</v>
      </c>
      <c r="Q241">
        <f>_xlfn.XLOOKUP(G241,AE:AE,'Tarievensheet per persoon'!AI:AI)</f>
        <v>1.3391999999999999</v>
      </c>
      <c r="R241">
        <v>0</v>
      </c>
      <c r="S241" s="14">
        <v>2.99</v>
      </c>
      <c r="T241" s="10">
        <f t="shared" si="34"/>
        <v>30.452412000000002</v>
      </c>
      <c r="U241" s="10">
        <f t="shared" si="35"/>
        <v>38.697314160000005</v>
      </c>
      <c r="V241" s="10">
        <f t="shared" si="36"/>
        <v>39.197005200000007</v>
      </c>
      <c r="W241" s="10">
        <f t="shared" si="37"/>
        <v>50.440053599999999</v>
      </c>
      <c r="X241" s="10">
        <f t="shared" si="38"/>
        <v>55.436964000000003</v>
      </c>
      <c r="Y241" s="10">
        <f t="shared" si="39"/>
        <v>80.421515999999997</v>
      </c>
      <c r="Z241" s="10">
        <f t="shared" si="40"/>
        <v>28.441929599999998</v>
      </c>
      <c r="AA241" s="10">
        <f t="shared" si="41"/>
        <v>36.568195199999998</v>
      </c>
      <c r="AB241" s="10">
        <f t="shared" si="42"/>
        <v>40.631327999999996</v>
      </c>
      <c r="AC241" s="10">
        <f t="shared" si="43"/>
        <v>60.946991999999995</v>
      </c>
    </row>
    <row r="242" spans="1:29" x14ac:dyDescent="0.25">
      <c r="A242">
        <v>400658</v>
      </c>
      <c r="B242" t="s">
        <v>42</v>
      </c>
      <c r="C242" s="10">
        <v>16.09</v>
      </c>
      <c r="D242" s="10">
        <v>15.17</v>
      </c>
      <c r="E242" s="10">
        <v>0</v>
      </c>
      <c r="F242">
        <v>94</v>
      </c>
      <c r="G242" t="s">
        <v>19</v>
      </c>
      <c r="H242" s="11">
        <v>45989</v>
      </c>
      <c r="I242" t="s">
        <v>21</v>
      </c>
      <c r="J242" s="12">
        <v>4.5</v>
      </c>
      <c r="K242" s="3">
        <v>174.11</v>
      </c>
      <c r="L242" s="3">
        <f t="shared" si="33"/>
        <v>38.691111111111113</v>
      </c>
      <c r="M242" s="13"/>
      <c r="N242">
        <f>_xlfn.XLOOKUP(G242,'Tarievensheet per persoon'!AE:AE,'Tarievensheet per persoon'!AF:AF)</f>
        <v>1.7068000000000001</v>
      </c>
      <c r="O242">
        <f>_xlfn.XLOOKUP(G242,AE:AE,'Tarievensheet per persoon'!AG:AG)</f>
        <v>1.5528</v>
      </c>
      <c r="P242">
        <f>_xlfn.XLOOKUP(G242,AE:AE,'Tarievensheet per persoon'!AH:AH)</f>
        <v>1.3391999999999999</v>
      </c>
      <c r="Q242">
        <f>_xlfn.XLOOKUP(G242,AE:AE,'Tarievensheet per persoon'!AI:AI)</f>
        <v>1.3391999999999999</v>
      </c>
      <c r="R242">
        <v>0</v>
      </c>
      <c r="S242" s="14">
        <v>2.99</v>
      </c>
      <c r="T242" s="10">
        <f t="shared" si="34"/>
        <v>30.452412000000002</v>
      </c>
      <c r="U242" s="10">
        <f t="shared" si="35"/>
        <v>38.697314160000005</v>
      </c>
      <c r="V242" s="10">
        <f t="shared" si="36"/>
        <v>39.197005200000007</v>
      </c>
      <c r="W242" s="10">
        <f t="shared" si="37"/>
        <v>50.440053599999999</v>
      </c>
      <c r="X242" s="10">
        <f t="shared" si="38"/>
        <v>55.436964000000003</v>
      </c>
      <c r="Y242" s="10">
        <f t="shared" si="39"/>
        <v>80.421515999999997</v>
      </c>
      <c r="Z242" s="10">
        <f t="shared" si="40"/>
        <v>28.441929599999998</v>
      </c>
      <c r="AA242" s="10">
        <f t="shared" si="41"/>
        <v>36.568195199999998</v>
      </c>
      <c r="AB242" s="10">
        <f t="shared" si="42"/>
        <v>40.631327999999996</v>
      </c>
      <c r="AC242" s="10">
        <f t="shared" si="43"/>
        <v>60.946991999999995</v>
      </c>
    </row>
    <row r="243" spans="1:29" x14ac:dyDescent="0.25">
      <c r="A243">
        <v>401068</v>
      </c>
      <c r="B243" t="s">
        <v>144</v>
      </c>
      <c r="C243" s="10">
        <v>16.09</v>
      </c>
      <c r="D243" s="10">
        <v>15.17</v>
      </c>
      <c r="E243" s="10">
        <v>0</v>
      </c>
      <c r="F243">
        <v>98</v>
      </c>
      <c r="G243" t="s">
        <v>19</v>
      </c>
      <c r="H243" s="11">
        <v>45985</v>
      </c>
      <c r="I243" t="s">
        <v>13</v>
      </c>
      <c r="J243" s="12">
        <v>8</v>
      </c>
      <c r="K243" s="3">
        <v>243.6</v>
      </c>
      <c r="L243" s="3">
        <f t="shared" si="33"/>
        <v>30.45</v>
      </c>
      <c r="M243" s="13"/>
      <c r="N243">
        <f>_xlfn.XLOOKUP(G243,'Tarievensheet per persoon'!AE:AE,'Tarievensheet per persoon'!AF:AF)</f>
        <v>1.7068000000000001</v>
      </c>
      <c r="O243">
        <f>_xlfn.XLOOKUP(G243,AE:AE,'Tarievensheet per persoon'!AG:AG)</f>
        <v>1.5528</v>
      </c>
      <c r="P243">
        <f>_xlfn.XLOOKUP(G243,AE:AE,'Tarievensheet per persoon'!AH:AH)</f>
        <v>1.3391999999999999</v>
      </c>
      <c r="Q243">
        <f>_xlfn.XLOOKUP(G243,AE:AE,'Tarievensheet per persoon'!AI:AI)</f>
        <v>1.3391999999999999</v>
      </c>
      <c r="R243">
        <v>0</v>
      </c>
      <c r="S243" s="14">
        <v>2.99</v>
      </c>
      <c r="T243" s="10">
        <f t="shared" si="34"/>
        <v>30.452412000000002</v>
      </c>
      <c r="U243" s="10">
        <f t="shared" si="35"/>
        <v>38.697314160000005</v>
      </c>
      <c r="V243" s="10">
        <f t="shared" si="36"/>
        <v>39.197005200000007</v>
      </c>
      <c r="W243" s="10">
        <f t="shared" si="37"/>
        <v>50.440053599999999</v>
      </c>
      <c r="X243" s="10">
        <f t="shared" si="38"/>
        <v>55.436964000000003</v>
      </c>
      <c r="Y243" s="10">
        <f t="shared" si="39"/>
        <v>80.421515999999997</v>
      </c>
      <c r="Z243" s="10">
        <f t="shared" si="40"/>
        <v>28.441929599999998</v>
      </c>
      <c r="AA243" s="10">
        <f t="shared" si="41"/>
        <v>36.568195199999998</v>
      </c>
      <c r="AB243" s="10">
        <f t="shared" si="42"/>
        <v>40.631327999999996</v>
      </c>
      <c r="AC243" s="10">
        <f t="shared" si="43"/>
        <v>60.946991999999995</v>
      </c>
    </row>
    <row r="244" spans="1:29" x14ac:dyDescent="0.25">
      <c r="A244">
        <v>401068</v>
      </c>
      <c r="B244" t="s">
        <v>144</v>
      </c>
      <c r="C244" s="10">
        <v>16.09</v>
      </c>
      <c r="D244" s="10">
        <v>15.17</v>
      </c>
      <c r="E244" s="10">
        <v>0</v>
      </c>
      <c r="F244">
        <v>98</v>
      </c>
      <c r="G244" t="s">
        <v>19</v>
      </c>
      <c r="H244" s="11">
        <v>45986</v>
      </c>
      <c r="I244" t="s">
        <v>13</v>
      </c>
      <c r="J244" s="12">
        <v>7.5</v>
      </c>
      <c r="K244" s="3">
        <v>228.38</v>
      </c>
      <c r="L244" s="3">
        <f t="shared" si="33"/>
        <v>30.450666666666667</v>
      </c>
      <c r="M244" s="13"/>
      <c r="N244">
        <f>_xlfn.XLOOKUP(G244,'Tarievensheet per persoon'!AE:AE,'Tarievensheet per persoon'!AF:AF)</f>
        <v>1.7068000000000001</v>
      </c>
      <c r="O244">
        <f>_xlfn.XLOOKUP(G244,AE:AE,'Tarievensheet per persoon'!AG:AG)</f>
        <v>1.5528</v>
      </c>
      <c r="P244">
        <f>_xlfn.XLOOKUP(G244,AE:AE,'Tarievensheet per persoon'!AH:AH)</f>
        <v>1.3391999999999999</v>
      </c>
      <c r="Q244">
        <f>_xlfn.XLOOKUP(G244,AE:AE,'Tarievensheet per persoon'!AI:AI)</f>
        <v>1.3391999999999999</v>
      </c>
      <c r="R244">
        <v>0</v>
      </c>
      <c r="S244" s="14">
        <v>2.99</v>
      </c>
      <c r="T244" s="10">
        <f t="shared" si="34"/>
        <v>30.452412000000002</v>
      </c>
      <c r="U244" s="10">
        <f t="shared" si="35"/>
        <v>38.697314160000005</v>
      </c>
      <c r="V244" s="10">
        <f t="shared" si="36"/>
        <v>39.197005200000007</v>
      </c>
      <c r="W244" s="10">
        <f t="shared" si="37"/>
        <v>50.440053599999999</v>
      </c>
      <c r="X244" s="10">
        <f t="shared" si="38"/>
        <v>55.436964000000003</v>
      </c>
      <c r="Y244" s="10">
        <f t="shared" si="39"/>
        <v>80.421515999999997</v>
      </c>
      <c r="Z244" s="10">
        <f t="shared" si="40"/>
        <v>28.441929599999998</v>
      </c>
      <c r="AA244" s="10">
        <f t="shared" si="41"/>
        <v>36.568195199999998</v>
      </c>
      <c r="AB244" s="10">
        <f t="shared" si="42"/>
        <v>40.631327999999996</v>
      </c>
      <c r="AC244" s="10">
        <f t="shared" si="43"/>
        <v>60.946991999999995</v>
      </c>
    </row>
    <row r="245" spans="1:29" x14ac:dyDescent="0.25">
      <c r="A245">
        <v>401068</v>
      </c>
      <c r="B245" t="s">
        <v>144</v>
      </c>
      <c r="C245" s="10">
        <v>16.09</v>
      </c>
      <c r="D245" s="10">
        <v>15.17</v>
      </c>
      <c r="E245" s="10">
        <v>0</v>
      </c>
      <c r="F245">
        <v>98</v>
      </c>
      <c r="G245" t="s">
        <v>19</v>
      </c>
      <c r="H245" s="11">
        <v>45987</v>
      </c>
      <c r="I245" t="s">
        <v>13</v>
      </c>
      <c r="J245" s="12">
        <v>8</v>
      </c>
      <c r="K245" s="3">
        <v>243.6</v>
      </c>
      <c r="L245" s="3">
        <f t="shared" si="33"/>
        <v>30.45</v>
      </c>
      <c r="M245" s="13"/>
      <c r="N245">
        <f>_xlfn.XLOOKUP(G245,'Tarievensheet per persoon'!AE:AE,'Tarievensheet per persoon'!AF:AF)</f>
        <v>1.7068000000000001</v>
      </c>
      <c r="O245">
        <f>_xlfn.XLOOKUP(G245,AE:AE,'Tarievensheet per persoon'!AG:AG)</f>
        <v>1.5528</v>
      </c>
      <c r="P245">
        <f>_xlfn.XLOOKUP(G245,AE:AE,'Tarievensheet per persoon'!AH:AH)</f>
        <v>1.3391999999999999</v>
      </c>
      <c r="Q245">
        <f>_xlfn.XLOOKUP(G245,AE:AE,'Tarievensheet per persoon'!AI:AI)</f>
        <v>1.3391999999999999</v>
      </c>
      <c r="R245">
        <v>0</v>
      </c>
      <c r="S245" s="14">
        <v>2.99</v>
      </c>
      <c r="T245" s="10">
        <f t="shared" si="34"/>
        <v>30.452412000000002</v>
      </c>
      <c r="U245" s="10">
        <f t="shared" si="35"/>
        <v>38.697314160000005</v>
      </c>
      <c r="V245" s="10">
        <f t="shared" si="36"/>
        <v>39.197005200000007</v>
      </c>
      <c r="W245" s="10">
        <f t="shared" si="37"/>
        <v>50.440053599999999</v>
      </c>
      <c r="X245" s="10">
        <f t="shared" si="38"/>
        <v>55.436964000000003</v>
      </c>
      <c r="Y245" s="10">
        <f t="shared" si="39"/>
        <v>80.421515999999997</v>
      </c>
      <c r="Z245" s="10">
        <f t="shared" si="40"/>
        <v>28.441929599999998</v>
      </c>
      <c r="AA245" s="10">
        <f t="shared" si="41"/>
        <v>36.568195199999998</v>
      </c>
      <c r="AB245" s="10">
        <f t="shared" si="42"/>
        <v>40.631327999999996</v>
      </c>
      <c r="AC245" s="10">
        <f t="shared" si="43"/>
        <v>60.946991999999995</v>
      </c>
    </row>
    <row r="246" spans="1:29" x14ac:dyDescent="0.25">
      <c r="A246">
        <v>401068</v>
      </c>
      <c r="B246" t="s">
        <v>144</v>
      </c>
      <c r="C246" s="10">
        <v>16.09</v>
      </c>
      <c r="D246" s="10">
        <v>15.17</v>
      </c>
      <c r="E246" s="10">
        <v>0</v>
      </c>
      <c r="F246">
        <v>98</v>
      </c>
      <c r="G246" t="s">
        <v>19</v>
      </c>
      <c r="H246" s="11">
        <v>45988</v>
      </c>
      <c r="I246" t="s">
        <v>13</v>
      </c>
      <c r="J246" s="12">
        <v>7.75</v>
      </c>
      <c r="K246" s="3">
        <v>235.99</v>
      </c>
      <c r="L246" s="3">
        <f t="shared" si="33"/>
        <v>30.450322580645164</v>
      </c>
      <c r="M246" s="13"/>
      <c r="N246">
        <f>_xlfn.XLOOKUP(G246,'Tarievensheet per persoon'!AE:AE,'Tarievensheet per persoon'!AF:AF)</f>
        <v>1.7068000000000001</v>
      </c>
      <c r="O246">
        <f>_xlfn.XLOOKUP(G246,AE:AE,'Tarievensheet per persoon'!AG:AG)</f>
        <v>1.5528</v>
      </c>
      <c r="P246">
        <f>_xlfn.XLOOKUP(G246,AE:AE,'Tarievensheet per persoon'!AH:AH)</f>
        <v>1.3391999999999999</v>
      </c>
      <c r="Q246">
        <f>_xlfn.XLOOKUP(G246,AE:AE,'Tarievensheet per persoon'!AI:AI)</f>
        <v>1.3391999999999999</v>
      </c>
      <c r="R246">
        <v>0</v>
      </c>
      <c r="S246" s="14">
        <v>2.99</v>
      </c>
      <c r="T246" s="10">
        <f t="shared" si="34"/>
        <v>30.452412000000002</v>
      </c>
      <c r="U246" s="10">
        <f t="shared" si="35"/>
        <v>38.697314160000005</v>
      </c>
      <c r="V246" s="10">
        <f t="shared" si="36"/>
        <v>39.197005200000007</v>
      </c>
      <c r="W246" s="10">
        <f t="shared" si="37"/>
        <v>50.440053599999999</v>
      </c>
      <c r="X246" s="10">
        <f t="shared" si="38"/>
        <v>55.436964000000003</v>
      </c>
      <c r="Y246" s="10">
        <f t="shared" si="39"/>
        <v>80.421515999999997</v>
      </c>
      <c r="Z246" s="10">
        <f t="shared" si="40"/>
        <v>28.441929599999998</v>
      </c>
      <c r="AA246" s="10">
        <f t="shared" si="41"/>
        <v>36.568195199999998</v>
      </c>
      <c r="AB246" s="10">
        <f t="shared" si="42"/>
        <v>40.631327999999996</v>
      </c>
      <c r="AC246" s="10">
        <f t="shared" si="43"/>
        <v>60.946991999999995</v>
      </c>
    </row>
    <row r="247" spans="1:29" x14ac:dyDescent="0.25">
      <c r="A247">
        <v>401068</v>
      </c>
      <c r="B247" t="s">
        <v>144</v>
      </c>
      <c r="C247" s="10">
        <v>16.09</v>
      </c>
      <c r="D247" s="10">
        <v>15.17</v>
      </c>
      <c r="E247" s="10">
        <v>0</v>
      </c>
      <c r="F247">
        <v>98</v>
      </c>
      <c r="G247" t="s">
        <v>19</v>
      </c>
      <c r="H247" s="11">
        <v>45989</v>
      </c>
      <c r="I247" t="s">
        <v>13</v>
      </c>
      <c r="J247" s="12">
        <v>7.5</v>
      </c>
      <c r="K247" s="3">
        <v>228.38</v>
      </c>
      <c r="L247" s="3">
        <f t="shared" si="33"/>
        <v>30.450666666666667</v>
      </c>
      <c r="M247" s="13"/>
      <c r="N247">
        <f>_xlfn.XLOOKUP(G247,'Tarievensheet per persoon'!AE:AE,'Tarievensheet per persoon'!AF:AF)</f>
        <v>1.7068000000000001</v>
      </c>
      <c r="O247">
        <f>_xlfn.XLOOKUP(G247,AE:AE,'Tarievensheet per persoon'!AG:AG)</f>
        <v>1.5528</v>
      </c>
      <c r="P247">
        <f>_xlfn.XLOOKUP(G247,AE:AE,'Tarievensheet per persoon'!AH:AH)</f>
        <v>1.3391999999999999</v>
      </c>
      <c r="Q247">
        <f>_xlfn.XLOOKUP(G247,AE:AE,'Tarievensheet per persoon'!AI:AI)</f>
        <v>1.3391999999999999</v>
      </c>
      <c r="R247">
        <v>0</v>
      </c>
      <c r="S247" s="14">
        <v>2.99</v>
      </c>
      <c r="T247" s="10">
        <f t="shared" si="34"/>
        <v>30.452412000000002</v>
      </c>
      <c r="U247" s="10">
        <f t="shared" si="35"/>
        <v>38.697314160000005</v>
      </c>
      <c r="V247" s="10">
        <f t="shared" si="36"/>
        <v>39.197005200000007</v>
      </c>
      <c r="W247" s="10">
        <f t="shared" si="37"/>
        <v>50.440053599999999</v>
      </c>
      <c r="X247" s="10">
        <f t="shared" si="38"/>
        <v>55.436964000000003</v>
      </c>
      <c r="Y247" s="10">
        <f t="shared" si="39"/>
        <v>80.421515999999997</v>
      </c>
      <c r="Z247" s="10">
        <f t="shared" si="40"/>
        <v>28.441929599999998</v>
      </c>
      <c r="AA247" s="10">
        <f t="shared" si="41"/>
        <v>36.568195199999998</v>
      </c>
      <c r="AB247" s="10">
        <f t="shared" si="42"/>
        <v>40.631327999999996</v>
      </c>
      <c r="AC247" s="10">
        <f t="shared" si="43"/>
        <v>60.946991999999995</v>
      </c>
    </row>
    <row r="248" spans="1:29" x14ac:dyDescent="0.25">
      <c r="A248">
        <v>401907</v>
      </c>
      <c r="B248" t="s">
        <v>43</v>
      </c>
      <c r="C248" s="10">
        <v>16.09</v>
      </c>
      <c r="D248" s="10">
        <v>15.17</v>
      </c>
      <c r="E248" s="10">
        <v>0</v>
      </c>
      <c r="F248">
        <v>96</v>
      </c>
      <c r="G248" t="s">
        <v>19</v>
      </c>
      <c r="H248" s="11">
        <v>45985</v>
      </c>
      <c r="I248" t="s">
        <v>13</v>
      </c>
      <c r="J248" s="12">
        <v>9</v>
      </c>
      <c r="K248" s="3">
        <v>274.05</v>
      </c>
      <c r="L248" s="3">
        <f t="shared" si="33"/>
        <v>30.450000000000003</v>
      </c>
      <c r="M248" s="13"/>
      <c r="N248">
        <f>_xlfn.XLOOKUP(G248,'Tarievensheet per persoon'!AE:AE,'Tarievensheet per persoon'!AF:AF)</f>
        <v>1.7068000000000001</v>
      </c>
      <c r="O248">
        <f>_xlfn.XLOOKUP(G248,AE:AE,'Tarievensheet per persoon'!AG:AG)</f>
        <v>1.5528</v>
      </c>
      <c r="P248">
        <f>_xlfn.XLOOKUP(G248,AE:AE,'Tarievensheet per persoon'!AH:AH)</f>
        <v>1.3391999999999999</v>
      </c>
      <c r="Q248">
        <f>_xlfn.XLOOKUP(G248,AE:AE,'Tarievensheet per persoon'!AI:AI)</f>
        <v>1.3391999999999999</v>
      </c>
      <c r="R248">
        <v>0</v>
      </c>
      <c r="S248" s="14">
        <v>2.99</v>
      </c>
      <c r="T248" s="10">
        <f t="shared" si="34"/>
        <v>30.452412000000002</v>
      </c>
      <c r="U248" s="10">
        <f t="shared" si="35"/>
        <v>38.697314160000005</v>
      </c>
      <c r="V248" s="10">
        <f t="shared" si="36"/>
        <v>39.197005200000007</v>
      </c>
      <c r="W248" s="10">
        <f t="shared" si="37"/>
        <v>50.440053599999999</v>
      </c>
      <c r="X248" s="10">
        <f t="shared" si="38"/>
        <v>55.436964000000003</v>
      </c>
      <c r="Y248" s="10">
        <f t="shared" si="39"/>
        <v>80.421515999999997</v>
      </c>
      <c r="Z248" s="10">
        <f t="shared" si="40"/>
        <v>28.441929599999998</v>
      </c>
      <c r="AA248" s="10">
        <f t="shared" si="41"/>
        <v>36.568195199999998</v>
      </c>
      <c r="AB248" s="10">
        <f t="shared" si="42"/>
        <v>40.631327999999996</v>
      </c>
      <c r="AC248" s="10">
        <f t="shared" si="43"/>
        <v>60.946991999999995</v>
      </c>
    </row>
    <row r="249" spans="1:29" x14ac:dyDescent="0.25">
      <c r="A249">
        <v>401907</v>
      </c>
      <c r="B249" t="s">
        <v>43</v>
      </c>
      <c r="C249" s="10">
        <v>16.09</v>
      </c>
      <c r="D249" s="10">
        <v>15.17</v>
      </c>
      <c r="E249" s="10">
        <v>0</v>
      </c>
      <c r="F249">
        <v>96</v>
      </c>
      <c r="G249" t="s">
        <v>19</v>
      </c>
      <c r="H249" s="11">
        <v>45986</v>
      </c>
      <c r="I249" t="s">
        <v>13</v>
      </c>
      <c r="J249" s="12">
        <v>6.75</v>
      </c>
      <c r="K249" s="3">
        <v>205.54</v>
      </c>
      <c r="L249" s="3">
        <f t="shared" si="33"/>
        <v>30.450370370370369</v>
      </c>
      <c r="M249" s="13"/>
      <c r="N249">
        <f>_xlfn.XLOOKUP(G249,'Tarievensheet per persoon'!AE:AE,'Tarievensheet per persoon'!AF:AF)</f>
        <v>1.7068000000000001</v>
      </c>
      <c r="O249">
        <f>_xlfn.XLOOKUP(G249,AE:AE,'Tarievensheet per persoon'!AG:AG)</f>
        <v>1.5528</v>
      </c>
      <c r="P249">
        <f>_xlfn.XLOOKUP(G249,AE:AE,'Tarievensheet per persoon'!AH:AH)</f>
        <v>1.3391999999999999</v>
      </c>
      <c r="Q249">
        <f>_xlfn.XLOOKUP(G249,AE:AE,'Tarievensheet per persoon'!AI:AI)</f>
        <v>1.3391999999999999</v>
      </c>
      <c r="R249">
        <v>0</v>
      </c>
      <c r="S249" s="14">
        <v>2.99</v>
      </c>
      <c r="T249" s="10">
        <f t="shared" si="34"/>
        <v>30.452412000000002</v>
      </c>
      <c r="U249" s="10">
        <f t="shared" si="35"/>
        <v>38.697314160000005</v>
      </c>
      <c r="V249" s="10">
        <f t="shared" si="36"/>
        <v>39.197005200000007</v>
      </c>
      <c r="W249" s="10">
        <f t="shared" si="37"/>
        <v>50.440053599999999</v>
      </c>
      <c r="X249" s="10">
        <f t="shared" si="38"/>
        <v>55.436964000000003</v>
      </c>
      <c r="Y249" s="10">
        <f t="shared" si="39"/>
        <v>80.421515999999997</v>
      </c>
      <c r="Z249" s="10">
        <f t="shared" si="40"/>
        <v>28.441929599999998</v>
      </c>
      <c r="AA249" s="10">
        <f t="shared" si="41"/>
        <v>36.568195199999998</v>
      </c>
      <c r="AB249" s="10">
        <f t="shared" si="42"/>
        <v>40.631327999999996</v>
      </c>
      <c r="AC249" s="10">
        <f t="shared" si="43"/>
        <v>60.946991999999995</v>
      </c>
    </row>
    <row r="250" spans="1:29" x14ac:dyDescent="0.25">
      <c r="A250">
        <v>401907</v>
      </c>
      <c r="B250" t="s">
        <v>43</v>
      </c>
      <c r="C250" s="10">
        <v>16.09</v>
      </c>
      <c r="D250" s="10">
        <v>15.17</v>
      </c>
      <c r="E250" s="10">
        <v>0</v>
      </c>
      <c r="F250">
        <v>96</v>
      </c>
      <c r="G250" t="s">
        <v>19</v>
      </c>
      <c r="H250" s="11">
        <v>45987</v>
      </c>
      <c r="I250" t="s">
        <v>13</v>
      </c>
      <c r="J250" s="12">
        <v>7.75</v>
      </c>
      <c r="K250" s="3">
        <v>235.99</v>
      </c>
      <c r="L250" s="3">
        <f t="shared" si="33"/>
        <v>30.450322580645164</v>
      </c>
      <c r="M250" s="13"/>
      <c r="N250">
        <f>_xlfn.XLOOKUP(G250,'Tarievensheet per persoon'!AE:AE,'Tarievensheet per persoon'!AF:AF)</f>
        <v>1.7068000000000001</v>
      </c>
      <c r="O250">
        <f>_xlfn.XLOOKUP(G250,AE:AE,'Tarievensheet per persoon'!AG:AG)</f>
        <v>1.5528</v>
      </c>
      <c r="P250">
        <f>_xlfn.XLOOKUP(G250,AE:AE,'Tarievensheet per persoon'!AH:AH)</f>
        <v>1.3391999999999999</v>
      </c>
      <c r="Q250">
        <f>_xlfn.XLOOKUP(G250,AE:AE,'Tarievensheet per persoon'!AI:AI)</f>
        <v>1.3391999999999999</v>
      </c>
      <c r="R250">
        <v>0</v>
      </c>
      <c r="S250" s="14">
        <v>2.99</v>
      </c>
      <c r="T250" s="10">
        <f t="shared" si="34"/>
        <v>30.452412000000002</v>
      </c>
      <c r="U250" s="10">
        <f t="shared" si="35"/>
        <v>38.697314160000005</v>
      </c>
      <c r="V250" s="10">
        <f t="shared" si="36"/>
        <v>39.197005200000007</v>
      </c>
      <c r="W250" s="10">
        <f t="shared" si="37"/>
        <v>50.440053599999999</v>
      </c>
      <c r="X250" s="10">
        <f t="shared" si="38"/>
        <v>55.436964000000003</v>
      </c>
      <c r="Y250" s="10">
        <f t="shared" si="39"/>
        <v>80.421515999999997</v>
      </c>
      <c r="Z250" s="10">
        <f t="shared" si="40"/>
        <v>28.441929599999998</v>
      </c>
      <c r="AA250" s="10">
        <f t="shared" si="41"/>
        <v>36.568195199999998</v>
      </c>
      <c r="AB250" s="10">
        <f t="shared" si="42"/>
        <v>40.631327999999996</v>
      </c>
      <c r="AC250" s="10">
        <f t="shared" si="43"/>
        <v>60.946991999999995</v>
      </c>
    </row>
    <row r="251" spans="1:29" x14ac:dyDescent="0.25">
      <c r="A251">
        <v>401907</v>
      </c>
      <c r="B251" t="s">
        <v>43</v>
      </c>
      <c r="C251" s="10">
        <v>16.09</v>
      </c>
      <c r="D251" s="10">
        <v>15.17</v>
      </c>
      <c r="E251" s="10">
        <v>0</v>
      </c>
      <c r="F251">
        <v>96</v>
      </c>
      <c r="G251" t="s">
        <v>19</v>
      </c>
      <c r="H251" s="11">
        <v>45988</v>
      </c>
      <c r="I251" t="s">
        <v>13</v>
      </c>
      <c r="J251" s="12">
        <v>7.25</v>
      </c>
      <c r="K251" s="3">
        <v>220.76</v>
      </c>
      <c r="L251" s="3">
        <f t="shared" si="33"/>
        <v>30.449655172413792</v>
      </c>
      <c r="M251" s="13"/>
      <c r="N251">
        <f>_xlfn.XLOOKUP(G251,'Tarievensheet per persoon'!AE:AE,'Tarievensheet per persoon'!AF:AF)</f>
        <v>1.7068000000000001</v>
      </c>
      <c r="O251">
        <f>_xlfn.XLOOKUP(G251,AE:AE,'Tarievensheet per persoon'!AG:AG)</f>
        <v>1.5528</v>
      </c>
      <c r="P251">
        <f>_xlfn.XLOOKUP(G251,AE:AE,'Tarievensheet per persoon'!AH:AH)</f>
        <v>1.3391999999999999</v>
      </c>
      <c r="Q251">
        <f>_xlfn.XLOOKUP(G251,AE:AE,'Tarievensheet per persoon'!AI:AI)</f>
        <v>1.3391999999999999</v>
      </c>
      <c r="R251">
        <v>0</v>
      </c>
      <c r="S251" s="14">
        <v>2.99</v>
      </c>
      <c r="T251" s="10">
        <f t="shared" si="34"/>
        <v>30.452412000000002</v>
      </c>
      <c r="U251" s="10">
        <f t="shared" si="35"/>
        <v>38.697314160000005</v>
      </c>
      <c r="V251" s="10">
        <f t="shared" si="36"/>
        <v>39.197005200000007</v>
      </c>
      <c r="W251" s="10">
        <f t="shared" si="37"/>
        <v>50.440053599999999</v>
      </c>
      <c r="X251" s="10">
        <f t="shared" si="38"/>
        <v>55.436964000000003</v>
      </c>
      <c r="Y251" s="10">
        <f t="shared" si="39"/>
        <v>80.421515999999997</v>
      </c>
      <c r="Z251" s="10">
        <f t="shared" si="40"/>
        <v>28.441929599999998</v>
      </c>
      <c r="AA251" s="10">
        <f t="shared" si="41"/>
        <v>36.568195199999998</v>
      </c>
      <c r="AB251" s="10">
        <f t="shared" si="42"/>
        <v>40.631327999999996</v>
      </c>
      <c r="AC251" s="10">
        <f t="shared" si="43"/>
        <v>60.946991999999995</v>
      </c>
    </row>
    <row r="252" spans="1:29" x14ac:dyDescent="0.25">
      <c r="A252">
        <v>401907</v>
      </c>
      <c r="B252" t="s">
        <v>43</v>
      </c>
      <c r="C252" s="10">
        <v>16.09</v>
      </c>
      <c r="D252" s="10">
        <v>15.17</v>
      </c>
      <c r="E252" s="10">
        <v>0</v>
      </c>
      <c r="F252">
        <v>96</v>
      </c>
      <c r="G252" t="s">
        <v>19</v>
      </c>
      <c r="H252" s="11">
        <v>45989</v>
      </c>
      <c r="I252" t="s">
        <v>13</v>
      </c>
      <c r="J252" s="12">
        <v>8.5</v>
      </c>
      <c r="K252" s="3">
        <v>258.83</v>
      </c>
      <c r="L252" s="3">
        <f t="shared" si="33"/>
        <v>30.450588235294116</v>
      </c>
      <c r="M252" s="13"/>
      <c r="N252">
        <f>_xlfn.XLOOKUP(G252,'Tarievensheet per persoon'!AE:AE,'Tarievensheet per persoon'!AF:AF)</f>
        <v>1.7068000000000001</v>
      </c>
      <c r="O252">
        <f>_xlfn.XLOOKUP(G252,AE:AE,'Tarievensheet per persoon'!AG:AG)</f>
        <v>1.5528</v>
      </c>
      <c r="P252">
        <f>_xlfn.XLOOKUP(G252,AE:AE,'Tarievensheet per persoon'!AH:AH)</f>
        <v>1.3391999999999999</v>
      </c>
      <c r="Q252">
        <f>_xlfn.XLOOKUP(G252,AE:AE,'Tarievensheet per persoon'!AI:AI)</f>
        <v>1.3391999999999999</v>
      </c>
      <c r="R252">
        <v>0</v>
      </c>
      <c r="S252" s="14">
        <v>2.99</v>
      </c>
      <c r="T252" s="10">
        <f t="shared" si="34"/>
        <v>30.452412000000002</v>
      </c>
      <c r="U252" s="10">
        <f t="shared" si="35"/>
        <v>38.697314160000005</v>
      </c>
      <c r="V252" s="10">
        <f t="shared" si="36"/>
        <v>39.197005200000007</v>
      </c>
      <c r="W252" s="10">
        <f t="shared" si="37"/>
        <v>50.440053599999999</v>
      </c>
      <c r="X252" s="10">
        <f t="shared" si="38"/>
        <v>55.436964000000003</v>
      </c>
      <c r="Y252" s="10">
        <f t="shared" si="39"/>
        <v>80.421515999999997</v>
      </c>
      <c r="Z252" s="10">
        <f t="shared" si="40"/>
        <v>28.441929599999998</v>
      </c>
      <c r="AA252" s="10">
        <f t="shared" si="41"/>
        <v>36.568195199999998</v>
      </c>
      <c r="AB252" s="10">
        <f t="shared" si="42"/>
        <v>40.631327999999996</v>
      </c>
      <c r="AC252" s="10">
        <f t="shared" si="43"/>
        <v>60.946991999999995</v>
      </c>
    </row>
    <row r="253" spans="1:29" x14ac:dyDescent="0.25">
      <c r="A253">
        <v>403842</v>
      </c>
      <c r="B253" t="s">
        <v>110</v>
      </c>
      <c r="C253" s="10">
        <v>16.09</v>
      </c>
      <c r="D253" s="10">
        <v>15.17</v>
      </c>
      <c r="E253" s="10">
        <v>0</v>
      </c>
      <c r="F253">
        <v>89</v>
      </c>
      <c r="G253" t="s">
        <v>19</v>
      </c>
      <c r="H253" s="11">
        <v>45985</v>
      </c>
      <c r="I253" t="s">
        <v>13</v>
      </c>
      <c r="J253" s="12">
        <v>8</v>
      </c>
      <c r="K253" s="3">
        <v>243.6</v>
      </c>
      <c r="L253" s="3">
        <f t="shared" si="33"/>
        <v>30.45</v>
      </c>
      <c r="M253" s="13"/>
      <c r="N253">
        <f>_xlfn.XLOOKUP(G253,'Tarievensheet per persoon'!AE:AE,'Tarievensheet per persoon'!AF:AF)</f>
        <v>1.7068000000000001</v>
      </c>
      <c r="O253">
        <f>_xlfn.XLOOKUP(G253,AE:AE,'Tarievensheet per persoon'!AG:AG)</f>
        <v>1.5528</v>
      </c>
      <c r="P253">
        <f>_xlfn.XLOOKUP(G253,AE:AE,'Tarievensheet per persoon'!AH:AH)</f>
        <v>1.3391999999999999</v>
      </c>
      <c r="Q253">
        <f>_xlfn.XLOOKUP(G253,AE:AE,'Tarievensheet per persoon'!AI:AI)</f>
        <v>1.3391999999999999</v>
      </c>
      <c r="R253">
        <v>0</v>
      </c>
      <c r="S253" s="14">
        <v>2.99</v>
      </c>
      <c r="T253" s="10">
        <f t="shared" si="34"/>
        <v>30.452412000000002</v>
      </c>
      <c r="U253" s="10">
        <f t="shared" si="35"/>
        <v>38.697314160000005</v>
      </c>
      <c r="V253" s="10">
        <f t="shared" si="36"/>
        <v>39.197005200000007</v>
      </c>
      <c r="W253" s="10">
        <f t="shared" si="37"/>
        <v>50.440053599999999</v>
      </c>
      <c r="X253" s="10">
        <f t="shared" si="38"/>
        <v>55.436964000000003</v>
      </c>
      <c r="Y253" s="10">
        <f t="shared" si="39"/>
        <v>80.421515999999997</v>
      </c>
      <c r="Z253" s="10">
        <f t="shared" si="40"/>
        <v>28.441929599999998</v>
      </c>
      <c r="AA253" s="10">
        <f t="shared" si="41"/>
        <v>36.568195199999998</v>
      </c>
      <c r="AB253" s="10">
        <f t="shared" si="42"/>
        <v>40.631327999999996</v>
      </c>
      <c r="AC253" s="10">
        <f t="shared" si="43"/>
        <v>60.946991999999995</v>
      </c>
    </row>
    <row r="254" spans="1:29" x14ac:dyDescent="0.25">
      <c r="A254">
        <v>403842</v>
      </c>
      <c r="B254" t="s">
        <v>110</v>
      </c>
      <c r="C254" s="10">
        <v>16.09</v>
      </c>
      <c r="D254" s="10">
        <v>15.17</v>
      </c>
      <c r="E254" s="10">
        <v>0</v>
      </c>
      <c r="F254">
        <v>89</v>
      </c>
      <c r="G254" t="s">
        <v>19</v>
      </c>
      <c r="H254" s="11">
        <v>45986</v>
      </c>
      <c r="I254" t="s">
        <v>13</v>
      </c>
      <c r="J254" s="12">
        <v>6.25</v>
      </c>
      <c r="K254" s="3">
        <v>190.31</v>
      </c>
      <c r="L254" s="3">
        <f t="shared" si="33"/>
        <v>30.4496</v>
      </c>
      <c r="M254" s="13"/>
      <c r="N254">
        <f>_xlfn.XLOOKUP(G254,'Tarievensheet per persoon'!AE:AE,'Tarievensheet per persoon'!AF:AF)</f>
        <v>1.7068000000000001</v>
      </c>
      <c r="O254">
        <f>_xlfn.XLOOKUP(G254,AE:AE,'Tarievensheet per persoon'!AG:AG)</f>
        <v>1.5528</v>
      </c>
      <c r="P254">
        <f>_xlfn.XLOOKUP(G254,AE:AE,'Tarievensheet per persoon'!AH:AH)</f>
        <v>1.3391999999999999</v>
      </c>
      <c r="Q254">
        <f>_xlfn.XLOOKUP(G254,AE:AE,'Tarievensheet per persoon'!AI:AI)</f>
        <v>1.3391999999999999</v>
      </c>
      <c r="R254">
        <v>0</v>
      </c>
      <c r="S254" s="14">
        <v>2.99</v>
      </c>
      <c r="T254" s="10">
        <f t="shared" si="34"/>
        <v>30.452412000000002</v>
      </c>
      <c r="U254" s="10">
        <f t="shared" si="35"/>
        <v>38.697314160000005</v>
      </c>
      <c r="V254" s="10">
        <f t="shared" si="36"/>
        <v>39.197005200000007</v>
      </c>
      <c r="W254" s="10">
        <f t="shared" si="37"/>
        <v>50.440053599999999</v>
      </c>
      <c r="X254" s="10">
        <f t="shared" si="38"/>
        <v>55.436964000000003</v>
      </c>
      <c r="Y254" s="10">
        <f t="shared" si="39"/>
        <v>80.421515999999997</v>
      </c>
      <c r="Z254" s="10">
        <f t="shared" si="40"/>
        <v>28.441929599999998</v>
      </c>
      <c r="AA254" s="10">
        <f t="shared" si="41"/>
        <v>36.568195199999998</v>
      </c>
      <c r="AB254" s="10">
        <f t="shared" si="42"/>
        <v>40.631327999999996</v>
      </c>
      <c r="AC254" s="10">
        <f t="shared" si="43"/>
        <v>60.946991999999995</v>
      </c>
    </row>
    <row r="255" spans="1:29" x14ac:dyDescent="0.25">
      <c r="A255">
        <v>403842</v>
      </c>
      <c r="B255" t="s">
        <v>110</v>
      </c>
      <c r="C255" s="10">
        <v>16.09</v>
      </c>
      <c r="D255" s="10">
        <v>15.17</v>
      </c>
      <c r="E255" s="10">
        <v>0</v>
      </c>
      <c r="F255">
        <v>89</v>
      </c>
      <c r="G255" t="s">
        <v>19</v>
      </c>
      <c r="H255" s="11">
        <v>45987</v>
      </c>
      <c r="I255" t="s">
        <v>13</v>
      </c>
      <c r="J255" s="12">
        <v>8.5</v>
      </c>
      <c r="K255" s="3">
        <v>258.83</v>
      </c>
      <c r="L255" s="3">
        <f t="shared" si="33"/>
        <v>30.450588235294116</v>
      </c>
      <c r="M255" s="13"/>
      <c r="N255">
        <f>_xlfn.XLOOKUP(G255,'Tarievensheet per persoon'!AE:AE,'Tarievensheet per persoon'!AF:AF)</f>
        <v>1.7068000000000001</v>
      </c>
      <c r="O255">
        <f>_xlfn.XLOOKUP(G255,AE:AE,'Tarievensheet per persoon'!AG:AG)</f>
        <v>1.5528</v>
      </c>
      <c r="P255">
        <f>_xlfn.XLOOKUP(G255,AE:AE,'Tarievensheet per persoon'!AH:AH)</f>
        <v>1.3391999999999999</v>
      </c>
      <c r="Q255">
        <f>_xlfn.XLOOKUP(G255,AE:AE,'Tarievensheet per persoon'!AI:AI)</f>
        <v>1.3391999999999999</v>
      </c>
      <c r="R255">
        <v>0</v>
      </c>
      <c r="S255" s="14">
        <v>2.99</v>
      </c>
      <c r="T255" s="10">
        <f t="shared" si="34"/>
        <v>30.452412000000002</v>
      </c>
      <c r="U255" s="10">
        <f t="shared" si="35"/>
        <v>38.697314160000005</v>
      </c>
      <c r="V255" s="10">
        <f t="shared" si="36"/>
        <v>39.197005200000007</v>
      </c>
      <c r="W255" s="10">
        <f t="shared" si="37"/>
        <v>50.440053599999999</v>
      </c>
      <c r="X255" s="10">
        <f t="shared" si="38"/>
        <v>55.436964000000003</v>
      </c>
      <c r="Y255" s="10">
        <f t="shared" si="39"/>
        <v>80.421515999999997</v>
      </c>
      <c r="Z255" s="10">
        <f t="shared" si="40"/>
        <v>28.441929599999998</v>
      </c>
      <c r="AA255" s="10">
        <f t="shared" si="41"/>
        <v>36.568195199999998</v>
      </c>
      <c r="AB255" s="10">
        <f t="shared" si="42"/>
        <v>40.631327999999996</v>
      </c>
      <c r="AC255" s="10">
        <f t="shared" si="43"/>
        <v>60.946991999999995</v>
      </c>
    </row>
    <row r="256" spans="1:29" x14ac:dyDescent="0.25">
      <c r="A256">
        <v>403842</v>
      </c>
      <c r="B256" t="s">
        <v>110</v>
      </c>
      <c r="C256" s="10">
        <v>16.09</v>
      </c>
      <c r="D256" s="10">
        <v>15.17</v>
      </c>
      <c r="E256" s="10">
        <v>0</v>
      </c>
      <c r="F256">
        <v>89</v>
      </c>
      <c r="G256" t="s">
        <v>19</v>
      </c>
      <c r="H256" s="11">
        <v>45988</v>
      </c>
      <c r="I256" t="s">
        <v>13</v>
      </c>
      <c r="J256" s="12">
        <v>8</v>
      </c>
      <c r="K256" s="3">
        <v>243.6</v>
      </c>
      <c r="L256" s="3">
        <f t="shared" si="33"/>
        <v>30.45</v>
      </c>
      <c r="M256" s="13"/>
      <c r="N256">
        <f>_xlfn.XLOOKUP(G256,'Tarievensheet per persoon'!AE:AE,'Tarievensheet per persoon'!AF:AF)</f>
        <v>1.7068000000000001</v>
      </c>
      <c r="O256">
        <f>_xlfn.XLOOKUP(G256,AE:AE,'Tarievensheet per persoon'!AG:AG)</f>
        <v>1.5528</v>
      </c>
      <c r="P256">
        <f>_xlfn.XLOOKUP(G256,AE:AE,'Tarievensheet per persoon'!AH:AH)</f>
        <v>1.3391999999999999</v>
      </c>
      <c r="Q256">
        <f>_xlfn.XLOOKUP(G256,AE:AE,'Tarievensheet per persoon'!AI:AI)</f>
        <v>1.3391999999999999</v>
      </c>
      <c r="R256">
        <v>0</v>
      </c>
      <c r="S256" s="14">
        <v>2.99</v>
      </c>
      <c r="T256" s="10">
        <f t="shared" si="34"/>
        <v>30.452412000000002</v>
      </c>
      <c r="U256" s="10">
        <f t="shared" si="35"/>
        <v>38.697314160000005</v>
      </c>
      <c r="V256" s="10">
        <f t="shared" si="36"/>
        <v>39.197005200000007</v>
      </c>
      <c r="W256" s="10">
        <f t="shared" si="37"/>
        <v>50.440053599999999</v>
      </c>
      <c r="X256" s="10">
        <f t="shared" si="38"/>
        <v>55.436964000000003</v>
      </c>
      <c r="Y256" s="10">
        <f t="shared" si="39"/>
        <v>80.421515999999997</v>
      </c>
      <c r="Z256" s="10">
        <f t="shared" si="40"/>
        <v>28.441929599999998</v>
      </c>
      <c r="AA256" s="10">
        <f t="shared" si="41"/>
        <v>36.568195199999998</v>
      </c>
      <c r="AB256" s="10">
        <f t="shared" si="42"/>
        <v>40.631327999999996</v>
      </c>
      <c r="AC256" s="10">
        <f t="shared" si="43"/>
        <v>60.946991999999995</v>
      </c>
    </row>
    <row r="257" spans="1:29" x14ac:dyDescent="0.25">
      <c r="A257">
        <v>403842</v>
      </c>
      <c r="B257" t="s">
        <v>110</v>
      </c>
      <c r="C257" s="10">
        <v>16.09</v>
      </c>
      <c r="D257" s="10">
        <v>15.17</v>
      </c>
      <c r="E257" s="10">
        <v>0</v>
      </c>
      <c r="F257">
        <v>89</v>
      </c>
      <c r="G257" t="s">
        <v>19</v>
      </c>
      <c r="H257" s="11">
        <v>45989</v>
      </c>
      <c r="I257" t="s">
        <v>13</v>
      </c>
      <c r="J257" s="12">
        <v>6.25</v>
      </c>
      <c r="K257" s="3">
        <v>190.31</v>
      </c>
      <c r="L257" s="3">
        <f t="shared" si="33"/>
        <v>30.4496</v>
      </c>
      <c r="M257" s="13"/>
      <c r="N257">
        <f>_xlfn.XLOOKUP(G257,'Tarievensheet per persoon'!AE:AE,'Tarievensheet per persoon'!AF:AF)</f>
        <v>1.7068000000000001</v>
      </c>
      <c r="O257">
        <f>_xlfn.XLOOKUP(G257,AE:AE,'Tarievensheet per persoon'!AG:AG)</f>
        <v>1.5528</v>
      </c>
      <c r="P257">
        <f>_xlfn.XLOOKUP(G257,AE:AE,'Tarievensheet per persoon'!AH:AH)</f>
        <v>1.3391999999999999</v>
      </c>
      <c r="Q257">
        <f>_xlfn.XLOOKUP(G257,AE:AE,'Tarievensheet per persoon'!AI:AI)</f>
        <v>1.3391999999999999</v>
      </c>
      <c r="R257">
        <v>0</v>
      </c>
      <c r="S257" s="14">
        <v>2.99</v>
      </c>
      <c r="T257" s="10">
        <f t="shared" si="34"/>
        <v>30.452412000000002</v>
      </c>
      <c r="U257" s="10">
        <f t="shared" si="35"/>
        <v>38.697314160000005</v>
      </c>
      <c r="V257" s="10">
        <f t="shared" si="36"/>
        <v>39.197005200000007</v>
      </c>
      <c r="W257" s="10">
        <f t="shared" si="37"/>
        <v>50.440053599999999</v>
      </c>
      <c r="X257" s="10">
        <f t="shared" si="38"/>
        <v>55.436964000000003</v>
      </c>
      <c r="Y257" s="10">
        <f t="shared" si="39"/>
        <v>80.421515999999997</v>
      </c>
      <c r="Z257" s="10">
        <f t="shared" si="40"/>
        <v>28.441929599999998</v>
      </c>
      <c r="AA257" s="10">
        <f t="shared" si="41"/>
        <v>36.568195199999998</v>
      </c>
      <c r="AB257" s="10">
        <f t="shared" si="42"/>
        <v>40.631327999999996</v>
      </c>
      <c r="AC257" s="10">
        <f t="shared" si="43"/>
        <v>60.946991999999995</v>
      </c>
    </row>
    <row r="258" spans="1:29" x14ac:dyDescent="0.25">
      <c r="A258">
        <v>406836</v>
      </c>
      <c r="B258" t="s">
        <v>44</v>
      </c>
      <c r="C258" s="10">
        <v>16.77</v>
      </c>
      <c r="D258" s="10">
        <v>15.8</v>
      </c>
      <c r="E258" s="10">
        <v>0</v>
      </c>
      <c r="F258">
        <v>101</v>
      </c>
      <c r="G258" t="s">
        <v>19</v>
      </c>
      <c r="H258" s="11">
        <v>45985</v>
      </c>
      <c r="I258" t="s">
        <v>13</v>
      </c>
      <c r="J258" s="12">
        <v>2.75</v>
      </c>
      <c r="K258" s="3">
        <v>86.93</v>
      </c>
      <c r="L258" s="3">
        <f t="shared" si="33"/>
        <v>31.610909090909093</v>
      </c>
      <c r="M258" s="13"/>
      <c r="N258">
        <f>_xlfn.XLOOKUP(G258,'Tarievensheet per persoon'!AE:AE,'Tarievensheet per persoon'!AF:AF)</f>
        <v>1.7068000000000001</v>
      </c>
      <c r="O258">
        <f>_xlfn.XLOOKUP(G258,AE:AE,'Tarievensheet per persoon'!AG:AG)</f>
        <v>1.5528</v>
      </c>
      <c r="P258">
        <f>_xlfn.XLOOKUP(G258,AE:AE,'Tarievensheet per persoon'!AH:AH)</f>
        <v>1.3391999999999999</v>
      </c>
      <c r="Q258">
        <f>_xlfn.XLOOKUP(G258,AE:AE,'Tarievensheet per persoon'!AI:AI)</f>
        <v>1.3391999999999999</v>
      </c>
      <c r="R258">
        <v>0</v>
      </c>
      <c r="S258" s="14">
        <v>2.99</v>
      </c>
      <c r="T258" s="10">
        <f t="shared" si="34"/>
        <v>31.613036000000001</v>
      </c>
      <c r="U258" s="10">
        <f t="shared" si="35"/>
        <v>40.206386480000006</v>
      </c>
      <c r="V258" s="10">
        <f t="shared" si="36"/>
        <v>40.727195600000002</v>
      </c>
      <c r="W258" s="10">
        <f t="shared" si="37"/>
        <v>52.445400800000002</v>
      </c>
      <c r="X258" s="10">
        <f t="shared" si="38"/>
        <v>57.653492</v>
      </c>
      <c r="Y258" s="10">
        <f t="shared" si="39"/>
        <v>83.693948000000006</v>
      </c>
      <c r="Z258" s="10">
        <f t="shared" si="40"/>
        <v>29.623104000000001</v>
      </c>
      <c r="AA258" s="10">
        <f t="shared" si="41"/>
        <v>38.086848000000003</v>
      </c>
      <c r="AB258" s="10">
        <f t="shared" si="42"/>
        <v>42.318719999999999</v>
      </c>
      <c r="AC258" s="10">
        <f t="shared" si="43"/>
        <v>63.478080000000006</v>
      </c>
    </row>
    <row r="259" spans="1:29" x14ac:dyDescent="0.25">
      <c r="A259">
        <v>406836</v>
      </c>
      <c r="B259" t="s">
        <v>44</v>
      </c>
      <c r="C259" s="10">
        <v>16.77</v>
      </c>
      <c r="D259" s="10">
        <v>15.8</v>
      </c>
      <c r="E259" s="10">
        <v>0</v>
      </c>
      <c r="F259">
        <v>101</v>
      </c>
      <c r="G259" t="s">
        <v>19</v>
      </c>
      <c r="H259" s="11">
        <v>45985</v>
      </c>
      <c r="I259" t="s">
        <v>21</v>
      </c>
      <c r="J259" s="12">
        <v>5.25</v>
      </c>
      <c r="K259" s="3">
        <v>211.05</v>
      </c>
      <c r="L259" s="3">
        <f t="shared" ref="L259:L322" si="44">K259/J259</f>
        <v>40.200000000000003</v>
      </c>
      <c r="M259" s="13"/>
      <c r="N259">
        <f>_xlfn.XLOOKUP(G259,'Tarievensheet per persoon'!AE:AE,'Tarievensheet per persoon'!AF:AF)</f>
        <v>1.7068000000000001</v>
      </c>
      <c r="O259">
        <f>_xlfn.XLOOKUP(G259,AE:AE,'Tarievensheet per persoon'!AG:AG)</f>
        <v>1.5528</v>
      </c>
      <c r="P259">
        <f>_xlfn.XLOOKUP(G259,AE:AE,'Tarievensheet per persoon'!AH:AH)</f>
        <v>1.3391999999999999</v>
      </c>
      <c r="Q259">
        <f>_xlfn.XLOOKUP(G259,AE:AE,'Tarievensheet per persoon'!AI:AI)</f>
        <v>1.3391999999999999</v>
      </c>
      <c r="R259">
        <v>0</v>
      </c>
      <c r="S259" s="14">
        <v>2.99</v>
      </c>
      <c r="T259" s="10">
        <f t="shared" ref="T259:T322" si="45">C259*N259+C259*Q259*R259+S259+(E259*O259)</f>
        <v>31.613036000000001</v>
      </c>
      <c r="U259" s="10">
        <f t="shared" ref="U259:U322" si="46">T259+C259*(U$1-1)*O259</f>
        <v>40.206386480000006</v>
      </c>
      <c r="V259" s="10">
        <f t="shared" ref="V259:V322" si="47">T259+C259*(V$1-1)*O259</f>
        <v>40.727195600000002</v>
      </c>
      <c r="W259" s="10">
        <f t="shared" ref="W259:W322" si="48">T259+C259*(W$1-1)*O259</f>
        <v>52.445400800000002</v>
      </c>
      <c r="X259" s="10">
        <f t="shared" ref="X259:X322" si="49">T259+C259*(X$1-1)*O259</f>
        <v>57.653492</v>
      </c>
      <c r="Y259" s="10">
        <f t="shared" ref="Y259:Y322" si="50">T259+C259*(Y$1-1)*O259</f>
        <v>83.693948000000006</v>
      </c>
      <c r="Z259" s="10">
        <f t="shared" ref="Z259:Z322" si="51">D259*Z$1*P259</f>
        <v>29.623104000000001</v>
      </c>
      <c r="AA259" s="10">
        <f t="shared" ref="AA259:AA322" si="52">D259*AA$1*P259</f>
        <v>38.086848000000003</v>
      </c>
      <c r="AB259" s="10">
        <f t="shared" ref="AB259:AB322" si="53">D259*AB$1*P259</f>
        <v>42.318719999999999</v>
      </c>
      <c r="AC259" s="10">
        <f t="shared" ref="AC259:AC322" si="54">D259*AC$1*P259</f>
        <v>63.478080000000006</v>
      </c>
    </row>
    <row r="260" spans="1:29" x14ac:dyDescent="0.25">
      <c r="A260">
        <v>406836</v>
      </c>
      <c r="B260" t="s">
        <v>44</v>
      </c>
      <c r="C260" s="10">
        <v>16.77</v>
      </c>
      <c r="D260" s="10">
        <v>15.8</v>
      </c>
      <c r="E260" s="10">
        <v>0</v>
      </c>
      <c r="F260">
        <v>101</v>
      </c>
      <c r="G260" t="s">
        <v>19</v>
      </c>
      <c r="H260" s="11">
        <v>45986</v>
      </c>
      <c r="I260" t="s">
        <v>13</v>
      </c>
      <c r="J260" s="12">
        <v>2.5</v>
      </c>
      <c r="K260" s="3">
        <v>79.03</v>
      </c>
      <c r="L260" s="3">
        <f t="shared" si="44"/>
        <v>31.612000000000002</v>
      </c>
      <c r="M260" s="13"/>
      <c r="N260">
        <f>_xlfn.XLOOKUP(G260,'Tarievensheet per persoon'!AE:AE,'Tarievensheet per persoon'!AF:AF)</f>
        <v>1.7068000000000001</v>
      </c>
      <c r="O260">
        <f>_xlfn.XLOOKUP(G260,AE:AE,'Tarievensheet per persoon'!AG:AG)</f>
        <v>1.5528</v>
      </c>
      <c r="P260">
        <f>_xlfn.XLOOKUP(G260,AE:AE,'Tarievensheet per persoon'!AH:AH)</f>
        <v>1.3391999999999999</v>
      </c>
      <c r="Q260">
        <f>_xlfn.XLOOKUP(G260,AE:AE,'Tarievensheet per persoon'!AI:AI)</f>
        <v>1.3391999999999999</v>
      </c>
      <c r="R260">
        <v>0</v>
      </c>
      <c r="S260" s="14">
        <v>2.99</v>
      </c>
      <c r="T260" s="10">
        <f t="shared" si="45"/>
        <v>31.613036000000001</v>
      </c>
      <c r="U260" s="10">
        <f t="shared" si="46"/>
        <v>40.206386480000006</v>
      </c>
      <c r="V260" s="10">
        <f t="shared" si="47"/>
        <v>40.727195600000002</v>
      </c>
      <c r="W260" s="10">
        <f t="shared" si="48"/>
        <v>52.445400800000002</v>
      </c>
      <c r="X260" s="10">
        <f t="shared" si="49"/>
        <v>57.653492</v>
      </c>
      <c r="Y260" s="10">
        <f t="shared" si="50"/>
        <v>83.693948000000006</v>
      </c>
      <c r="Z260" s="10">
        <f t="shared" si="51"/>
        <v>29.623104000000001</v>
      </c>
      <c r="AA260" s="10">
        <f t="shared" si="52"/>
        <v>38.086848000000003</v>
      </c>
      <c r="AB260" s="10">
        <f t="shared" si="53"/>
        <v>42.318719999999999</v>
      </c>
      <c r="AC260" s="10">
        <f t="shared" si="54"/>
        <v>63.478080000000006</v>
      </c>
    </row>
    <row r="261" spans="1:29" x14ac:dyDescent="0.25">
      <c r="A261">
        <v>406836</v>
      </c>
      <c r="B261" t="s">
        <v>44</v>
      </c>
      <c r="C261" s="10">
        <v>16.77</v>
      </c>
      <c r="D261" s="10">
        <v>15.8</v>
      </c>
      <c r="E261" s="10">
        <v>0</v>
      </c>
      <c r="F261">
        <v>101</v>
      </c>
      <c r="G261" t="s">
        <v>19</v>
      </c>
      <c r="H261" s="11">
        <v>45986</v>
      </c>
      <c r="I261" t="s">
        <v>21</v>
      </c>
      <c r="J261" s="12">
        <v>5.5</v>
      </c>
      <c r="K261" s="3">
        <v>221.1</v>
      </c>
      <c r="L261" s="3">
        <f t="shared" si="44"/>
        <v>40.199999999999996</v>
      </c>
      <c r="M261" s="13"/>
      <c r="N261">
        <f>_xlfn.XLOOKUP(G261,'Tarievensheet per persoon'!AE:AE,'Tarievensheet per persoon'!AF:AF)</f>
        <v>1.7068000000000001</v>
      </c>
      <c r="O261">
        <f>_xlfn.XLOOKUP(G261,AE:AE,'Tarievensheet per persoon'!AG:AG)</f>
        <v>1.5528</v>
      </c>
      <c r="P261">
        <f>_xlfn.XLOOKUP(G261,AE:AE,'Tarievensheet per persoon'!AH:AH)</f>
        <v>1.3391999999999999</v>
      </c>
      <c r="Q261">
        <f>_xlfn.XLOOKUP(G261,AE:AE,'Tarievensheet per persoon'!AI:AI)</f>
        <v>1.3391999999999999</v>
      </c>
      <c r="R261">
        <v>0</v>
      </c>
      <c r="S261" s="14">
        <v>2.99</v>
      </c>
      <c r="T261" s="10">
        <f t="shared" si="45"/>
        <v>31.613036000000001</v>
      </c>
      <c r="U261" s="10">
        <f t="shared" si="46"/>
        <v>40.206386480000006</v>
      </c>
      <c r="V261" s="10">
        <f t="shared" si="47"/>
        <v>40.727195600000002</v>
      </c>
      <c r="W261" s="10">
        <f t="shared" si="48"/>
        <v>52.445400800000002</v>
      </c>
      <c r="X261" s="10">
        <f t="shared" si="49"/>
        <v>57.653492</v>
      </c>
      <c r="Y261" s="10">
        <f t="shared" si="50"/>
        <v>83.693948000000006</v>
      </c>
      <c r="Z261" s="10">
        <f t="shared" si="51"/>
        <v>29.623104000000001</v>
      </c>
      <c r="AA261" s="10">
        <f t="shared" si="52"/>
        <v>38.086848000000003</v>
      </c>
      <c r="AB261" s="10">
        <f t="shared" si="53"/>
        <v>42.318719999999999</v>
      </c>
      <c r="AC261" s="10">
        <f t="shared" si="54"/>
        <v>63.478080000000006</v>
      </c>
    </row>
    <row r="262" spans="1:29" x14ac:dyDescent="0.25">
      <c r="A262">
        <v>406836</v>
      </c>
      <c r="B262" t="s">
        <v>44</v>
      </c>
      <c r="C262" s="10">
        <v>16.77</v>
      </c>
      <c r="D262" s="10">
        <v>15.8</v>
      </c>
      <c r="E262" s="10">
        <v>0</v>
      </c>
      <c r="F262">
        <v>101</v>
      </c>
      <c r="G262" t="s">
        <v>19</v>
      </c>
      <c r="H262" s="11">
        <v>45987</v>
      </c>
      <c r="I262" t="s">
        <v>13</v>
      </c>
      <c r="J262" s="12">
        <v>2</v>
      </c>
      <c r="K262" s="3">
        <v>63.22</v>
      </c>
      <c r="L262" s="3">
        <f t="shared" si="44"/>
        <v>31.61</v>
      </c>
      <c r="M262" s="13"/>
      <c r="N262">
        <f>_xlfn.XLOOKUP(G262,'Tarievensheet per persoon'!AE:AE,'Tarievensheet per persoon'!AF:AF)</f>
        <v>1.7068000000000001</v>
      </c>
      <c r="O262">
        <f>_xlfn.XLOOKUP(G262,AE:AE,'Tarievensheet per persoon'!AG:AG)</f>
        <v>1.5528</v>
      </c>
      <c r="P262">
        <f>_xlfn.XLOOKUP(G262,AE:AE,'Tarievensheet per persoon'!AH:AH)</f>
        <v>1.3391999999999999</v>
      </c>
      <c r="Q262">
        <f>_xlfn.XLOOKUP(G262,AE:AE,'Tarievensheet per persoon'!AI:AI)</f>
        <v>1.3391999999999999</v>
      </c>
      <c r="R262">
        <v>0</v>
      </c>
      <c r="S262" s="14">
        <v>2.99</v>
      </c>
      <c r="T262" s="10">
        <f t="shared" si="45"/>
        <v>31.613036000000001</v>
      </c>
      <c r="U262" s="10">
        <f t="shared" si="46"/>
        <v>40.206386480000006</v>
      </c>
      <c r="V262" s="10">
        <f t="shared" si="47"/>
        <v>40.727195600000002</v>
      </c>
      <c r="W262" s="10">
        <f t="shared" si="48"/>
        <v>52.445400800000002</v>
      </c>
      <c r="X262" s="10">
        <f t="shared" si="49"/>
        <v>57.653492</v>
      </c>
      <c r="Y262" s="10">
        <f t="shared" si="50"/>
        <v>83.693948000000006</v>
      </c>
      <c r="Z262" s="10">
        <f t="shared" si="51"/>
        <v>29.623104000000001</v>
      </c>
      <c r="AA262" s="10">
        <f t="shared" si="52"/>
        <v>38.086848000000003</v>
      </c>
      <c r="AB262" s="10">
        <f t="shared" si="53"/>
        <v>42.318719999999999</v>
      </c>
      <c r="AC262" s="10">
        <f t="shared" si="54"/>
        <v>63.478080000000006</v>
      </c>
    </row>
    <row r="263" spans="1:29" x14ac:dyDescent="0.25">
      <c r="A263">
        <v>406836</v>
      </c>
      <c r="B263" t="s">
        <v>44</v>
      </c>
      <c r="C263" s="10">
        <v>16.77</v>
      </c>
      <c r="D263" s="10">
        <v>15.8</v>
      </c>
      <c r="E263" s="10">
        <v>0</v>
      </c>
      <c r="F263">
        <v>101</v>
      </c>
      <c r="G263" t="s">
        <v>19</v>
      </c>
      <c r="H263" s="11">
        <v>45987</v>
      </c>
      <c r="I263" t="s">
        <v>23</v>
      </c>
      <c r="J263" s="12">
        <v>0.5</v>
      </c>
      <c r="K263" s="3">
        <v>14.81</v>
      </c>
      <c r="L263" s="3">
        <f t="shared" si="44"/>
        <v>29.62</v>
      </c>
      <c r="M263" s="13"/>
      <c r="N263">
        <f>_xlfn.XLOOKUP(G263,'Tarievensheet per persoon'!AE:AE,'Tarievensheet per persoon'!AF:AF)</f>
        <v>1.7068000000000001</v>
      </c>
      <c r="O263">
        <f>_xlfn.XLOOKUP(G263,AE:AE,'Tarievensheet per persoon'!AG:AG)</f>
        <v>1.5528</v>
      </c>
      <c r="P263">
        <f>_xlfn.XLOOKUP(G263,AE:AE,'Tarievensheet per persoon'!AH:AH)</f>
        <v>1.3391999999999999</v>
      </c>
      <c r="Q263">
        <f>_xlfn.XLOOKUP(G263,AE:AE,'Tarievensheet per persoon'!AI:AI)</f>
        <v>1.3391999999999999</v>
      </c>
      <c r="R263">
        <v>0</v>
      </c>
      <c r="S263" s="14">
        <v>2.99</v>
      </c>
      <c r="T263" s="10">
        <f t="shared" si="45"/>
        <v>31.613036000000001</v>
      </c>
      <c r="U263" s="10">
        <f t="shared" si="46"/>
        <v>40.206386480000006</v>
      </c>
      <c r="V263" s="10">
        <f t="shared" si="47"/>
        <v>40.727195600000002</v>
      </c>
      <c r="W263" s="10">
        <f t="shared" si="48"/>
        <v>52.445400800000002</v>
      </c>
      <c r="X263" s="10">
        <f t="shared" si="49"/>
        <v>57.653492</v>
      </c>
      <c r="Y263" s="10">
        <f t="shared" si="50"/>
        <v>83.693948000000006</v>
      </c>
      <c r="Z263" s="10">
        <f t="shared" si="51"/>
        <v>29.623104000000001</v>
      </c>
      <c r="AA263" s="10">
        <f t="shared" si="52"/>
        <v>38.086848000000003</v>
      </c>
      <c r="AB263" s="10">
        <f t="shared" si="53"/>
        <v>42.318719999999999</v>
      </c>
      <c r="AC263" s="10">
        <f t="shared" si="54"/>
        <v>63.478080000000006</v>
      </c>
    </row>
    <row r="264" spans="1:29" x14ac:dyDescent="0.25">
      <c r="A264">
        <v>406836</v>
      </c>
      <c r="B264" t="s">
        <v>44</v>
      </c>
      <c r="C264" s="10">
        <v>16.77</v>
      </c>
      <c r="D264" s="10">
        <v>15.8</v>
      </c>
      <c r="E264" s="10">
        <v>0</v>
      </c>
      <c r="F264">
        <v>101</v>
      </c>
      <c r="G264" t="s">
        <v>19</v>
      </c>
      <c r="H264" s="11">
        <v>45987</v>
      </c>
      <c r="I264" t="s">
        <v>21</v>
      </c>
      <c r="J264" s="12">
        <v>5.5</v>
      </c>
      <c r="K264" s="3">
        <v>221.1</v>
      </c>
      <c r="L264" s="3">
        <f t="shared" si="44"/>
        <v>40.199999999999996</v>
      </c>
      <c r="M264" s="13"/>
      <c r="N264">
        <f>_xlfn.XLOOKUP(G264,'Tarievensheet per persoon'!AE:AE,'Tarievensheet per persoon'!AF:AF)</f>
        <v>1.7068000000000001</v>
      </c>
      <c r="O264">
        <f>_xlfn.XLOOKUP(G264,AE:AE,'Tarievensheet per persoon'!AG:AG)</f>
        <v>1.5528</v>
      </c>
      <c r="P264">
        <f>_xlfn.XLOOKUP(G264,AE:AE,'Tarievensheet per persoon'!AH:AH)</f>
        <v>1.3391999999999999</v>
      </c>
      <c r="Q264">
        <f>_xlfn.XLOOKUP(G264,AE:AE,'Tarievensheet per persoon'!AI:AI)</f>
        <v>1.3391999999999999</v>
      </c>
      <c r="R264">
        <v>0</v>
      </c>
      <c r="S264" s="14">
        <v>2.99</v>
      </c>
      <c r="T264" s="10">
        <f t="shared" si="45"/>
        <v>31.613036000000001</v>
      </c>
      <c r="U264" s="10">
        <f t="shared" si="46"/>
        <v>40.206386480000006</v>
      </c>
      <c r="V264" s="10">
        <f t="shared" si="47"/>
        <v>40.727195600000002</v>
      </c>
      <c r="W264" s="10">
        <f t="shared" si="48"/>
        <v>52.445400800000002</v>
      </c>
      <c r="X264" s="10">
        <f t="shared" si="49"/>
        <v>57.653492</v>
      </c>
      <c r="Y264" s="10">
        <f t="shared" si="50"/>
        <v>83.693948000000006</v>
      </c>
      <c r="Z264" s="10">
        <f t="shared" si="51"/>
        <v>29.623104000000001</v>
      </c>
      <c r="AA264" s="10">
        <f t="shared" si="52"/>
        <v>38.086848000000003</v>
      </c>
      <c r="AB264" s="10">
        <f t="shared" si="53"/>
        <v>42.318719999999999</v>
      </c>
      <c r="AC264" s="10">
        <f t="shared" si="54"/>
        <v>63.478080000000006</v>
      </c>
    </row>
    <row r="265" spans="1:29" x14ac:dyDescent="0.25">
      <c r="A265">
        <v>406836</v>
      </c>
      <c r="B265" t="s">
        <v>44</v>
      </c>
      <c r="C265" s="10">
        <v>16.77</v>
      </c>
      <c r="D265" s="10">
        <v>15.8</v>
      </c>
      <c r="E265" s="10">
        <v>0</v>
      </c>
      <c r="F265">
        <v>101</v>
      </c>
      <c r="G265" t="s">
        <v>19</v>
      </c>
      <c r="H265" s="11">
        <v>45988</v>
      </c>
      <c r="I265" t="s">
        <v>13</v>
      </c>
      <c r="J265" s="12">
        <v>2.5</v>
      </c>
      <c r="K265" s="3">
        <v>79.03</v>
      </c>
      <c r="L265" s="3">
        <f t="shared" si="44"/>
        <v>31.612000000000002</v>
      </c>
      <c r="M265" s="13"/>
      <c r="N265">
        <f>_xlfn.XLOOKUP(G265,'Tarievensheet per persoon'!AE:AE,'Tarievensheet per persoon'!AF:AF)</f>
        <v>1.7068000000000001</v>
      </c>
      <c r="O265">
        <f>_xlfn.XLOOKUP(G265,AE:AE,'Tarievensheet per persoon'!AG:AG)</f>
        <v>1.5528</v>
      </c>
      <c r="P265">
        <f>_xlfn.XLOOKUP(G265,AE:AE,'Tarievensheet per persoon'!AH:AH)</f>
        <v>1.3391999999999999</v>
      </c>
      <c r="Q265">
        <f>_xlfn.XLOOKUP(G265,AE:AE,'Tarievensheet per persoon'!AI:AI)</f>
        <v>1.3391999999999999</v>
      </c>
      <c r="R265">
        <v>0</v>
      </c>
      <c r="S265" s="14">
        <v>2.99</v>
      </c>
      <c r="T265" s="10">
        <f t="shared" si="45"/>
        <v>31.613036000000001</v>
      </c>
      <c r="U265" s="10">
        <f t="shared" si="46"/>
        <v>40.206386480000006</v>
      </c>
      <c r="V265" s="10">
        <f t="shared" si="47"/>
        <v>40.727195600000002</v>
      </c>
      <c r="W265" s="10">
        <f t="shared" si="48"/>
        <v>52.445400800000002</v>
      </c>
      <c r="X265" s="10">
        <f t="shared" si="49"/>
        <v>57.653492</v>
      </c>
      <c r="Y265" s="10">
        <f t="shared" si="50"/>
        <v>83.693948000000006</v>
      </c>
      <c r="Z265" s="10">
        <f t="shared" si="51"/>
        <v>29.623104000000001</v>
      </c>
      <c r="AA265" s="10">
        <f t="shared" si="52"/>
        <v>38.086848000000003</v>
      </c>
      <c r="AB265" s="10">
        <f t="shared" si="53"/>
        <v>42.318719999999999</v>
      </c>
      <c r="AC265" s="10">
        <f t="shared" si="54"/>
        <v>63.478080000000006</v>
      </c>
    </row>
    <row r="266" spans="1:29" x14ac:dyDescent="0.25">
      <c r="A266">
        <v>406836</v>
      </c>
      <c r="B266" t="s">
        <v>44</v>
      </c>
      <c r="C266" s="10">
        <v>16.77</v>
      </c>
      <c r="D266" s="10">
        <v>15.8</v>
      </c>
      <c r="E266" s="10">
        <v>0</v>
      </c>
      <c r="F266">
        <v>101</v>
      </c>
      <c r="G266" t="s">
        <v>19</v>
      </c>
      <c r="H266" s="11">
        <v>45988</v>
      </c>
      <c r="I266" t="s">
        <v>21</v>
      </c>
      <c r="J266" s="12">
        <v>5.5</v>
      </c>
      <c r="K266" s="3">
        <v>221.1</v>
      </c>
      <c r="L266" s="3">
        <f t="shared" si="44"/>
        <v>40.199999999999996</v>
      </c>
      <c r="M266" s="13"/>
      <c r="N266">
        <f>_xlfn.XLOOKUP(G266,'Tarievensheet per persoon'!AE:AE,'Tarievensheet per persoon'!AF:AF)</f>
        <v>1.7068000000000001</v>
      </c>
      <c r="O266">
        <f>_xlfn.XLOOKUP(G266,AE:AE,'Tarievensheet per persoon'!AG:AG)</f>
        <v>1.5528</v>
      </c>
      <c r="P266">
        <f>_xlfn.XLOOKUP(G266,AE:AE,'Tarievensheet per persoon'!AH:AH)</f>
        <v>1.3391999999999999</v>
      </c>
      <c r="Q266">
        <f>_xlfn.XLOOKUP(G266,AE:AE,'Tarievensheet per persoon'!AI:AI)</f>
        <v>1.3391999999999999</v>
      </c>
      <c r="R266">
        <v>0</v>
      </c>
      <c r="S266" s="14">
        <v>2.99</v>
      </c>
      <c r="T266" s="10">
        <f t="shared" si="45"/>
        <v>31.613036000000001</v>
      </c>
      <c r="U266" s="10">
        <f t="shared" si="46"/>
        <v>40.206386480000006</v>
      </c>
      <c r="V266" s="10">
        <f t="shared" si="47"/>
        <v>40.727195600000002</v>
      </c>
      <c r="W266" s="10">
        <f t="shared" si="48"/>
        <v>52.445400800000002</v>
      </c>
      <c r="X266" s="10">
        <f t="shared" si="49"/>
        <v>57.653492</v>
      </c>
      <c r="Y266" s="10">
        <f t="shared" si="50"/>
        <v>83.693948000000006</v>
      </c>
      <c r="Z266" s="10">
        <f t="shared" si="51"/>
        <v>29.623104000000001</v>
      </c>
      <c r="AA266" s="10">
        <f t="shared" si="52"/>
        <v>38.086848000000003</v>
      </c>
      <c r="AB266" s="10">
        <f t="shared" si="53"/>
        <v>42.318719999999999</v>
      </c>
      <c r="AC266" s="10">
        <f t="shared" si="54"/>
        <v>63.478080000000006</v>
      </c>
    </row>
    <row r="267" spans="1:29" x14ac:dyDescent="0.25">
      <c r="A267">
        <v>406836</v>
      </c>
      <c r="B267" t="s">
        <v>44</v>
      </c>
      <c r="C267" s="10">
        <v>16.77</v>
      </c>
      <c r="D267" s="10">
        <v>15.8</v>
      </c>
      <c r="E267" s="10">
        <v>0</v>
      </c>
      <c r="F267">
        <v>101</v>
      </c>
      <c r="G267" t="s">
        <v>19</v>
      </c>
      <c r="H267" s="11">
        <v>45988</v>
      </c>
      <c r="I267" t="s">
        <v>22</v>
      </c>
      <c r="J267" s="12">
        <v>0.5</v>
      </c>
      <c r="K267" s="3">
        <v>20.36</v>
      </c>
      <c r="L267" s="3">
        <f t="shared" si="44"/>
        <v>40.72</v>
      </c>
      <c r="M267" s="13"/>
      <c r="N267">
        <f>_xlfn.XLOOKUP(G267,'Tarievensheet per persoon'!AE:AE,'Tarievensheet per persoon'!AF:AF)</f>
        <v>1.7068000000000001</v>
      </c>
      <c r="O267">
        <f>_xlfn.XLOOKUP(G267,AE:AE,'Tarievensheet per persoon'!AG:AG)</f>
        <v>1.5528</v>
      </c>
      <c r="P267">
        <f>_xlfn.XLOOKUP(G267,AE:AE,'Tarievensheet per persoon'!AH:AH)</f>
        <v>1.3391999999999999</v>
      </c>
      <c r="Q267">
        <f>_xlfn.XLOOKUP(G267,AE:AE,'Tarievensheet per persoon'!AI:AI)</f>
        <v>1.3391999999999999</v>
      </c>
      <c r="R267">
        <v>0</v>
      </c>
      <c r="S267" s="14">
        <v>2.99</v>
      </c>
      <c r="T267" s="10">
        <f t="shared" si="45"/>
        <v>31.613036000000001</v>
      </c>
      <c r="U267" s="10">
        <f t="shared" si="46"/>
        <v>40.206386480000006</v>
      </c>
      <c r="V267" s="10">
        <f t="shared" si="47"/>
        <v>40.727195600000002</v>
      </c>
      <c r="W267" s="10">
        <f t="shared" si="48"/>
        <v>52.445400800000002</v>
      </c>
      <c r="X267" s="10">
        <f t="shared" si="49"/>
        <v>57.653492</v>
      </c>
      <c r="Y267" s="10">
        <f t="shared" si="50"/>
        <v>83.693948000000006</v>
      </c>
      <c r="Z267" s="10">
        <f t="shared" si="51"/>
        <v>29.623104000000001</v>
      </c>
      <c r="AA267" s="10">
        <f t="shared" si="52"/>
        <v>38.086848000000003</v>
      </c>
      <c r="AB267" s="10">
        <f t="shared" si="53"/>
        <v>42.318719999999999</v>
      </c>
      <c r="AC267" s="10">
        <f t="shared" si="54"/>
        <v>63.478080000000006</v>
      </c>
    </row>
    <row r="268" spans="1:29" x14ac:dyDescent="0.25">
      <c r="A268">
        <v>406836</v>
      </c>
      <c r="B268" t="s">
        <v>44</v>
      </c>
      <c r="C268" s="10">
        <v>16.77</v>
      </c>
      <c r="D268" s="10">
        <v>15.8</v>
      </c>
      <c r="E268" s="10">
        <v>0</v>
      </c>
      <c r="F268">
        <v>101</v>
      </c>
      <c r="G268" t="s">
        <v>19</v>
      </c>
      <c r="H268" s="11">
        <v>45989</v>
      </c>
      <c r="I268" t="s">
        <v>13</v>
      </c>
      <c r="J268" s="12">
        <v>2.5</v>
      </c>
      <c r="K268" s="3">
        <v>79.03</v>
      </c>
      <c r="L268" s="3">
        <f t="shared" si="44"/>
        <v>31.612000000000002</v>
      </c>
      <c r="M268" s="13"/>
      <c r="N268">
        <f>_xlfn.XLOOKUP(G268,'Tarievensheet per persoon'!AE:AE,'Tarievensheet per persoon'!AF:AF)</f>
        <v>1.7068000000000001</v>
      </c>
      <c r="O268">
        <f>_xlfn.XLOOKUP(G268,AE:AE,'Tarievensheet per persoon'!AG:AG)</f>
        <v>1.5528</v>
      </c>
      <c r="P268">
        <f>_xlfn.XLOOKUP(G268,AE:AE,'Tarievensheet per persoon'!AH:AH)</f>
        <v>1.3391999999999999</v>
      </c>
      <c r="Q268">
        <f>_xlfn.XLOOKUP(G268,AE:AE,'Tarievensheet per persoon'!AI:AI)</f>
        <v>1.3391999999999999</v>
      </c>
      <c r="R268">
        <v>0</v>
      </c>
      <c r="S268" s="14">
        <v>2.99</v>
      </c>
      <c r="T268" s="10">
        <f t="shared" si="45"/>
        <v>31.613036000000001</v>
      </c>
      <c r="U268" s="10">
        <f t="shared" si="46"/>
        <v>40.206386480000006</v>
      </c>
      <c r="V268" s="10">
        <f t="shared" si="47"/>
        <v>40.727195600000002</v>
      </c>
      <c r="W268" s="10">
        <f t="shared" si="48"/>
        <v>52.445400800000002</v>
      </c>
      <c r="X268" s="10">
        <f t="shared" si="49"/>
        <v>57.653492</v>
      </c>
      <c r="Y268" s="10">
        <f t="shared" si="50"/>
        <v>83.693948000000006</v>
      </c>
      <c r="Z268" s="10">
        <f t="shared" si="51"/>
        <v>29.623104000000001</v>
      </c>
      <c r="AA268" s="10">
        <f t="shared" si="52"/>
        <v>38.086848000000003</v>
      </c>
      <c r="AB268" s="10">
        <f t="shared" si="53"/>
        <v>42.318719999999999</v>
      </c>
      <c r="AC268" s="10">
        <f t="shared" si="54"/>
        <v>63.478080000000006</v>
      </c>
    </row>
    <row r="269" spans="1:29" x14ac:dyDescent="0.25">
      <c r="A269">
        <v>406836</v>
      </c>
      <c r="B269" t="s">
        <v>44</v>
      </c>
      <c r="C269" s="10">
        <v>16.77</v>
      </c>
      <c r="D269" s="10">
        <v>15.8</v>
      </c>
      <c r="E269" s="10">
        <v>0</v>
      </c>
      <c r="F269">
        <v>101</v>
      </c>
      <c r="G269" t="s">
        <v>19</v>
      </c>
      <c r="H269" s="11">
        <v>45989</v>
      </c>
      <c r="I269" t="s">
        <v>21</v>
      </c>
      <c r="J269" s="12">
        <v>5.5</v>
      </c>
      <c r="K269" s="3">
        <v>221.1</v>
      </c>
      <c r="L269" s="3">
        <f t="shared" si="44"/>
        <v>40.199999999999996</v>
      </c>
      <c r="M269" s="13"/>
      <c r="N269">
        <f>_xlfn.XLOOKUP(G269,'Tarievensheet per persoon'!AE:AE,'Tarievensheet per persoon'!AF:AF)</f>
        <v>1.7068000000000001</v>
      </c>
      <c r="O269">
        <f>_xlfn.XLOOKUP(G269,AE:AE,'Tarievensheet per persoon'!AG:AG)</f>
        <v>1.5528</v>
      </c>
      <c r="P269">
        <f>_xlfn.XLOOKUP(G269,AE:AE,'Tarievensheet per persoon'!AH:AH)</f>
        <v>1.3391999999999999</v>
      </c>
      <c r="Q269">
        <f>_xlfn.XLOOKUP(G269,AE:AE,'Tarievensheet per persoon'!AI:AI)</f>
        <v>1.3391999999999999</v>
      </c>
      <c r="R269">
        <v>0</v>
      </c>
      <c r="S269" s="14">
        <v>2.99</v>
      </c>
      <c r="T269" s="10">
        <f t="shared" si="45"/>
        <v>31.613036000000001</v>
      </c>
      <c r="U269" s="10">
        <f t="shared" si="46"/>
        <v>40.206386480000006</v>
      </c>
      <c r="V269" s="10">
        <f t="shared" si="47"/>
        <v>40.727195600000002</v>
      </c>
      <c r="W269" s="10">
        <f t="shared" si="48"/>
        <v>52.445400800000002</v>
      </c>
      <c r="X269" s="10">
        <f t="shared" si="49"/>
        <v>57.653492</v>
      </c>
      <c r="Y269" s="10">
        <f t="shared" si="50"/>
        <v>83.693948000000006</v>
      </c>
      <c r="Z269" s="10">
        <f t="shared" si="51"/>
        <v>29.623104000000001</v>
      </c>
      <c r="AA269" s="10">
        <f t="shared" si="52"/>
        <v>38.086848000000003</v>
      </c>
      <c r="AB269" s="10">
        <f t="shared" si="53"/>
        <v>42.318719999999999</v>
      </c>
      <c r="AC269" s="10">
        <f t="shared" si="54"/>
        <v>63.478080000000006</v>
      </c>
    </row>
    <row r="270" spans="1:29" x14ac:dyDescent="0.25">
      <c r="A270">
        <v>408973</v>
      </c>
      <c r="B270" t="s">
        <v>45</v>
      </c>
      <c r="C270" s="10">
        <v>15.89</v>
      </c>
      <c r="D270" s="10">
        <v>14.98</v>
      </c>
      <c r="E270" s="10">
        <v>0</v>
      </c>
      <c r="F270">
        <v>92</v>
      </c>
      <c r="G270" t="s">
        <v>19</v>
      </c>
      <c r="H270" s="11">
        <v>45985</v>
      </c>
      <c r="I270" t="s">
        <v>13</v>
      </c>
      <c r="J270" s="12">
        <v>8</v>
      </c>
      <c r="K270" s="3">
        <v>240.88</v>
      </c>
      <c r="L270" s="3">
        <f t="shared" si="44"/>
        <v>30.11</v>
      </c>
      <c r="M270" s="13"/>
      <c r="N270">
        <f>_xlfn.XLOOKUP(G270,'Tarievensheet per persoon'!AE:AE,'Tarievensheet per persoon'!AF:AF)</f>
        <v>1.7068000000000001</v>
      </c>
      <c r="O270">
        <f>_xlfn.XLOOKUP(G270,AE:AE,'Tarievensheet per persoon'!AG:AG)</f>
        <v>1.5528</v>
      </c>
      <c r="P270">
        <f>_xlfn.XLOOKUP(G270,AE:AE,'Tarievensheet per persoon'!AH:AH)</f>
        <v>1.3391999999999999</v>
      </c>
      <c r="Q270">
        <f>_xlfn.XLOOKUP(G270,AE:AE,'Tarievensheet per persoon'!AI:AI)</f>
        <v>1.3391999999999999</v>
      </c>
      <c r="R270">
        <v>0</v>
      </c>
      <c r="S270" s="14">
        <v>2.99</v>
      </c>
      <c r="T270" s="10">
        <f t="shared" si="45"/>
        <v>30.111052000000001</v>
      </c>
      <c r="U270" s="10">
        <f t="shared" si="46"/>
        <v>38.253469360000004</v>
      </c>
      <c r="V270" s="10">
        <f t="shared" si="47"/>
        <v>38.746949200000003</v>
      </c>
      <c r="W270" s="10">
        <f t="shared" si="48"/>
        <v>49.850245600000001</v>
      </c>
      <c r="X270" s="10">
        <f t="shared" si="49"/>
        <v>54.785043999999999</v>
      </c>
      <c r="Y270" s="10">
        <f t="shared" si="50"/>
        <v>79.459035999999998</v>
      </c>
      <c r="Z270" s="10">
        <f t="shared" si="51"/>
        <v>28.085702399999995</v>
      </c>
      <c r="AA270" s="10">
        <f t="shared" si="52"/>
        <v>36.110188800000003</v>
      </c>
      <c r="AB270" s="10">
        <f t="shared" si="53"/>
        <v>40.122431999999996</v>
      </c>
      <c r="AC270" s="10">
        <f t="shared" si="54"/>
        <v>60.183647999999998</v>
      </c>
    </row>
    <row r="271" spans="1:29" x14ac:dyDescent="0.25">
      <c r="A271">
        <v>408973</v>
      </c>
      <c r="B271" t="s">
        <v>45</v>
      </c>
      <c r="C271" s="10">
        <v>15.89</v>
      </c>
      <c r="D271" s="10">
        <v>14.98</v>
      </c>
      <c r="E271" s="10">
        <v>0</v>
      </c>
      <c r="F271">
        <v>92</v>
      </c>
      <c r="G271" t="s">
        <v>19</v>
      </c>
      <c r="H271" s="11">
        <v>45986</v>
      </c>
      <c r="I271" t="s">
        <v>13</v>
      </c>
      <c r="J271" s="12">
        <v>8</v>
      </c>
      <c r="K271" s="3">
        <v>240.88</v>
      </c>
      <c r="L271" s="3">
        <f t="shared" si="44"/>
        <v>30.11</v>
      </c>
      <c r="M271" s="13"/>
      <c r="N271">
        <f>_xlfn.XLOOKUP(G271,'Tarievensheet per persoon'!AE:AE,'Tarievensheet per persoon'!AF:AF)</f>
        <v>1.7068000000000001</v>
      </c>
      <c r="O271">
        <f>_xlfn.XLOOKUP(G271,AE:AE,'Tarievensheet per persoon'!AG:AG)</f>
        <v>1.5528</v>
      </c>
      <c r="P271">
        <f>_xlfn.XLOOKUP(G271,AE:AE,'Tarievensheet per persoon'!AH:AH)</f>
        <v>1.3391999999999999</v>
      </c>
      <c r="Q271">
        <f>_xlfn.XLOOKUP(G271,AE:AE,'Tarievensheet per persoon'!AI:AI)</f>
        <v>1.3391999999999999</v>
      </c>
      <c r="R271">
        <v>0</v>
      </c>
      <c r="S271" s="14">
        <v>2.99</v>
      </c>
      <c r="T271" s="10">
        <f t="shared" si="45"/>
        <v>30.111052000000001</v>
      </c>
      <c r="U271" s="10">
        <f t="shared" si="46"/>
        <v>38.253469360000004</v>
      </c>
      <c r="V271" s="10">
        <f t="shared" si="47"/>
        <v>38.746949200000003</v>
      </c>
      <c r="W271" s="10">
        <f t="shared" si="48"/>
        <v>49.850245600000001</v>
      </c>
      <c r="X271" s="10">
        <f t="shared" si="49"/>
        <v>54.785043999999999</v>
      </c>
      <c r="Y271" s="10">
        <f t="shared" si="50"/>
        <v>79.459035999999998</v>
      </c>
      <c r="Z271" s="10">
        <f t="shared" si="51"/>
        <v>28.085702399999995</v>
      </c>
      <c r="AA271" s="10">
        <f t="shared" si="52"/>
        <v>36.110188800000003</v>
      </c>
      <c r="AB271" s="10">
        <f t="shared" si="53"/>
        <v>40.122431999999996</v>
      </c>
      <c r="AC271" s="10">
        <f t="shared" si="54"/>
        <v>60.183647999999998</v>
      </c>
    </row>
    <row r="272" spans="1:29" x14ac:dyDescent="0.25">
      <c r="A272">
        <v>408973</v>
      </c>
      <c r="B272" t="s">
        <v>45</v>
      </c>
      <c r="C272" s="10">
        <v>15.89</v>
      </c>
      <c r="D272" s="10">
        <v>14.98</v>
      </c>
      <c r="E272" s="10">
        <v>0</v>
      </c>
      <c r="F272">
        <v>92</v>
      </c>
      <c r="G272" t="s">
        <v>19</v>
      </c>
      <c r="H272" s="11">
        <v>45987</v>
      </c>
      <c r="I272" t="s">
        <v>13</v>
      </c>
      <c r="J272" s="12">
        <v>6</v>
      </c>
      <c r="K272" s="3">
        <v>180.66</v>
      </c>
      <c r="L272" s="3">
        <f t="shared" si="44"/>
        <v>30.11</v>
      </c>
      <c r="M272" s="13"/>
      <c r="N272">
        <f>_xlfn.XLOOKUP(G272,'Tarievensheet per persoon'!AE:AE,'Tarievensheet per persoon'!AF:AF)</f>
        <v>1.7068000000000001</v>
      </c>
      <c r="O272">
        <f>_xlfn.XLOOKUP(G272,AE:AE,'Tarievensheet per persoon'!AG:AG)</f>
        <v>1.5528</v>
      </c>
      <c r="P272">
        <f>_xlfn.XLOOKUP(G272,AE:AE,'Tarievensheet per persoon'!AH:AH)</f>
        <v>1.3391999999999999</v>
      </c>
      <c r="Q272">
        <f>_xlfn.XLOOKUP(G272,AE:AE,'Tarievensheet per persoon'!AI:AI)</f>
        <v>1.3391999999999999</v>
      </c>
      <c r="R272">
        <v>0</v>
      </c>
      <c r="S272" s="14">
        <v>2.99</v>
      </c>
      <c r="T272" s="10">
        <f t="shared" si="45"/>
        <v>30.111052000000001</v>
      </c>
      <c r="U272" s="10">
        <f t="shared" si="46"/>
        <v>38.253469360000004</v>
      </c>
      <c r="V272" s="10">
        <f t="shared" si="47"/>
        <v>38.746949200000003</v>
      </c>
      <c r="W272" s="10">
        <f t="shared" si="48"/>
        <v>49.850245600000001</v>
      </c>
      <c r="X272" s="10">
        <f t="shared" si="49"/>
        <v>54.785043999999999</v>
      </c>
      <c r="Y272" s="10">
        <f t="shared" si="50"/>
        <v>79.459035999999998</v>
      </c>
      <c r="Z272" s="10">
        <f t="shared" si="51"/>
        <v>28.085702399999995</v>
      </c>
      <c r="AA272" s="10">
        <f t="shared" si="52"/>
        <v>36.110188800000003</v>
      </c>
      <c r="AB272" s="10">
        <f t="shared" si="53"/>
        <v>40.122431999999996</v>
      </c>
      <c r="AC272" s="10">
        <f t="shared" si="54"/>
        <v>60.183647999999998</v>
      </c>
    </row>
    <row r="273" spans="1:29" x14ac:dyDescent="0.25">
      <c r="A273">
        <v>408973</v>
      </c>
      <c r="B273" t="s">
        <v>45</v>
      </c>
      <c r="C273" s="10">
        <v>15.89</v>
      </c>
      <c r="D273" s="10">
        <v>14.98</v>
      </c>
      <c r="E273" s="10">
        <v>0</v>
      </c>
      <c r="F273">
        <v>92</v>
      </c>
      <c r="G273" t="s">
        <v>19</v>
      </c>
      <c r="H273" s="11">
        <v>45988</v>
      </c>
      <c r="I273" t="s">
        <v>13</v>
      </c>
      <c r="J273" s="12">
        <v>8</v>
      </c>
      <c r="K273" s="3">
        <v>240.88</v>
      </c>
      <c r="L273" s="3">
        <f t="shared" si="44"/>
        <v>30.11</v>
      </c>
      <c r="M273" s="13"/>
      <c r="N273">
        <f>_xlfn.XLOOKUP(G273,'Tarievensheet per persoon'!AE:AE,'Tarievensheet per persoon'!AF:AF)</f>
        <v>1.7068000000000001</v>
      </c>
      <c r="O273">
        <f>_xlfn.XLOOKUP(G273,AE:AE,'Tarievensheet per persoon'!AG:AG)</f>
        <v>1.5528</v>
      </c>
      <c r="P273">
        <f>_xlfn.XLOOKUP(G273,AE:AE,'Tarievensheet per persoon'!AH:AH)</f>
        <v>1.3391999999999999</v>
      </c>
      <c r="Q273">
        <f>_xlfn.XLOOKUP(G273,AE:AE,'Tarievensheet per persoon'!AI:AI)</f>
        <v>1.3391999999999999</v>
      </c>
      <c r="R273">
        <v>0</v>
      </c>
      <c r="S273" s="14">
        <v>2.99</v>
      </c>
      <c r="T273" s="10">
        <f t="shared" si="45"/>
        <v>30.111052000000001</v>
      </c>
      <c r="U273" s="10">
        <f t="shared" si="46"/>
        <v>38.253469360000004</v>
      </c>
      <c r="V273" s="10">
        <f t="shared" si="47"/>
        <v>38.746949200000003</v>
      </c>
      <c r="W273" s="10">
        <f t="shared" si="48"/>
        <v>49.850245600000001</v>
      </c>
      <c r="X273" s="10">
        <f t="shared" si="49"/>
        <v>54.785043999999999</v>
      </c>
      <c r="Y273" s="10">
        <f t="shared" si="50"/>
        <v>79.459035999999998</v>
      </c>
      <c r="Z273" s="10">
        <f t="shared" si="51"/>
        <v>28.085702399999995</v>
      </c>
      <c r="AA273" s="10">
        <f t="shared" si="52"/>
        <v>36.110188800000003</v>
      </c>
      <c r="AB273" s="10">
        <f t="shared" si="53"/>
        <v>40.122431999999996</v>
      </c>
      <c r="AC273" s="10">
        <f t="shared" si="54"/>
        <v>60.183647999999998</v>
      </c>
    </row>
    <row r="274" spans="1:29" x14ac:dyDescent="0.25">
      <c r="A274">
        <v>408973</v>
      </c>
      <c r="B274" t="s">
        <v>45</v>
      </c>
      <c r="C274" s="10">
        <v>15.89</v>
      </c>
      <c r="D274" s="10">
        <v>14.98</v>
      </c>
      <c r="E274" s="10">
        <v>0</v>
      </c>
      <c r="F274">
        <v>92</v>
      </c>
      <c r="G274" t="s">
        <v>19</v>
      </c>
      <c r="H274" s="11">
        <v>45989</v>
      </c>
      <c r="I274" t="s">
        <v>13</v>
      </c>
      <c r="J274" s="12">
        <v>7.75</v>
      </c>
      <c r="K274" s="3">
        <v>233.35</v>
      </c>
      <c r="L274" s="3">
        <f t="shared" si="44"/>
        <v>30.109677419354838</v>
      </c>
      <c r="M274" s="13"/>
      <c r="N274">
        <f>_xlfn.XLOOKUP(G274,'Tarievensheet per persoon'!AE:AE,'Tarievensheet per persoon'!AF:AF)</f>
        <v>1.7068000000000001</v>
      </c>
      <c r="O274">
        <f>_xlfn.XLOOKUP(G274,AE:AE,'Tarievensheet per persoon'!AG:AG)</f>
        <v>1.5528</v>
      </c>
      <c r="P274">
        <f>_xlfn.XLOOKUP(G274,AE:AE,'Tarievensheet per persoon'!AH:AH)</f>
        <v>1.3391999999999999</v>
      </c>
      <c r="Q274">
        <f>_xlfn.XLOOKUP(G274,AE:AE,'Tarievensheet per persoon'!AI:AI)</f>
        <v>1.3391999999999999</v>
      </c>
      <c r="R274">
        <v>0</v>
      </c>
      <c r="S274" s="14">
        <v>2.99</v>
      </c>
      <c r="T274" s="10">
        <f t="shared" si="45"/>
        <v>30.111052000000001</v>
      </c>
      <c r="U274" s="10">
        <f t="shared" si="46"/>
        <v>38.253469360000004</v>
      </c>
      <c r="V274" s="10">
        <f t="shared" si="47"/>
        <v>38.746949200000003</v>
      </c>
      <c r="W274" s="10">
        <f t="shared" si="48"/>
        <v>49.850245600000001</v>
      </c>
      <c r="X274" s="10">
        <f t="shared" si="49"/>
        <v>54.785043999999999</v>
      </c>
      <c r="Y274" s="10">
        <f t="shared" si="50"/>
        <v>79.459035999999998</v>
      </c>
      <c r="Z274" s="10">
        <f t="shared" si="51"/>
        <v>28.085702399999995</v>
      </c>
      <c r="AA274" s="10">
        <f t="shared" si="52"/>
        <v>36.110188800000003</v>
      </c>
      <c r="AB274" s="10">
        <f t="shared" si="53"/>
        <v>40.122431999999996</v>
      </c>
      <c r="AC274" s="10">
        <f t="shared" si="54"/>
        <v>60.183647999999998</v>
      </c>
    </row>
    <row r="275" spans="1:29" x14ac:dyDescent="0.25">
      <c r="A275">
        <v>410116</v>
      </c>
      <c r="B275" t="s">
        <v>46</v>
      </c>
      <c r="C275" s="10">
        <v>17.64</v>
      </c>
      <c r="D275" s="10">
        <v>16.62</v>
      </c>
      <c r="E275" s="10">
        <v>0</v>
      </c>
      <c r="F275">
        <v>94</v>
      </c>
      <c r="G275" t="s">
        <v>19</v>
      </c>
      <c r="H275" s="11">
        <v>45985</v>
      </c>
      <c r="I275" t="s">
        <v>13</v>
      </c>
      <c r="J275" s="12">
        <v>8</v>
      </c>
      <c r="K275" s="3">
        <v>264.8</v>
      </c>
      <c r="L275" s="3">
        <f t="shared" si="44"/>
        <v>33.1</v>
      </c>
      <c r="M275" s="13"/>
      <c r="N275">
        <f>_xlfn.XLOOKUP(G275,'Tarievensheet per persoon'!AE:AE,'Tarievensheet per persoon'!AF:AF)</f>
        <v>1.7068000000000001</v>
      </c>
      <c r="O275">
        <f>_xlfn.XLOOKUP(G275,AE:AE,'Tarievensheet per persoon'!AG:AG)</f>
        <v>1.5528</v>
      </c>
      <c r="P275">
        <f>_xlfn.XLOOKUP(G275,AE:AE,'Tarievensheet per persoon'!AH:AH)</f>
        <v>1.3391999999999999</v>
      </c>
      <c r="Q275">
        <f>_xlfn.XLOOKUP(G275,AE:AE,'Tarievensheet per persoon'!AI:AI)</f>
        <v>1.3391999999999999</v>
      </c>
      <c r="R275">
        <v>0</v>
      </c>
      <c r="S275" s="14">
        <v>2.99</v>
      </c>
      <c r="T275" s="10">
        <f t="shared" si="45"/>
        <v>33.097951999999999</v>
      </c>
      <c r="U275" s="10">
        <f t="shared" si="46"/>
        <v>42.137111359999999</v>
      </c>
      <c r="V275" s="10">
        <f t="shared" si="47"/>
        <v>42.684939200000002</v>
      </c>
      <c r="W275" s="10">
        <f t="shared" si="48"/>
        <v>55.011065600000002</v>
      </c>
      <c r="X275" s="10">
        <f t="shared" si="49"/>
        <v>60.489344000000003</v>
      </c>
      <c r="Y275" s="10">
        <f t="shared" si="50"/>
        <v>87.880735999999999</v>
      </c>
      <c r="Z275" s="10">
        <f t="shared" si="51"/>
        <v>31.1605056</v>
      </c>
      <c r="AA275" s="10">
        <f t="shared" si="52"/>
        <v>40.063507200000004</v>
      </c>
      <c r="AB275" s="10">
        <f t="shared" si="53"/>
        <v>44.515008000000002</v>
      </c>
      <c r="AC275" s="10">
        <f t="shared" si="54"/>
        <v>66.772511999999992</v>
      </c>
    </row>
    <row r="276" spans="1:29" x14ac:dyDescent="0.25">
      <c r="A276">
        <v>410116</v>
      </c>
      <c r="B276" t="s">
        <v>46</v>
      </c>
      <c r="C276" s="10">
        <v>17.64</v>
      </c>
      <c r="D276" s="10">
        <v>16.62</v>
      </c>
      <c r="E276" s="10">
        <v>0</v>
      </c>
      <c r="F276">
        <v>94</v>
      </c>
      <c r="G276" t="s">
        <v>19</v>
      </c>
      <c r="H276" s="11">
        <v>45986</v>
      </c>
      <c r="I276" t="s">
        <v>13</v>
      </c>
      <c r="J276" s="12">
        <v>8</v>
      </c>
      <c r="K276" s="3">
        <v>264.8</v>
      </c>
      <c r="L276" s="3">
        <f t="shared" si="44"/>
        <v>33.1</v>
      </c>
      <c r="M276" s="13"/>
      <c r="N276">
        <f>_xlfn.XLOOKUP(G276,'Tarievensheet per persoon'!AE:AE,'Tarievensheet per persoon'!AF:AF)</f>
        <v>1.7068000000000001</v>
      </c>
      <c r="O276">
        <f>_xlfn.XLOOKUP(G276,AE:AE,'Tarievensheet per persoon'!AG:AG)</f>
        <v>1.5528</v>
      </c>
      <c r="P276">
        <f>_xlfn.XLOOKUP(G276,AE:AE,'Tarievensheet per persoon'!AH:AH)</f>
        <v>1.3391999999999999</v>
      </c>
      <c r="Q276">
        <f>_xlfn.XLOOKUP(G276,AE:AE,'Tarievensheet per persoon'!AI:AI)</f>
        <v>1.3391999999999999</v>
      </c>
      <c r="R276">
        <v>0</v>
      </c>
      <c r="S276" s="14">
        <v>2.99</v>
      </c>
      <c r="T276" s="10">
        <f t="shared" si="45"/>
        <v>33.097951999999999</v>
      </c>
      <c r="U276" s="10">
        <f t="shared" si="46"/>
        <v>42.137111359999999</v>
      </c>
      <c r="V276" s="10">
        <f t="shared" si="47"/>
        <v>42.684939200000002</v>
      </c>
      <c r="W276" s="10">
        <f t="shared" si="48"/>
        <v>55.011065600000002</v>
      </c>
      <c r="X276" s="10">
        <f t="shared" si="49"/>
        <v>60.489344000000003</v>
      </c>
      <c r="Y276" s="10">
        <f t="shared" si="50"/>
        <v>87.880735999999999</v>
      </c>
      <c r="Z276" s="10">
        <f t="shared" si="51"/>
        <v>31.1605056</v>
      </c>
      <c r="AA276" s="10">
        <f t="shared" si="52"/>
        <v>40.063507200000004</v>
      </c>
      <c r="AB276" s="10">
        <f t="shared" si="53"/>
        <v>44.515008000000002</v>
      </c>
      <c r="AC276" s="10">
        <f t="shared" si="54"/>
        <v>66.772511999999992</v>
      </c>
    </row>
    <row r="277" spans="1:29" x14ac:dyDescent="0.25">
      <c r="A277">
        <v>410116</v>
      </c>
      <c r="B277" t="s">
        <v>46</v>
      </c>
      <c r="C277" s="10">
        <v>17.64</v>
      </c>
      <c r="D277" s="10">
        <v>16.62</v>
      </c>
      <c r="E277" s="10">
        <v>0</v>
      </c>
      <c r="F277">
        <v>94</v>
      </c>
      <c r="G277" t="s">
        <v>19</v>
      </c>
      <c r="H277" s="11">
        <v>45987</v>
      </c>
      <c r="I277" t="s">
        <v>13</v>
      </c>
      <c r="J277" s="12">
        <v>8</v>
      </c>
      <c r="K277" s="3">
        <v>264.8</v>
      </c>
      <c r="L277" s="3">
        <f t="shared" si="44"/>
        <v>33.1</v>
      </c>
      <c r="M277" s="13"/>
      <c r="N277">
        <f>_xlfn.XLOOKUP(G277,'Tarievensheet per persoon'!AE:AE,'Tarievensheet per persoon'!AF:AF)</f>
        <v>1.7068000000000001</v>
      </c>
      <c r="O277">
        <f>_xlfn.XLOOKUP(G277,AE:AE,'Tarievensheet per persoon'!AG:AG)</f>
        <v>1.5528</v>
      </c>
      <c r="P277">
        <f>_xlfn.XLOOKUP(G277,AE:AE,'Tarievensheet per persoon'!AH:AH)</f>
        <v>1.3391999999999999</v>
      </c>
      <c r="Q277">
        <f>_xlfn.XLOOKUP(G277,AE:AE,'Tarievensheet per persoon'!AI:AI)</f>
        <v>1.3391999999999999</v>
      </c>
      <c r="R277">
        <v>0</v>
      </c>
      <c r="S277" s="14">
        <v>2.99</v>
      </c>
      <c r="T277" s="10">
        <f t="shared" si="45"/>
        <v>33.097951999999999</v>
      </c>
      <c r="U277" s="10">
        <f t="shared" si="46"/>
        <v>42.137111359999999</v>
      </c>
      <c r="V277" s="10">
        <f t="shared" si="47"/>
        <v>42.684939200000002</v>
      </c>
      <c r="W277" s="10">
        <f t="shared" si="48"/>
        <v>55.011065600000002</v>
      </c>
      <c r="X277" s="10">
        <f t="shared" si="49"/>
        <v>60.489344000000003</v>
      </c>
      <c r="Y277" s="10">
        <f t="shared" si="50"/>
        <v>87.880735999999999</v>
      </c>
      <c r="Z277" s="10">
        <f t="shared" si="51"/>
        <v>31.1605056</v>
      </c>
      <c r="AA277" s="10">
        <f t="shared" si="52"/>
        <v>40.063507200000004</v>
      </c>
      <c r="AB277" s="10">
        <f t="shared" si="53"/>
        <v>44.515008000000002</v>
      </c>
      <c r="AC277" s="10">
        <f t="shared" si="54"/>
        <v>66.772511999999992</v>
      </c>
    </row>
    <row r="278" spans="1:29" x14ac:dyDescent="0.25">
      <c r="A278">
        <v>410116</v>
      </c>
      <c r="B278" t="s">
        <v>46</v>
      </c>
      <c r="C278" s="10">
        <v>17.64</v>
      </c>
      <c r="D278" s="10">
        <v>16.62</v>
      </c>
      <c r="E278" s="10">
        <v>0</v>
      </c>
      <c r="F278">
        <v>94</v>
      </c>
      <c r="G278" t="s">
        <v>19</v>
      </c>
      <c r="H278" s="11">
        <v>45989</v>
      </c>
      <c r="I278" t="s">
        <v>13</v>
      </c>
      <c r="J278" s="12">
        <v>6.75</v>
      </c>
      <c r="K278" s="3">
        <v>223.43</v>
      </c>
      <c r="L278" s="3">
        <f t="shared" si="44"/>
        <v>33.10074074074074</v>
      </c>
      <c r="M278" s="13"/>
      <c r="N278">
        <f>_xlfn.XLOOKUP(G278,'Tarievensheet per persoon'!AE:AE,'Tarievensheet per persoon'!AF:AF)</f>
        <v>1.7068000000000001</v>
      </c>
      <c r="O278">
        <f>_xlfn.XLOOKUP(G278,AE:AE,'Tarievensheet per persoon'!AG:AG)</f>
        <v>1.5528</v>
      </c>
      <c r="P278">
        <f>_xlfn.XLOOKUP(G278,AE:AE,'Tarievensheet per persoon'!AH:AH)</f>
        <v>1.3391999999999999</v>
      </c>
      <c r="Q278">
        <f>_xlfn.XLOOKUP(G278,AE:AE,'Tarievensheet per persoon'!AI:AI)</f>
        <v>1.3391999999999999</v>
      </c>
      <c r="R278">
        <v>0</v>
      </c>
      <c r="S278" s="14">
        <v>2.99</v>
      </c>
      <c r="T278" s="10">
        <f t="shared" si="45"/>
        <v>33.097951999999999</v>
      </c>
      <c r="U278" s="10">
        <f t="shared" si="46"/>
        <v>42.137111359999999</v>
      </c>
      <c r="V278" s="10">
        <f t="shared" si="47"/>
        <v>42.684939200000002</v>
      </c>
      <c r="W278" s="10">
        <f t="shared" si="48"/>
        <v>55.011065600000002</v>
      </c>
      <c r="X278" s="10">
        <f t="shared" si="49"/>
        <v>60.489344000000003</v>
      </c>
      <c r="Y278" s="10">
        <f t="shared" si="50"/>
        <v>87.880735999999999</v>
      </c>
      <c r="Z278" s="10">
        <f t="shared" si="51"/>
        <v>31.1605056</v>
      </c>
      <c r="AA278" s="10">
        <f t="shared" si="52"/>
        <v>40.063507200000004</v>
      </c>
      <c r="AB278" s="10">
        <f t="shared" si="53"/>
        <v>44.515008000000002</v>
      </c>
      <c r="AC278" s="10">
        <f t="shared" si="54"/>
        <v>66.772511999999992</v>
      </c>
    </row>
    <row r="279" spans="1:29" x14ac:dyDescent="0.25">
      <c r="A279">
        <v>411494</v>
      </c>
      <c r="B279" t="s">
        <v>145</v>
      </c>
      <c r="C279" s="10">
        <v>16.09</v>
      </c>
      <c r="D279" s="10">
        <v>15.17</v>
      </c>
      <c r="E279" s="10">
        <v>0</v>
      </c>
      <c r="F279">
        <v>92</v>
      </c>
      <c r="G279" t="s">
        <v>19</v>
      </c>
      <c r="H279" s="11">
        <v>45985</v>
      </c>
      <c r="I279" t="s">
        <v>13</v>
      </c>
      <c r="J279" s="12">
        <v>8</v>
      </c>
      <c r="K279" s="3">
        <v>243.6</v>
      </c>
      <c r="L279" s="3">
        <f t="shared" si="44"/>
        <v>30.45</v>
      </c>
      <c r="M279" s="13"/>
      <c r="N279">
        <f>_xlfn.XLOOKUP(G279,'Tarievensheet per persoon'!AE:AE,'Tarievensheet per persoon'!AF:AF)</f>
        <v>1.7068000000000001</v>
      </c>
      <c r="O279">
        <f>_xlfn.XLOOKUP(G279,AE:AE,'Tarievensheet per persoon'!AG:AG)</f>
        <v>1.5528</v>
      </c>
      <c r="P279">
        <f>_xlfn.XLOOKUP(G279,AE:AE,'Tarievensheet per persoon'!AH:AH)</f>
        <v>1.3391999999999999</v>
      </c>
      <c r="Q279">
        <f>_xlfn.XLOOKUP(G279,AE:AE,'Tarievensheet per persoon'!AI:AI)</f>
        <v>1.3391999999999999</v>
      </c>
      <c r="R279">
        <v>0</v>
      </c>
      <c r="S279" s="14">
        <v>2.99</v>
      </c>
      <c r="T279" s="10">
        <f t="shared" si="45"/>
        <v>30.452412000000002</v>
      </c>
      <c r="U279" s="10">
        <f t="shared" si="46"/>
        <v>38.697314160000005</v>
      </c>
      <c r="V279" s="10">
        <f t="shared" si="47"/>
        <v>39.197005200000007</v>
      </c>
      <c r="W279" s="10">
        <f t="shared" si="48"/>
        <v>50.440053599999999</v>
      </c>
      <c r="X279" s="10">
        <f t="shared" si="49"/>
        <v>55.436964000000003</v>
      </c>
      <c r="Y279" s="10">
        <f t="shared" si="50"/>
        <v>80.421515999999997</v>
      </c>
      <c r="Z279" s="10">
        <f t="shared" si="51"/>
        <v>28.441929599999998</v>
      </c>
      <c r="AA279" s="10">
        <f t="shared" si="52"/>
        <v>36.568195199999998</v>
      </c>
      <c r="AB279" s="10">
        <f t="shared" si="53"/>
        <v>40.631327999999996</v>
      </c>
      <c r="AC279" s="10">
        <f t="shared" si="54"/>
        <v>60.946991999999995</v>
      </c>
    </row>
    <row r="280" spans="1:29" x14ac:dyDescent="0.25">
      <c r="A280">
        <v>411494</v>
      </c>
      <c r="B280" t="s">
        <v>145</v>
      </c>
      <c r="C280" s="10">
        <v>16.09</v>
      </c>
      <c r="D280" s="10">
        <v>15.17</v>
      </c>
      <c r="E280" s="10">
        <v>0</v>
      </c>
      <c r="F280">
        <v>92</v>
      </c>
      <c r="G280" t="s">
        <v>19</v>
      </c>
      <c r="H280" s="11">
        <v>45986</v>
      </c>
      <c r="I280" t="s">
        <v>13</v>
      </c>
      <c r="J280" s="12">
        <v>8</v>
      </c>
      <c r="K280" s="3">
        <v>243.6</v>
      </c>
      <c r="L280" s="3">
        <f t="shared" si="44"/>
        <v>30.45</v>
      </c>
      <c r="M280" s="13"/>
      <c r="N280">
        <f>_xlfn.XLOOKUP(G280,'Tarievensheet per persoon'!AE:AE,'Tarievensheet per persoon'!AF:AF)</f>
        <v>1.7068000000000001</v>
      </c>
      <c r="O280">
        <f>_xlfn.XLOOKUP(G280,AE:AE,'Tarievensheet per persoon'!AG:AG)</f>
        <v>1.5528</v>
      </c>
      <c r="P280">
        <f>_xlfn.XLOOKUP(G280,AE:AE,'Tarievensheet per persoon'!AH:AH)</f>
        <v>1.3391999999999999</v>
      </c>
      <c r="Q280">
        <f>_xlfn.XLOOKUP(G280,AE:AE,'Tarievensheet per persoon'!AI:AI)</f>
        <v>1.3391999999999999</v>
      </c>
      <c r="R280">
        <v>0</v>
      </c>
      <c r="S280" s="14">
        <v>2.99</v>
      </c>
      <c r="T280" s="10">
        <f t="shared" si="45"/>
        <v>30.452412000000002</v>
      </c>
      <c r="U280" s="10">
        <f t="shared" si="46"/>
        <v>38.697314160000005</v>
      </c>
      <c r="V280" s="10">
        <f t="shared" si="47"/>
        <v>39.197005200000007</v>
      </c>
      <c r="W280" s="10">
        <f t="shared" si="48"/>
        <v>50.440053599999999</v>
      </c>
      <c r="X280" s="10">
        <f t="shared" si="49"/>
        <v>55.436964000000003</v>
      </c>
      <c r="Y280" s="10">
        <f t="shared" si="50"/>
        <v>80.421515999999997</v>
      </c>
      <c r="Z280" s="10">
        <f t="shared" si="51"/>
        <v>28.441929599999998</v>
      </c>
      <c r="AA280" s="10">
        <f t="shared" si="52"/>
        <v>36.568195199999998</v>
      </c>
      <c r="AB280" s="10">
        <f t="shared" si="53"/>
        <v>40.631327999999996</v>
      </c>
      <c r="AC280" s="10">
        <f t="shared" si="54"/>
        <v>60.946991999999995</v>
      </c>
    </row>
    <row r="281" spans="1:29" x14ac:dyDescent="0.25">
      <c r="A281">
        <v>411494</v>
      </c>
      <c r="B281" t="s">
        <v>145</v>
      </c>
      <c r="C281" s="10">
        <v>16.09</v>
      </c>
      <c r="D281" s="10">
        <v>15.17</v>
      </c>
      <c r="E281" s="10">
        <v>0</v>
      </c>
      <c r="F281">
        <v>92</v>
      </c>
      <c r="G281" t="s">
        <v>19</v>
      </c>
      <c r="H281" s="11">
        <v>45987</v>
      </c>
      <c r="I281" t="s">
        <v>13</v>
      </c>
      <c r="J281" s="12">
        <v>8</v>
      </c>
      <c r="K281" s="3">
        <v>243.6</v>
      </c>
      <c r="L281" s="3">
        <f t="shared" si="44"/>
        <v>30.45</v>
      </c>
      <c r="M281" s="13"/>
      <c r="N281">
        <f>_xlfn.XLOOKUP(G281,'Tarievensheet per persoon'!AE:AE,'Tarievensheet per persoon'!AF:AF)</f>
        <v>1.7068000000000001</v>
      </c>
      <c r="O281">
        <f>_xlfn.XLOOKUP(G281,AE:AE,'Tarievensheet per persoon'!AG:AG)</f>
        <v>1.5528</v>
      </c>
      <c r="P281">
        <f>_xlfn.XLOOKUP(G281,AE:AE,'Tarievensheet per persoon'!AH:AH)</f>
        <v>1.3391999999999999</v>
      </c>
      <c r="Q281">
        <f>_xlfn.XLOOKUP(G281,AE:AE,'Tarievensheet per persoon'!AI:AI)</f>
        <v>1.3391999999999999</v>
      </c>
      <c r="R281">
        <v>0</v>
      </c>
      <c r="S281" s="14">
        <v>2.99</v>
      </c>
      <c r="T281" s="10">
        <f t="shared" si="45"/>
        <v>30.452412000000002</v>
      </c>
      <c r="U281" s="10">
        <f t="shared" si="46"/>
        <v>38.697314160000005</v>
      </c>
      <c r="V281" s="10">
        <f t="shared" si="47"/>
        <v>39.197005200000007</v>
      </c>
      <c r="W281" s="10">
        <f t="shared" si="48"/>
        <v>50.440053599999999</v>
      </c>
      <c r="X281" s="10">
        <f t="shared" si="49"/>
        <v>55.436964000000003</v>
      </c>
      <c r="Y281" s="10">
        <f t="shared" si="50"/>
        <v>80.421515999999997</v>
      </c>
      <c r="Z281" s="10">
        <f t="shared" si="51"/>
        <v>28.441929599999998</v>
      </c>
      <c r="AA281" s="10">
        <f t="shared" si="52"/>
        <v>36.568195199999998</v>
      </c>
      <c r="AB281" s="10">
        <f t="shared" si="53"/>
        <v>40.631327999999996</v>
      </c>
      <c r="AC281" s="10">
        <f t="shared" si="54"/>
        <v>60.946991999999995</v>
      </c>
    </row>
    <row r="282" spans="1:29" x14ac:dyDescent="0.25">
      <c r="A282">
        <v>411494</v>
      </c>
      <c r="B282" t="s">
        <v>145</v>
      </c>
      <c r="C282" s="10">
        <v>16.09</v>
      </c>
      <c r="D282" s="10">
        <v>15.17</v>
      </c>
      <c r="E282" s="10">
        <v>0</v>
      </c>
      <c r="F282">
        <v>92</v>
      </c>
      <c r="G282" t="s">
        <v>19</v>
      </c>
      <c r="H282" s="11">
        <v>45988</v>
      </c>
      <c r="I282" t="s">
        <v>13</v>
      </c>
      <c r="J282" s="12">
        <v>8</v>
      </c>
      <c r="K282" s="3">
        <v>243.6</v>
      </c>
      <c r="L282" s="3">
        <f t="shared" si="44"/>
        <v>30.45</v>
      </c>
      <c r="M282" s="13"/>
      <c r="N282">
        <f>_xlfn.XLOOKUP(G282,'Tarievensheet per persoon'!AE:AE,'Tarievensheet per persoon'!AF:AF)</f>
        <v>1.7068000000000001</v>
      </c>
      <c r="O282">
        <f>_xlfn.XLOOKUP(G282,AE:AE,'Tarievensheet per persoon'!AG:AG)</f>
        <v>1.5528</v>
      </c>
      <c r="P282">
        <f>_xlfn.XLOOKUP(G282,AE:AE,'Tarievensheet per persoon'!AH:AH)</f>
        <v>1.3391999999999999</v>
      </c>
      <c r="Q282">
        <f>_xlfn.XLOOKUP(G282,AE:AE,'Tarievensheet per persoon'!AI:AI)</f>
        <v>1.3391999999999999</v>
      </c>
      <c r="R282">
        <v>0</v>
      </c>
      <c r="S282" s="14">
        <v>2.99</v>
      </c>
      <c r="T282" s="10">
        <f t="shared" si="45"/>
        <v>30.452412000000002</v>
      </c>
      <c r="U282" s="10">
        <f t="shared" si="46"/>
        <v>38.697314160000005</v>
      </c>
      <c r="V282" s="10">
        <f t="shared" si="47"/>
        <v>39.197005200000007</v>
      </c>
      <c r="W282" s="10">
        <f t="shared" si="48"/>
        <v>50.440053599999999</v>
      </c>
      <c r="X282" s="10">
        <f t="shared" si="49"/>
        <v>55.436964000000003</v>
      </c>
      <c r="Y282" s="10">
        <f t="shared" si="50"/>
        <v>80.421515999999997</v>
      </c>
      <c r="Z282" s="10">
        <f t="shared" si="51"/>
        <v>28.441929599999998</v>
      </c>
      <c r="AA282" s="10">
        <f t="shared" si="52"/>
        <v>36.568195199999998</v>
      </c>
      <c r="AB282" s="10">
        <f t="shared" si="53"/>
        <v>40.631327999999996</v>
      </c>
      <c r="AC282" s="10">
        <f t="shared" si="54"/>
        <v>60.946991999999995</v>
      </c>
    </row>
    <row r="283" spans="1:29" x14ac:dyDescent="0.25">
      <c r="A283">
        <v>411494</v>
      </c>
      <c r="B283" t="s">
        <v>145</v>
      </c>
      <c r="C283" s="10">
        <v>16.09</v>
      </c>
      <c r="D283" s="10">
        <v>15.17</v>
      </c>
      <c r="E283" s="10">
        <v>0</v>
      </c>
      <c r="F283">
        <v>92</v>
      </c>
      <c r="G283" t="s">
        <v>19</v>
      </c>
      <c r="H283" s="11">
        <v>45989</v>
      </c>
      <c r="I283" t="s">
        <v>13</v>
      </c>
      <c r="J283" s="12">
        <v>7.5</v>
      </c>
      <c r="K283" s="3">
        <v>228.38</v>
      </c>
      <c r="L283" s="3">
        <f t="shared" si="44"/>
        <v>30.450666666666667</v>
      </c>
      <c r="M283" s="13"/>
      <c r="N283">
        <f>_xlfn.XLOOKUP(G283,'Tarievensheet per persoon'!AE:AE,'Tarievensheet per persoon'!AF:AF)</f>
        <v>1.7068000000000001</v>
      </c>
      <c r="O283">
        <f>_xlfn.XLOOKUP(G283,AE:AE,'Tarievensheet per persoon'!AG:AG)</f>
        <v>1.5528</v>
      </c>
      <c r="P283">
        <f>_xlfn.XLOOKUP(G283,AE:AE,'Tarievensheet per persoon'!AH:AH)</f>
        <v>1.3391999999999999</v>
      </c>
      <c r="Q283">
        <f>_xlfn.XLOOKUP(G283,AE:AE,'Tarievensheet per persoon'!AI:AI)</f>
        <v>1.3391999999999999</v>
      </c>
      <c r="R283">
        <v>0</v>
      </c>
      <c r="S283" s="14">
        <v>2.99</v>
      </c>
      <c r="T283" s="10">
        <f t="shared" si="45"/>
        <v>30.452412000000002</v>
      </c>
      <c r="U283" s="10">
        <f t="shared" si="46"/>
        <v>38.697314160000005</v>
      </c>
      <c r="V283" s="10">
        <f t="shared" si="47"/>
        <v>39.197005200000007</v>
      </c>
      <c r="W283" s="10">
        <f t="shared" si="48"/>
        <v>50.440053599999999</v>
      </c>
      <c r="X283" s="10">
        <f t="shared" si="49"/>
        <v>55.436964000000003</v>
      </c>
      <c r="Y283" s="10">
        <f t="shared" si="50"/>
        <v>80.421515999999997</v>
      </c>
      <c r="Z283" s="10">
        <f t="shared" si="51"/>
        <v>28.441929599999998</v>
      </c>
      <c r="AA283" s="10">
        <f t="shared" si="52"/>
        <v>36.568195199999998</v>
      </c>
      <c r="AB283" s="10">
        <f t="shared" si="53"/>
        <v>40.631327999999996</v>
      </c>
      <c r="AC283" s="10">
        <f t="shared" si="54"/>
        <v>60.946991999999995</v>
      </c>
    </row>
    <row r="284" spans="1:29" x14ac:dyDescent="0.25">
      <c r="A284">
        <v>411771</v>
      </c>
      <c r="B284" t="s">
        <v>146</v>
      </c>
      <c r="C284" s="10">
        <v>17.38</v>
      </c>
      <c r="D284" s="10">
        <v>16.38</v>
      </c>
      <c r="E284" s="10">
        <v>0</v>
      </c>
      <c r="F284">
        <v>88</v>
      </c>
      <c r="G284" t="s">
        <v>19</v>
      </c>
      <c r="H284" s="11">
        <v>45985</v>
      </c>
      <c r="I284" t="s">
        <v>13</v>
      </c>
      <c r="J284" s="12">
        <v>7.75</v>
      </c>
      <c r="K284" s="3">
        <v>253.04</v>
      </c>
      <c r="L284" s="3">
        <f t="shared" si="44"/>
        <v>32.65032258064516</v>
      </c>
      <c r="M284" s="13"/>
      <c r="N284">
        <f>_xlfn.XLOOKUP(G284,'Tarievensheet per persoon'!AE:AE,'Tarievensheet per persoon'!AF:AF)</f>
        <v>1.7068000000000001</v>
      </c>
      <c r="O284">
        <f>_xlfn.XLOOKUP(G284,AE:AE,'Tarievensheet per persoon'!AG:AG)</f>
        <v>1.5528</v>
      </c>
      <c r="P284">
        <f>_xlfn.XLOOKUP(G284,AE:AE,'Tarievensheet per persoon'!AH:AH)</f>
        <v>1.3391999999999999</v>
      </c>
      <c r="Q284">
        <f>_xlfn.XLOOKUP(G284,AE:AE,'Tarievensheet per persoon'!AI:AI)</f>
        <v>1.3391999999999999</v>
      </c>
      <c r="R284">
        <v>0</v>
      </c>
      <c r="S284" s="14">
        <v>2.99</v>
      </c>
      <c r="T284" s="10">
        <f t="shared" si="45"/>
        <v>32.654184000000001</v>
      </c>
      <c r="U284" s="10">
        <f t="shared" si="46"/>
        <v>41.560113120000004</v>
      </c>
      <c r="V284" s="10">
        <f t="shared" si="47"/>
        <v>42.099866400000003</v>
      </c>
      <c r="W284" s="10">
        <f t="shared" si="48"/>
        <v>54.244315200000003</v>
      </c>
      <c r="X284" s="10">
        <f t="shared" si="49"/>
        <v>59.641847999999996</v>
      </c>
      <c r="Y284" s="10">
        <f t="shared" si="50"/>
        <v>86.629512000000005</v>
      </c>
      <c r="Z284" s="10">
        <f t="shared" si="51"/>
        <v>30.710534399999997</v>
      </c>
      <c r="AA284" s="10">
        <f t="shared" si="52"/>
        <v>39.484972799999994</v>
      </c>
      <c r="AB284" s="10">
        <f t="shared" si="53"/>
        <v>43.872191999999998</v>
      </c>
      <c r="AC284" s="10">
        <f t="shared" si="54"/>
        <v>65.808288000000005</v>
      </c>
    </row>
    <row r="285" spans="1:29" x14ac:dyDescent="0.25">
      <c r="A285">
        <v>411771</v>
      </c>
      <c r="B285" t="s">
        <v>146</v>
      </c>
      <c r="C285" s="10">
        <v>17.38</v>
      </c>
      <c r="D285" s="10">
        <v>16.38</v>
      </c>
      <c r="E285" s="10">
        <v>0</v>
      </c>
      <c r="F285">
        <v>88</v>
      </c>
      <c r="G285" t="s">
        <v>19</v>
      </c>
      <c r="H285" s="11">
        <v>45986</v>
      </c>
      <c r="I285" t="s">
        <v>13</v>
      </c>
      <c r="J285" s="12">
        <v>7.75</v>
      </c>
      <c r="K285" s="3">
        <v>253.04</v>
      </c>
      <c r="L285" s="3">
        <f t="shared" si="44"/>
        <v>32.65032258064516</v>
      </c>
      <c r="M285" s="13"/>
      <c r="N285">
        <f>_xlfn.XLOOKUP(G285,'Tarievensheet per persoon'!AE:AE,'Tarievensheet per persoon'!AF:AF)</f>
        <v>1.7068000000000001</v>
      </c>
      <c r="O285">
        <f>_xlfn.XLOOKUP(G285,AE:AE,'Tarievensheet per persoon'!AG:AG)</f>
        <v>1.5528</v>
      </c>
      <c r="P285">
        <f>_xlfn.XLOOKUP(G285,AE:AE,'Tarievensheet per persoon'!AH:AH)</f>
        <v>1.3391999999999999</v>
      </c>
      <c r="Q285">
        <f>_xlfn.XLOOKUP(G285,AE:AE,'Tarievensheet per persoon'!AI:AI)</f>
        <v>1.3391999999999999</v>
      </c>
      <c r="R285">
        <v>0</v>
      </c>
      <c r="S285" s="14">
        <v>2.99</v>
      </c>
      <c r="T285" s="10">
        <f t="shared" si="45"/>
        <v>32.654184000000001</v>
      </c>
      <c r="U285" s="10">
        <f t="shared" si="46"/>
        <v>41.560113120000004</v>
      </c>
      <c r="V285" s="10">
        <f t="shared" si="47"/>
        <v>42.099866400000003</v>
      </c>
      <c r="W285" s="10">
        <f t="shared" si="48"/>
        <v>54.244315200000003</v>
      </c>
      <c r="X285" s="10">
        <f t="shared" si="49"/>
        <v>59.641847999999996</v>
      </c>
      <c r="Y285" s="10">
        <f t="shared" si="50"/>
        <v>86.629512000000005</v>
      </c>
      <c r="Z285" s="10">
        <f t="shared" si="51"/>
        <v>30.710534399999997</v>
      </c>
      <c r="AA285" s="10">
        <f t="shared" si="52"/>
        <v>39.484972799999994</v>
      </c>
      <c r="AB285" s="10">
        <f t="shared" si="53"/>
        <v>43.872191999999998</v>
      </c>
      <c r="AC285" s="10">
        <f t="shared" si="54"/>
        <v>65.808288000000005</v>
      </c>
    </row>
    <row r="286" spans="1:29" x14ac:dyDescent="0.25">
      <c r="A286">
        <v>411771</v>
      </c>
      <c r="B286" t="s">
        <v>146</v>
      </c>
      <c r="C286" s="10">
        <v>17.38</v>
      </c>
      <c r="D286" s="10">
        <v>16.38</v>
      </c>
      <c r="E286" s="10">
        <v>0</v>
      </c>
      <c r="F286">
        <v>88</v>
      </c>
      <c r="G286" t="s">
        <v>19</v>
      </c>
      <c r="H286" s="11">
        <v>45987</v>
      </c>
      <c r="I286" t="s">
        <v>13</v>
      </c>
      <c r="J286" s="12">
        <v>7.75</v>
      </c>
      <c r="K286" s="3">
        <v>253.04</v>
      </c>
      <c r="L286" s="3">
        <f t="shared" si="44"/>
        <v>32.65032258064516</v>
      </c>
      <c r="M286" s="13"/>
      <c r="N286">
        <f>_xlfn.XLOOKUP(G286,'Tarievensheet per persoon'!AE:AE,'Tarievensheet per persoon'!AF:AF)</f>
        <v>1.7068000000000001</v>
      </c>
      <c r="O286">
        <f>_xlfn.XLOOKUP(G286,AE:AE,'Tarievensheet per persoon'!AG:AG)</f>
        <v>1.5528</v>
      </c>
      <c r="P286">
        <f>_xlfn.XLOOKUP(G286,AE:AE,'Tarievensheet per persoon'!AH:AH)</f>
        <v>1.3391999999999999</v>
      </c>
      <c r="Q286">
        <f>_xlfn.XLOOKUP(G286,AE:AE,'Tarievensheet per persoon'!AI:AI)</f>
        <v>1.3391999999999999</v>
      </c>
      <c r="R286">
        <v>0</v>
      </c>
      <c r="S286" s="14">
        <v>2.99</v>
      </c>
      <c r="T286" s="10">
        <f t="shared" si="45"/>
        <v>32.654184000000001</v>
      </c>
      <c r="U286" s="10">
        <f t="shared" si="46"/>
        <v>41.560113120000004</v>
      </c>
      <c r="V286" s="10">
        <f t="shared" si="47"/>
        <v>42.099866400000003</v>
      </c>
      <c r="W286" s="10">
        <f t="shared" si="48"/>
        <v>54.244315200000003</v>
      </c>
      <c r="X286" s="10">
        <f t="shared" si="49"/>
        <v>59.641847999999996</v>
      </c>
      <c r="Y286" s="10">
        <f t="shared" si="50"/>
        <v>86.629512000000005</v>
      </c>
      <c r="Z286" s="10">
        <f t="shared" si="51"/>
        <v>30.710534399999997</v>
      </c>
      <c r="AA286" s="10">
        <f t="shared" si="52"/>
        <v>39.484972799999994</v>
      </c>
      <c r="AB286" s="10">
        <f t="shared" si="53"/>
        <v>43.872191999999998</v>
      </c>
      <c r="AC286" s="10">
        <f t="shared" si="54"/>
        <v>65.808288000000005</v>
      </c>
    </row>
    <row r="287" spans="1:29" x14ac:dyDescent="0.25">
      <c r="A287">
        <v>411771</v>
      </c>
      <c r="B287" t="s">
        <v>146</v>
      </c>
      <c r="C287" s="10">
        <v>17.38</v>
      </c>
      <c r="D287" s="10">
        <v>16.38</v>
      </c>
      <c r="E287" s="10">
        <v>0</v>
      </c>
      <c r="F287">
        <v>88</v>
      </c>
      <c r="G287" t="s">
        <v>19</v>
      </c>
      <c r="H287" s="11">
        <v>45988</v>
      </c>
      <c r="I287" t="s">
        <v>13</v>
      </c>
      <c r="J287" s="12">
        <v>7.75</v>
      </c>
      <c r="K287" s="3">
        <v>253.04</v>
      </c>
      <c r="L287" s="3">
        <f t="shared" si="44"/>
        <v>32.65032258064516</v>
      </c>
      <c r="M287" s="13"/>
      <c r="N287">
        <f>_xlfn.XLOOKUP(G287,'Tarievensheet per persoon'!AE:AE,'Tarievensheet per persoon'!AF:AF)</f>
        <v>1.7068000000000001</v>
      </c>
      <c r="O287">
        <f>_xlfn.XLOOKUP(G287,AE:AE,'Tarievensheet per persoon'!AG:AG)</f>
        <v>1.5528</v>
      </c>
      <c r="P287">
        <f>_xlfn.XLOOKUP(G287,AE:AE,'Tarievensheet per persoon'!AH:AH)</f>
        <v>1.3391999999999999</v>
      </c>
      <c r="Q287">
        <f>_xlfn.XLOOKUP(G287,AE:AE,'Tarievensheet per persoon'!AI:AI)</f>
        <v>1.3391999999999999</v>
      </c>
      <c r="R287">
        <v>0</v>
      </c>
      <c r="S287" s="14">
        <v>2.99</v>
      </c>
      <c r="T287" s="10">
        <f t="shared" si="45"/>
        <v>32.654184000000001</v>
      </c>
      <c r="U287" s="10">
        <f t="shared" si="46"/>
        <v>41.560113120000004</v>
      </c>
      <c r="V287" s="10">
        <f t="shared" si="47"/>
        <v>42.099866400000003</v>
      </c>
      <c r="W287" s="10">
        <f t="shared" si="48"/>
        <v>54.244315200000003</v>
      </c>
      <c r="X287" s="10">
        <f t="shared" si="49"/>
        <v>59.641847999999996</v>
      </c>
      <c r="Y287" s="10">
        <f t="shared" si="50"/>
        <v>86.629512000000005</v>
      </c>
      <c r="Z287" s="10">
        <f t="shared" si="51"/>
        <v>30.710534399999997</v>
      </c>
      <c r="AA287" s="10">
        <f t="shared" si="52"/>
        <v>39.484972799999994</v>
      </c>
      <c r="AB287" s="10">
        <f t="shared" si="53"/>
        <v>43.872191999999998</v>
      </c>
      <c r="AC287" s="10">
        <f t="shared" si="54"/>
        <v>65.808288000000005</v>
      </c>
    </row>
    <row r="288" spans="1:29" x14ac:dyDescent="0.25">
      <c r="A288">
        <v>411771</v>
      </c>
      <c r="B288" t="s">
        <v>146</v>
      </c>
      <c r="C288" s="10">
        <v>17.38</v>
      </c>
      <c r="D288" s="10">
        <v>16.38</v>
      </c>
      <c r="E288" s="10">
        <v>0</v>
      </c>
      <c r="F288">
        <v>88</v>
      </c>
      <c r="G288" t="s">
        <v>19</v>
      </c>
      <c r="H288" s="11">
        <v>45989</v>
      </c>
      <c r="I288" t="s">
        <v>13</v>
      </c>
      <c r="J288" s="12">
        <v>7.5</v>
      </c>
      <c r="K288" s="3">
        <v>244.88</v>
      </c>
      <c r="L288" s="3">
        <f t="shared" si="44"/>
        <v>32.650666666666666</v>
      </c>
      <c r="M288" s="13"/>
      <c r="N288">
        <f>_xlfn.XLOOKUP(G288,'Tarievensheet per persoon'!AE:AE,'Tarievensheet per persoon'!AF:AF)</f>
        <v>1.7068000000000001</v>
      </c>
      <c r="O288">
        <f>_xlfn.XLOOKUP(G288,AE:AE,'Tarievensheet per persoon'!AG:AG)</f>
        <v>1.5528</v>
      </c>
      <c r="P288">
        <f>_xlfn.XLOOKUP(G288,AE:AE,'Tarievensheet per persoon'!AH:AH)</f>
        <v>1.3391999999999999</v>
      </c>
      <c r="Q288">
        <f>_xlfn.XLOOKUP(G288,AE:AE,'Tarievensheet per persoon'!AI:AI)</f>
        <v>1.3391999999999999</v>
      </c>
      <c r="R288">
        <v>0</v>
      </c>
      <c r="S288" s="14">
        <v>2.99</v>
      </c>
      <c r="T288" s="10">
        <f t="shared" si="45"/>
        <v>32.654184000000001</v>
      </c>
      <c r="U288" s="10">
        <f t="shared" si="46"/>
        <v>41.560113120000004</v>
      </c>
      <c r="V288" s="10">
        <f t="shared" si="47"/>
        <v>42.099866400000003</v>
      </c>
      <c r="W288" s="10">
        <f t="shared" si="48"/>
        <v>54.244315200000003</v>
      </c>
      <c r="X288" s="10">
        <f t="shared" si="49"/>
        <v>59.641847999999996</v>
      </c>
      <c r="Y288" s="10">
        <f t="shared" si="50"/>
        <v>86.629512000000005</v>
      </c>
      <c r="Z288" s="10">
        <f t="shared" si="51"/>
        <v>30.710534399999997</v>
      </c>
      <c r="AA288" s="10">
        <f t="shared" si="52"/>
        <v>39.484972799999994</v>
      </c>
      <c r="AB288" s="10">
        <f t="shared" si="53"/>
        <v>43.872191999999998</v>
      </c>
      <c r="AC288" s="10">
        <f t="shared" si="54"/>
        <v>65.808288000000005</v>
      </c>
    </row>
    <row r="289" spans="1:29" x14ac:dyDescent="0.25">
      <c r="A289">
        <v>411940</v>
      </c>
      <c r="B289" t="s">
        <v>47</v>
      </c>
      <c r="C289" s="10">
        <v>16.77</v>
      </c>
      <c r="D289" s="10">
        <v>15.8</v>
      </c>
      <c r="E289" s="10">
        <v>0</v>
      </c>
      <c r="F289">
        <v>78</v>
      </c>
      <c r="G289" t="s">
        <v>19</v>
      </c>
      <c r="H289" s="11">
        <v>45985</v>
      </c>
      <c r="I289" t="s">
        <v>13</v>
      </c>
      <c r="J289" s="12">
        <v>8</v>
      </c>
      <c r="K289" s="3">
        <v>252.88</v>
      </c>
      <c r="L289" s="3">
        <f t="shared" si="44"/>
        <v>31.61</v>
      </c>
      <c r="M289" s="13"/>
      <c r="N289">
        <f>_xlfn.XLOOKUP(G289,'Tarievensheet per persoon'!AE:AE,'Tarievensheet per persoon'!AF:AF)</f>
        <v>1.7068000000000001</v>
      </c>
      <c r="O289">
        <f>_xlfn.XLOOKUP(G289,AE:AE,'Tarievensheet per persoon'!AG:AG)</f>
        <v>1.5528</v>
      </c>
      <c r="P289">
        <f>_xlfn.XLOOKUP(G289,AE:AE,'Tarievensheet per persoon'!AH:AH)</f>
        <v>1.3391999999999999</v>
      </c>
      <c r="Q289">
        <f>_xlfn.XLOOKUP(G289,AE:AE,'Tarievensheet per persoon'!AI:AI)</f>
        <v>1.3391999999999999</v>
      </c>
      <c r="R289">
        <v>0</v>
      </c>
      <c r="S289" s="14">
        <v>2.99</v>
      </c>
      <c r="T289" s="10">
        <f t="shared" si="45"/>
        <v>31.613036000000001</v>
      </c>
      <c r="U289" s="10">
        <f t="shared" si="46"/>
        <v>40.206386480000006</v>
      </c>
      <c r="V289" s="10">
        <f t="shared" si="47"/>
        <v>40.727195600000002</v>
      </c>
      <c r="W289" s="10">
        <f t="shared" si="48"/>
        <v>52.445400800000002</v>
      </c>
      <c r="X289" s="10">
        <f t="shared" si="49"/>
        <v>57.653492</v>
      </c>
      <c r="Y289" s="10">
        <f t="shared" si="50"/>
        <v>83.693948000000006</v>
      </c>
      <c r="Z289" s="10">
        <f t="shared" si="51"/>
        <v>29.623104000000001</v>
      </c>
      <c r="AA289" s="10">
        <f t="shared" si="52"/>
        <v>38.086848000000003</v>
      </c>
      <c r="AB289" s="10">
        <f t="shared" si="53"/>
        <v>42.318719999999999</v>
      </c>
      <c r="AC289" s="10">
        <f t="shared" si="54"/>
        <v>63.478080000000006</v>
      </c>
    </row>
    <row r="290" spans="1:29" x14ac:dyDescent="0.25">
      <c r="A290">
        <v>411940</v>
      </c>
      <c r="B290" t="s">
        <v>47</v>
      </c>
      <c r="C290" s="10">
        <v>16.77</v>
      </c>
      <c r="D290" s="10">
        <v>15.8</v>
      </c>
      <c r="E290" s="10">
        <v>0</v>
      </c>
      <c r="F290">
        <v>78</v>
      </c>
      <c r="G290" t="s">
        <v>19</v>
      </c>
      <c r="H290" s="11">
        <v>45986</v>
      </c>
      <c r="I290" t="s">
        <v>13</v>
      </c>
      <c r="J290" s="12">
        <v>7.75</v>
      </c>
      <c r="K290" s="3">
        <v>244.98</v>
      </c>
      <c r="L290" s="3">
        <f t="shared" si="44"/>
        <v>31.61032258064516</v>
      </c>
      <c r="M290" s="13"/>
      <c r="N290">
        <f>_xlfn.XLOOKUP(G290,'Tarievensheet per persoon'!AE:AE,'Tarievensheet per persoon'!AF:AF)</f>
        <v>1.7068000000000001</v>
      </c>
      <c r="O290">
        <f>_xlfn.XLOOKUP(G290,AE:AE,'Tarievensheet per persoon'!AG:AG)</f>
        <v>1.5528</v>
      </c>
      <c r="P290">
        <f>_xlfn.XLOOKUP(G290,AE:AE,'Tarievensheet per persoon'!AH:AH)</f>
        <v>1.3391999999999999</v>
      </c>
      <c r="Q290">
        <f>_xlfn.XLOOKUP(G290,AE:AE,'Tarievensheet per persoon'!AI:AI)</f>
        <v>1.3391999999999999</v>
      </c>
      <c r="R290">
        <v>0</v>
      </c>
      <c r="S290" s="14">
        <v>2.99</v>
      </c>
      <c r="T290" s="10">
        <f t="shared" si="45"/>
        <v>31.613036000000001</v>
      </c>
      <c r="U290" s="10">
        <f t="shared" si="46"/>
        <v>40.206386480000006</v>
      </c>
      <c r="V290" s="10">
        <f t="shared" si="47"/>
        <v>40.727195600000002</v>
      </c>
      <c r="W290" s="10">
        <f t="shared" si="48"/>
        <v>52.445400800000002</v>
      </c>
      <c r="X290" s="10">
        <f t="shared" si="49"/>
        <v>57.653492</v>
      </c>
      <c r="Y290" s="10">
        <f t="shared" si="50"/>
        <v>83.693948000000006</v>
      </c>
      <c r="Z290" s="10">
        <f t="shared" si="51"/>
        <v>29.623104000000001</v>
      </c>
      <c r="AA290" s="10">
        <f t="shared" si="52"/>
        <v>38.086848000000003</v>
      </c>
      <c r="AB290" s="10">
        <f t="shared" si="53"/>
        <v>42.318719999999999</v>
      </c>
      <c r="AC290" s="10">
        <f t="shared" si="54"/>
        <v>63.478080000000006</v>
      </c>
    </row>
    <row r="291" spans="1:29" x14ac:dyDescent="0.25">
      <c r="A291">
        <v>411940</v>
      </c>
      <c r="B291" t="s">
        <v>47</v>
      </c>
      <c r="C291" s="10">
        <v>16.77</v>
      </c>
      <c r="D291" s="10">
        <v>15.8</v>
      </c>
      <c r="E291" s="10">
        <v>0</v>
      </c>
      <c r="F291">
        <v>78</v>
      </c>
      <c r="G291" t="s">
        <v>19</v>
      </c>
      <c r="H291" s="11">
        <v>45987</v>
      </c>
      <c r="I291" t="s">
        <v>13</v>
      </c>
      <c r="J291" s="12">
        <v>7.75</v>
      </c>
      <c r="K291" s="3">
        <v>244.98</v>
      </c>
      <c r="L291" s="3">
        <f t="shared" si="44"/>
        <v>31.61032258064516</v>
      </c>
      <c r="M291" s="13"/>
      <c r="N291">
        <f>_xlfn.XLOOKUP(G291,'Tarievensheet per persoon'!AE:AE,'Tarievensheet per persoon'!AF:AF)</f>
        <v>1.7068000000000001</v>
      </c>
      <c r="O291">
        <f>_xlfn.XLOOKUP(G291,AE:AE,'Tarievensheet per persoon'!AG:AG)</f>
        <v>1.5528</v>
      </c>
      <c r="P291">
        <f>_xlfn.XLOOKUP(G291,AE:AE,'Tarievensheet per persoon'!AH:AH)</f>
        <v>1.3391999999999999</v>
      </c>
      <c r="Q291">
        <f>_xlfn.XLOOKUP(G291,AE:AE,'Tarievensheet per persoon'!AI:AI)</f>
        <v>1.3391999999999999</v>
      </c>
      <c r="R291">
        <v>0</v>
      </c>
      <c r="S291" s="14">
        <v>2.99</v>
      </c>
      <c r="T291" s="10">
        <f t="shared" si="45"/>
        <v>31.613036000000001</v>
      </c>
      <c r="U291" s="10">
        <f t="shared" si="46"/>
        <v>40.206386480000006</v>
      </c>
      <c r="V291" s="10">
        <f t="shared" si="47"/>
        <v>40.727195600000002</v>
      </c>
      <c r="W291" s="10">
        <f t="shared" si="48"/>
        <v>52.445400800000002</v>
      </c>
      <c r="X291" s="10">
        <f t="shared" si="49"/>
        <v>57.653492</v>
      </c>
      <c r="Y291" s="10">
        <f t="shared" si="50"/>
        <v>83.693948000000006</v>
      </c>
      <c r="Z291" s="10">
        <f t="shared" si="51"/>
        <v>29.623104000000001</v>
      </c>
      <c r="AA291" s="10">
        <f t="shared" si="52"/>
        <v>38.086848000000003</v>
      </c>
      <c r="AB291" s="10">
        <f t="shared" si="53"/>
        <v>42.318719999999999</v>
      </c>
      <c r="AC291" s="10">
        <f t="shared" si="54"/>
        <v>63.478080000000006</v>
      </c>
    </row>
    <row r="292" spans="1:29" x14ac:dyDescent="0.25">
      <c r="A292">
        <v>411940</v>
      </c>
      <c r="B292" t="s">
        <v>47</v>
      </c>
      <c r="C292" s="10">
        <v>16.77</v>
      </c>
      <c r="D292" s="10">
        <v>15.8</v>
      </c>
      <c r="E292" s="10">
        <v>0</v>
      </c>
      <c r="F292">
        <v>78</v>
      </c>
      <c r="G292" t="s">
        <v>19</v>
      </c>
      <c r="H292" s="11">
        <v>45988</v>
      </c>
      <c r="I292" t="s">
        <v>13</v>
      </c>
      <c r="J292" s="12">
        <v>7.75</v>
      </c>
      <c r="K292" s="3">
        <v>244.98</v>
      </c>
      <c r="L292" s="3">
        <f t="shared" si="44"/>
        <v>31.61032258064516</v>
      </c>
      <c r="M292" s="13"/>
      <c r="N292">
        <f>_xlfn.XLOOKUP(G292,'Tarievensheet per persoon'!AE:AE,'Tarievensheet per persoon'!AF:AF)</f>
        <v>1.7068000000000001</v>
      </c>
      <c r="O292">
        <f>_xlfn.XLOOKUP(G292,AE:AE,'Tarievensheet per persoon'!AG:AG)</f>
        <v>1.5528</v>
      </c>
      <c r="P292">
        <f>_xlfn.XLOOKUP(G292,AE:AE,'Tarievensheet per persoon'!AH:AH)</f>
        <v>1.3391999999999999</v>
      </c>
      <c r="Q292">
        <f>_xlfn.XLOOKUP(G292,AE:AE,'Tarievensheet per persoon'!AI:AI)</f>
        <v>1.3391999999999999</v>
      </c>
      <c r="R292">
        <v>0</v>
      </c>
      <c r="S292" s="14">
        <v>2.99</v>
      </c>
      <c r="T292" s="10">
        <f t="shared" si="45"/>
        <v>31.613036000000001</v>
      </c>
      <c r="U292" s="10">
        <f t="shared" si="46"/>
        <v>40.206386480000006</v>
      </c>
      <c r="V292" s="10">
        <f t="shared" si="47"/>
        <v>40.727195600000002</v>
      </c>
      <c r="W292" s="10">
        <f t="shared" si="48"/>
        <v>52.445400800000002</v>
      </c>
      <c r="X292" s="10">
        <f t="shared" si="49"/>
        <v>57.653492</v>
      </c>
      <c r="Y292" s="10">
        <f t="shared" si="50"/>
        <v>83.693948000000006</v>
      </c>
      <c r="Z292" s="10">
        <f t="shared" si="51"/>
        <v>29.623104000000001</v>
      </c>
      <c r="AA292" s="10">
        <f t="shared" si="52"/>
        <v>38.086848000000003</v>
      </c>
      <c r="AB292" s="10">
        <f t="shared" si="53"/>
        <v>42.318719999999999</v>
      </c>
      <c r="AC292" s="10">
        <f t="shared" si="54"/>
        <v>63.478080000000006</v>
      </c>
    </row>
    <row r="293" spans="1:29" x14ac:dyDescent="0.25">
      <c r="A293">
        <v>411940</v>
      </c>
      <c r="B293" t="s">
        <v>47</v>
      </c>
      <c r="C293" s="10">
        <v>16.77</v>
      </c>
      <c r="D293" s="10">
        <v>15.8</v>
      </c>
      <c r="E293" s="10">
        <v>0</v>
      </c>
      <c r="F293">
        <v>78</v>
      </c>
      <c r="G293" t="s">
        <v>19</v>
      </c>
      <c r="H293" s="11">
        <v>45989</v>
      </c>
      <c r="I293" t="s">
        <v>13</v>
      </c>
      <c r="J293" s="12">
        <v>8</v>
      </c>
      <c r="K293" s="3">
        <v>252.88</v>
      </c>
      <c r="L293" s="3">
        <f t="shared" si="44"/>
        <v>31.61</v>
      </c>
      <c r="M293" s="13"/>
      <c r="N293">
        <f>_xlfn.XLOOKUP(G293,'Tarievensheet per persoon'!AE:AE,'Tarievensheet per persoon'!AF:AF)</f>
        <v>1.7068000000000001</v>
      </c>
      <c r="O293">
        <f>_xlfn.XLOOKUP(G293,AE:AE,'Tarievensheet per persoon'!AG:AG)</f>
        <v>1.5528</v>
      </c>
      <c r="P293">
        <f>_xlfn.XLOOKUP(G293,AE:AE,'Tarievensheet per persoon'!AH:AH)</f>
        <v>1.3391999999999999</v>
      </c>
      <c r="Q293">
        <f>_xlfn.XLOOKUP(G293,AE:AE,'Tarievensheet per persoon'!AI:AI)</f>
        <v>1.3391999999999999</v>
      </c>
      <c r="R293">
        <v>0</v>
      </c>
      <c r="S293" s="14">
        <v>2.99</v>
      </c>
      <c r="T293" s="10">
        <f t="shared" si="45"/>
        <v>31.613036000000001</v>
      </c>
      <c r="U293" s="10">
        <f t="shared" si="46"/>
        <v>40.206386480000006</v>
      </c>
      <c r="V293" s="10">
        <f t="shared" si="47"/>
        <v>40.727195600000002</v>
      </c>
      <c r="W293" s="10">
        <f t="shared" si="48"/>
        <v>52.445400800000002</v>
      </c>
      <c r="X293" s="10">
        <f t="shared" si="49"/>
        <v>57.653492</v>
      </c>
      <c r="Y293" s="10">
        <f t="shared" si="50"/>
        <v>83.693948000000006</v>
      </c>
      <c r="Z293" s="10">
        <f t="shared" si="51"/>
        <v>29.623104000000001</v>
      </c>
      <c r="AA293" s="10">
        <f t="shared" si="52"/>
        <v>38.086848000000003</v>
      </c>
      <c r="AB293" s="10">
        <f t="shared" si="53"/>
        <v>42.318719999999999</v>
      </c>
      <c r="AC293" s="10">
        <f t="shared" si="54"/>
        <v>63.478080000000006</v>
      </c>
    </row>
    <row r="294" spans="1:29" x14ac:dyDescent="0.25">
      <c r="A294">
        <v>413691</v>
      </c>
      <c r="B294" t="s">
        <v>48</v>
      </c>
      <c r="C294" s="10">
        <v>16.91</v>
      </c>
      <c r="D294" s="10">
        <v>15.94</v>
      </c>
      <c r="E294" s="10">
        <v>0</v>
      </c>
      <c r="F294">
        <v>38</v>
      </c>
      <c r="G294" t="s">
        <v>15</v>
      </c>
      <c r="H294" s="11">
        <v>45985</v>
      </c>
      <c r="I294" t="s">
        <v>13</v>
      </c>
      <c r="J294" s="12">
        <v>3.25</v>
      </c>
      <c r="K294" s="3">
        <v>103.29</v>
      </c>
      <c r="L294" s="3">
        <f t="shared" si="44"/>
        <v>31.781538461538464</v>
      </c>
      <c r="M294" s="13"/>
      <c r="N294">
        <f>_xlfn.XLOOKUP(G294,'Tarievensheet per persoon'!AE:AE,'Tarievensheet per persoon'!AF:AF)</f>
        <v>1.7024999999999999</v>
      </c>
      <c r="O294">
        <f>_xlfn.XLOOKUP(G294,AE:AE,'Tarievensheet per persoon'!AG:AG)</f>
        <v>1.5642</v>
      </c>
      <c r="P294">
        <f>_xlfn.XLOOKUP(G294,AE:AE,'Tarievensheet per persoon'!AH:AH)</f>
        <v>1.3552</v>
      </c>
      <c r="Q294">
        <f>_xlfn.XLOOKUP(G294,AE:AE,'Tarievensheet per persoon'!AI:AI)</f>
        <v>1.3552</v>
      </c>
      <c r="R294">
        <v>0</v>
      </c>
      <c r="S294" s="14">
        <v>2.99</v>
      </c>
      <c r="T294" s="10">
        <f t="shared" si="45"/>
        <v>31.779274999999998</v>
      </c>
      <c r="U294" s="10">
        <f t="shared" si="46"/>
        <v>40.507980259999997</v>
      </c>
      <c r="V294" s="10">
        <f t="shared" si="47"/>
        <v>41.036992699999999</v>
      </c>
      <c r="W294" s="10">
        <f t="shared" si="48"/>
        <v>52.939772599999998</v>
      </c>
      <c r="X294" s="10">
        <f t="shared" si="49"/>
        <v>58.229896999999994</v>
      </c>
      <c r="Y294" s="10">
        <f t="shared" si="50"/>
        <v>84.680519000000004</v>
      </c>
      <c r="Z294" s="10">
        <f t="shared" si="51"/>
        <v>30.242643199999996</v>
      </c>
      <c r="AA294" s="10">
        <f t="shared" si="52"/>
        <v>38.883398399999997</v>
      </c>
      <c r="AB294" s="10">
        <f t="shared" si="53"/>
        <v>43.203775999999998</v>
      </c>
      <c r="AC294" s="10">
        <f t="shared" si="54"/>
        <v>64.805663999999993</v>
      </c>
    </row>
    <row r="295" spans="1:29" x14ac:dyDescent="0.25">
      <c r="A295">
        <v>413691</v>
      </c>
      <c r="B295" t="s">
        <v>48</v>
      </c>
      <c r="C295" s="10">
        <v>16.91</v>
      </c>
      <c r="D295" s="10">
        <v>15.94</v>
      </c>
      <c r="E295" s="10">
        <v>0</v>
      </c>
      <c r="F295">
        <v>38</v>
      </c>
      <c r="G295" t="s">
        <v>15</v>
      </c>
      <c r="H295" s="11">
        <v>45985</v>
      </c>
      <c r="I295" t="s">
        <v>21</v>
      </c>
      <c r="J295" s="12">
        <v>5</v>
      </c>
      <c r="K295" s="3">
        <v>202.55</v>
      </c>
      <c r="L295" s="3">
        <f t="shared" si="44"/>
        <v>40.510000000000005</v>
      </c>
      <c r="M295" s="13"/>
      <c r="N295">
        <f>_xlfn.XLOOKUP(G295,'Tarievensheet per persoon'!AE:AE,'Tarievensheet per persoon'!AF:AF)</f>
        <v>1.7024999999999999</v>
      </c>
      <c r="O295">
        <f>_xlfn.XLOOKUP(G295,AE:AE,'Tarievensheet per persoon'!AG:AG)</f>
        <v>1.5642</v>
      </c>
      <c r="P295">
        <f>_xlfn.XLOOKUP(G295,AE:AE,'Tarievensheet per persoon'!AH:AH)</f>
        <v>1.3552</v>
      </c>
      <c r="Q295">
        <f>_xlfn.XLOOKUP(G295,AE:AE,'Tarievensheet per persoon'!AI:AI)</f>
        <v>1.3552</v>
      </c>
      <c r="R295">
        <v>0</v>
      </c>
      <c r="S295" s="14">
        <v>2.99</v>
      </c>
      <c r="T295" s="10">
        <f t="shared" si="45"/>
        <v>31.779274999999998</v>
      </c>
      <c r="U295" s="10">
        <f t="shared" si="46"/>
        <v>40.507980259999997</v>
      </c>
      <c r="V295" s="10">
        <f t="shared" si="47"/>
        <v>41.036992699999999</v>
      </c>
      <c r="W295" s="10">
        <f t="shared" si="48"/>
        <v>52.939772599999998</v>
      </c>
      <c r="X295" s="10">
        <f t="shared" si="49"/>
        <v>58.229896999999994</v>
      </c>
      <c r="Y295" s="10">
        <f t="shared" si="50"/>
        <v>84.680519000000004</v>
      </c>
      <c r="Z295" s="10">
        <f t="shared" si="51"/>
        <v>30.242643199999996</v>
      </c>
      <c r="AA295" s="10">
        <f t="shared" si="52"/>
        <v>38.883398399999997</v>
      </c>
      <c r="AB295" s="10">
        <f t="shared" si="53"/>
        <v>43.203775999999998</v>
      </c>
      <c r="AC295" s="10">
        <f t="shared" si="54"/>
        <v>64.805663999999993</v>
      </c>
    </row>
    <row r="296" spans="1:29" x14ac:dyDescent="0.25">
      <c r="A296">
        <v>413691</v>
      </c>
      <c r="B296" t="s">
        <v>48</v>
      </c>
      <c r="C296" s="10">
        <v>16.91</v>
      </c>
      <c r="D296" s="10">
        <v>15.94</v>
      </c>
      <c r="E296" s="10">
        <v>0</v>
      </c>
      <c r="F296">
        <v>38</v>
      </c>
      <c r="G296" t="s">
        <v>15</v>
      </c>
      <c r="H296" s="11">
        <v>45985</v>
      </c>
      <c r="I296" t="s">
        <v>22</v>
      </c>
      <c r="J296" s="12">
        <v>1</v>
      </c>
      <c r="K296" s="3">
        <v>41.04</v>
      </c>
      <c r="L296" s="3">
        <f t="shared" si="44"/>
        <v>41.04</v>
      </c>
      <c r="M296" s="13"/>
      <c r="N296">
        <f>_xlfn.XLOOKUP(G296,'Tarievensheet per persoon'!AE:AE,'Tarievensheet per persoon'!AF:AF)</f>
        <v>1.7024999999999999</v>
      </c>
      <c r="O296">
        <f>_xlfn.XLOOKUP(G296,AE:AE,'Tarievensheet per persoon'!AG:AG)</f>
        <v>1.5642</v>
      </c>
      <c r="P296">
        <f>_xlfn.XLOOKUP(G296,AE:AE,'Tarievensheet per persoon'!AH:AH)</f>
        <v>1.3552</v>
      </c>
      <c r="Q296">
        <f>_xlfn.XLOOKUP(G296,AE:AE,'Tarievensheet per persoon'!AI:AI)</f>
        <v>1.3552</v>
      </c>
      <c r="R296">
        <v>0</v>
      </c>
      <c r="S296" s="14">
        <v>2.99</v>
      </c>
      <c r="T296" s="10">
        <f t="shared" si="45"/>
        <v>31.779274999999998</v>
      </c>
      <c r="U296" s="10">
        <f t="shared" si="46"/>
        <v>40.507980259999997</v>
      </c>
      <c r="V296" s="10">
        <f t="shared" si="47"/>
        <v>41.036992699999999</v>
      </c>
      <c r="W296" s="10">
        <f t="shared" si="48"/>
        <v>52.939772599999998</v>
      </c>
      <c r="X296" s="10">
        <f t="shared" si="49"/>
        <v>58.229896999999994</v>
      </c>
      <c r="Y296" s="10">
        <f t="shared" si="50"/>
        <v>84.680519000000004</v>
      </c>
      <c r="Z296" s="10">
        <f t="shared" si="51"/>
        <v>30.242643199999996</v>
      </c>
      <c r="AA296" s="10">
        <f t="shared" si="52"/>
        <v>38.883398399999997</v>
      </c>
      <c r="AB296" s="10">
        <f t="shared" si="53"/>
        <v>43.203775999999998</v>
      </c>
      <c r="AC296" s="10">
        <f t="shared" si="54"/>
        <v>64.805663999999993</v>
      </c>
    </row>
    <row r="297" spans="1:29" x14ac:dyDescent="0.25">
      <c r="A297">
        <v>413691</v>
      </c>
      <c r="B297" t="s">
        <v>48</v>
      </c>
      <c r="C297" s="10">
        <v>16.91</v>
      </c>
      <c r="D297" s="10">
        <v>15.94</v>
      </c>
      <c r="E297" s="10">
        <v>0</v>
      </c>
      <c r="F297">
        <v>38</v>
      </c>
      <c r="G297" t="s">
        <v>15</v>
      </c>
      <c r="H297" s="11">
        <v>45986</v>
      </c>
      <c r="I297" t="s">
        <v>13</v>
      </c>
      <c r="J297" s="12">
        <v>0.5</v>
      </c>
      <c r="K297" s="3">
        <v>15.89</v>
      </c>
      <c r="L297" s="3">
        <f t="shared" si="44"/>
        <v>31.78</v>
      </c>
      <c r="M297" s="13"/>
      <c r="N297">
        <f>_xlfn.XLOOKUP(G297,'Tarievensheet per persoon'!AE:AE,'Tarievensheet per persoon'!AF:AF)</f>
        <v>1.7024999999999999</v>
      </c>
      <c r="O297">
        <f>_xlfn.XLOOKUP(G297,AE:AE,'Tarievensheet per persoon'!AG:AG)</f>
        <v>1.5642</v>
      </c>
      <c r="P297">
        <f>_xlfn.XLOOKUP(G297,AE:AE,'Tarievensheet per persoon'!AH:AH)</f>
        <v>1.3552</v>
      </c>
      <c r="Q297">
        <f>_xlfn.XLOOKUP(G297,AE:AE,'Tarievensheet per persoon'!AI:AI)</f>
        <v>1.3552</v>
      </c>
      <c r="R297">
        <v>0</v>
      </c>
      <c r="S297" s="14">
        <v>2.99</v>
      </c>
      <c r="T297" s="10">
        <f t="shared" si="45"/>
        <v>31.779274999999998</v>
      </c>
      <c r="U297" s="10">
        <f t="shared" si="46"/>
        <v>40.507980259999997</v>
      </c>
      <c r="V297" s="10">
        <f t="shared" si="47"/>
        <v>41.036992699999999</v>
      </c>
      <c r="W297" s="10">
        <f t="shared" si="48"/>
        <v>52.939772599999998</v>
      </c>
      <c r="X297" s="10">
        <f t="shared" si="49"/>
        <v>58.229896999999994</v>
      </c>
      <c r="Y297" s="10">
        <f t="shared" si="50"/>
        <v>84.680519000000004</v>
      </c>
      <c r="Z297" s="10">
        <f t="shared" si="51"/>
        <v>30.242643199999996</v>
      </c>
      <c r="AA297" s="10">
        <f t="shared" si="52"/>
        <v>38.883398399999997</v>
      </c>
      <c r="AB297" s="10">
        <f t="shared" si="53"/>
        <v>43.203775999999998</v>
      </c>
      <c r="AC297" s="10">
        <f t="shared" si="54"/>
        <v>64.805663999999993</v>
      </c>
    </row>
    <row r="298" spans="1:29" x14ac:dyDescent="0.25">
      <c r="A298">
        <v>413691</v>
      </c>
      <c r="B298" t="s">
        <v>48</v>
      </c>
      <c r="C298" s="10">
        <v>16.91</v>
      </c>
      <c r="D298" s="10">
        <v>15.94</v>
      </c>
      <c r="E298" s="10">
        <v>0</v>
      </c>
      <c r="F298">
        <v>38</v>
      </c>
      <c r="G298" t="s">
        <v>15</v>
      </c>
      <c r="H298" s="11">
        <v>45986</v>
      </c>
      <c r="I298" t="s">
        <v>23</v>
      </c>
      <c r="J298" s="12">
        <v>2</v>
      </c>
      <c r="K298" s="3">
        <v>60.48</v>
      </c>
      <c r="L298" s="3">
        <f t="shared" si="44"/>
        <v>30.24</v>
      </c>
      <c r="M298" s="13"/>
      <c r="N298">
        <f>_xlfn.XLOOKUP(G298,'Tarievensheet per persoon'!AE:AE,'Tarievensheet per persoon'!AF:AF)</f>
        <v>1.7024999999999999</v>
      </c>
      <c r="O298">
        <f>_xlfn.XLOOKUP(G298,AE:AE,'Tarievensheet per persoon'!AG:AG)</f>
        <v>1.5642</v>
      </c>
      <c r="P298">
        <f>_xlfn.XLOOKUP(G298,AE:AE,'Tarievensheet per persoon'!AH:AH)</f>
        <v>1.3552</v>
      </c>
      <c r="Q298">
        <f>_xlfn.XLOOKUP(G298,AE:AE,'Tarievensheet per persoon'!AI:AI)</f>
        <v>1.3552</v>
      </c>
      <c r="R298">
        <v>0</v>
      </c>
      <c r="S298" s="14">
        <v>2.99</v>
      </c>
      <c r="T298" s="10">
        <f t="shared" si="45"/>
        <v>31.779274999999998</v>
      </c>
      <c r="U298" s="10">
        <f t="shared" si="46"/>
        <v>40.507980259999997</v>
      </c>
      <c r="V298" s="10">
        <f t="shared" si="47"/>
        <v>41.036992699999999</v>
      </c>
      <c r="W298" s="10">
        <f t="shared" si="48"/>
        <v>52.939772599999998</v>
      </c>
      <c r="X298" s="10">
        <f t="shared" si="49"/>
        <v>58.229896999999994</v>
      </c>
      <c r="Y298" s="10">
        <f t="shared" si="50"/>
        <v>84.680519000000004</v>
      </c>
      <c r="Z298" s="10">
        <f t="shared" si="51"/>
        <v>30.242643199999996</v>
      </c>
      <c r="AA298" s="10">
        <f t="shared" si="52"/>
        <v>38.883398399999997</v>
      </c>
      <c r="AB298" s="10">
        <f t="shared" si="53"/>
        <v>43.203775999999998</v>
      </c>
      <c r="AC298" s="10">
        <f t="shared" si="54"/>
        <v>64.805663999999993</v>
      </c>
    </row>
    <row r="299" spans="1:29" x14ac:dyDescent="0.25">
      <c r="A299">
        <v>413691</v>
      </c>
      <c r="B299" t="s">
        <v>48</v>
      </c>
      <c r="C299" s="10">
        <v>16.91</v>
      </c>
      <c r="D299" s="10">
        <v>15.94</v>
      </c>
      <c r="E299" s="10">
        <v>0</v>
      </c>
      <c r="F299">
        <v>38</v>
      </c>
      <c r="G299" t="s">
        <v>15</v>
      </c>
      <c r="H299" s="11">
        <v>45986</v>
      </c>
      <c r="I299" t="s">
        <v>21</v>
      </c>
      <c r="J299" s="12">
        <v>5.25</v>
      </c>
      <c r="K299" s="3">
        <v>212.68</v>
      </c>
      <c r="L299" s="3">
        <f t="shared" si="44"/>
        <v>40.51047619047619</v>
      </c>
      <c r="M299" s="13"/>
      <c r="N299">
        <f>_xlfn.XLOOKUP(G299,'Tarievensheet per persoon'!AE:AE,'Tarievensheet per persoon'!AF:AF)</f>
        <v>1.7024999999999999</v>
      </c>
      <c r="O299">
        <f>_xlfn.XLOOKUP(G299,AE:AE,'Tarievensheet per persoon'!AG:AG)</f>
        <v>1.5642</v>
      </c>
      <c r="P299">
        <f>_xlfn.XLOOKUP(G299,AE:AE,'Tarievensheet per persoon'!AH:AH)</f>
        <v>1.3552</v>
      </c>
      <c r="Q299">
        <f>_xlfn.XLOOKUP(G299,AE:AE,'Tarievensheet per persoon'!AI:AI)</f>
        <v>1.3552</v>
      </c>
      <c r="R299">
        <v>0</v>
      </c>
      <c r="S299" s="14">
        <v>2.99</v>
      </c>
      <c r="T299" s="10">
        <f t="shared" si="45"/>
        <v>31.779274999999998</v>
      </c>
      <c r="U299" s="10">
        <f t="shared" si="46"/>
        <v>40.507980259999997</v>
      </c>
      <c r="V299" s="10">
        <f t="shared" si="47"/>
        <v>41.036992699999999</v>
      </c>
      <c r="W299" s="10">
        <f t="shared" si="48"/>
        <v>52.939772599999998</v>
      </c>
      <c r="X299" s="10">
        <f t="shared" si="49"/>
        <v>58.229896999999994</v>
      </c>
      <c r="Y299" s="10">
        <f t="shared" si="50"/>
        <v>84.680519000000004</v>
      </c>
      <c r="Z299" s="10">
        <f t="shared" si="51"/>
        <v>30.242643199999996</v>
      </c>
      <c r="AA299" s="10">
        <f t="shared" si="52"/>
        <v>38.883398399999997</v>
      </c>
      <c r="AB299" s="10">
        <f t="shared" si="53"/>
        <v>43.203775999999998</v>
      </c>
      <c r="AC299" s="10">
        <f t="shared" si="54"/>
        <v>64.805663999999993</v>
      </c>
    </row>
    <row r="300" spans="1:29" x14ac:dyDescent="0.25">
      <c r="A300">
        <v>413691</v>
      </c>
      <c r="B300" t="s">
        <v>48</v>
      </c>
      <c r="C300" s="10">
        <v>16.91</v>
      </c>
      <c r="D300" s="10">
        <v>15.94</v>
      </c>
      <c r="E300" s="10">
        <v>0</v>
      </c>
      <c r="F300">
        <v>38</v>
      </c>
      <c r="G300" t="s">
        <v>15</v>
      </c>
      <c r="H300" s="11">
        <v>45986</v>
      </c>
      <c r="I300" t="s">
        <v>22</v>
      </c>
      <c r="J300" s="12">
        <v>1.25</v>
      </c>
      <c r="K300" s="3">
        <v>51.3</v>
      </c>
      <c r="L300" s="3">
        <f t="shared" si="44"/>
        <v>41.04</v>
      </c>
      <c r="M300" s="13"/>
      <c r="N300">
        <f>_xlfn.XLOOKUP(G300,'Tarievensheet per persoon'!AE:AE,'Tarievensheet per persoon'!AF:AF)</f>
        <v>1.7024999999999999</v>
      </c>
      <c r="O300">
        <f>_xlfn.XLOOKUP(G300,AE:AE,'Tarievensheet per persoon'!AG:AG)</f>
        <v>1.5642</v>
      </c>
      <c r="P300">
        <f>_xlfn.XLOOKUP(G300,AE:AE,'Tarievensheet per persoon'!AH:AH)</f>
        <v>1.3552</v>
      </c>
      <c r="Q300">
        <f>_xlfn.XLOOKUP(G300,AE:AE,'Tarievensheet per persoon'!AI:AI)</f>
        <v>1.3552</v>
      </c>
      <c r="R300">
        <v>0</v>
      </c>
      <c r="S300" s="14">
        <v>2.99</v>
      </c>
      <c r="T300" s="10">
        <f t="shared" si="45"/>
        <v>31.779274999999998</v>
      </c>
      <c r="U300" s="10">
        <f t="shared" si="46"/>
        <v>40.507980259999997</v>
      </c>
      <c r="V300" s="10">
        <f t="shared" si="47"/>
        <v>41.036992699999999</v>
      </c>
      <c r="W300" s="10">
        <f t="shared" si="48"/>
        <v>52.939772599999998</v>
      </c>
      <c r="X300" s="10">
        <f t="shared" si="49"/>
        <v>58.229896999999994</v>
      </c>
      <c r="Y300" s="10">
        <f t="shared" si="50"/>
        <v>84.680519000000004</v>
      </c>
      <c r="Z300" s="10">
        <f t="shared" si="51"/>
        <v>30.242643199999996</v>
      </c>
      <c r="AA300" s="10">
        <f t="shared" si="52"/>
        <v>38.883398399999997</v>
      </c>
      <c r="AB300" s="10">
        <f t="shared" si="53"/>
        <v>43.203775999999998</v>
      </c>
      <c r="AC300" s="10">
        <f t="shared" si="54"/>
        <v>64.805663999999993</v>
      </c>
    </row>
    <row r="301" spans="1:29" x14ac:dyDescent="0.25">
      <c r="A301">
        <v>413691</v>
      </c>
      <c r="B301" t="s">
        <v>48</v>
      </c>
      <c r="C301" s="10">
        <v>16.91</v>
      </c>
      <c r="D301" s="10">
        <v>15.94</v>
      </c>
      <c r="E301" s="10">
        <v>0</v>
      </c>
      <c r="F301">
        <v>38</v>
      </c>
      <c r="G301" t="s">
        <v>15</v>
      </c>
      <c r="H301" s="11">
        <v>45987</v>
      </c>
      <c r="I301" t="s">
        <v>23</v>
      </c>
      <c r="J301" s="12">
        <v>2.75</v>
      </c>
      <c r="K301" s="3">
        <v>83.16</v>
      </c>
      <c r="L301" s="3">
        <f t="shared" si="44"/>
        <v>30.24</v>
      </c>
      <c r="M301" s="13"/>
      <c r="N301">
        <f>_xlfn.XLOOKUP(G301,'Tarievensheet per persoon'!AE:AE,'Tarievensheet per persoon'!AF:AF)</f>
        <v>1.7024999999999999</v>
      </c>
      <c r="O301">
        <f>_xlfn.XLOOKUP(G301,AE:AE,'Tarievensheet per persoon'!AG:AG)</f>
        <v>1.5642</v>
      </c>
      <c r="P301">
        <f>_xlfn.XLOOKUP(G301,AE:AE,'Tarievensheet per persoon'!AH:AH)</f>
        <v>1.3552</v>
      </c>
      <c r="Q301">
        <f>_xlfn.XLOOKUP(G301,AE:AE,'Tarievensheet per persoon'!AI:AI)</f>
        <v>1.3552</v>
      </c>
      <c r="R301">
        <v>0</v>
      </c>
      <c r="S301" s="14">
        <v>2.99</v>
      </c>
      <c r="T301" s="10">
        <f t="shared" si="45"/>
        <v>31.779274999999998</v>
      </c>
      <c r="U301" s="10">
        <f t="shared" si="46"/>
        <v>40.507980259999997</v>
      </c>
      <c r="V301" s="10">
        <f t="shared" si="47"/>
        <v>41.036992699999999</v>
      </c>
      <c r="W301" s="10">
        <f t="shared" si="48"/>
        <v>52.939772599999998</v>
      </c>
      <c r="X301" s="10">
        <f t="shared" si="49"/>
        <v>58.229896999999994</v>
      </c>
      <c r="Y301" s="10">
        <f t="shared" si="50"/>
        <v>84.680519000000004</v>
      </c>
      <c r="Z301" s="10">
        <f t="shared" si="51"/>
        <v>30.242643199999996</v>
      </c>
      <c r="AA301" s="10">
        <f t="shared" si="52"/>
        <v>38.883398399999997</v>
      </c>
      <c r="AB301" s="10">
        <f t="shared" si="53"/>
        <v>43.203775999999998</v>
      </c>
      <c r="AC301" s="10">
        <f t="shared" si="54"/>
        <v>64.805663999999993</v>
      </c>
    </row>
    <row r="302" spans="1:29" x14ac:dyDescent="0.25">
      <c r="A302">
        <v>413691</v>
      </c>
      <c r="B302" t="s">
        <v>48</v>
      </c>
      <c r="C302" s="10">
        <v>16.91</v>
      </c>
      <c r="D302" s="10">
        <v>15.94</v>
      </c>
      <c r="E302" s="10">
        <v>0</v>
      </c>
      <c r="F302">
        <v>38</v>
      </c>
      <c r="G302" t="s">
        <v>15</v>
      </c>
      <c r="H302" s="11">
        <v>45987</v>
      </c>
      <c r="I302" t="s">
        <v>21</v>
      </c>
      <c r="J302" s="12">
        <v>5.5</v>
      </c>
      <c r="K302" s="3">
        <v>222.81</v>
      </c>
      <c r="L302" s="3">
        <f t="shared" si="44"/>
        <v>40.510909090909088</v>
      </c>
      <c r="M302" s="13"/>
      <c r="N302">
        <f>_xlfn.XLOOKUP(G302,'Tarievensheet per persoon'!AE:AE,'Tarievensheet per persoon'!AF:AF)</f>
        <v>1.7024999999999999</v>
      </c>
      <c r="O302">
        <f>_xlfn.XLOOKUP(G302,AE:AE,'Tarievensheet per persoon'!AG:AG)</f>
        <v>1.5642</v>
      </c>
      <c r="P302">
        <f>_xlfn.XLOOKUP(G302,AE:AE,'Tarievensheet per persoon'!AH:AH)</f>
        <v>1.3552</v>
      </c>
      <c r="Q302">
        <f>_xlfn.XLOOKUP(G302,AE:AE,'Tarievensheet per persoon'!AI:AI)</f>
        <v>1.3552</v>
      </c>
      <c r="R302">
        <v>0</v>
      </c>
      <c r="S302" s="14">
        <v>2.99</v>
      </c>
      <c r="T302" s="10">
        <f t="shared" si="45"/>
        <v>31.779274999999998</v>
      </c>
      <c r="U302" s="10">
        <f t="shared" si="46"/>
        <v>40.507980259999997</v>
      </c>
      <c r="V302" s="10">
        <f t="shared" si="47"/>
        <v>41.036992699999999</v>
      </c>
      <c r="W302" s="10">
        <f t="shared" si="48"/>
        <v>52.939772599999998</v>
      </c>
      <c r="X302" s="10">
        <f t="shared" si="49"/>
        <v>58.229896999999994</v>
      </c>
      <c r="Y302" s="10">
        <f t="shared" si="50"/>
        <v>84.680519000000004</v>
      </c>
      <c r="Z302" s="10">
        <f t="shared" si="51"/>
        <v>30.242643199999996</v>
      </c>
      <c r="AA302" s="10">
        <f t="shared" si="52"/>
        <v>38.883398399999997</v>
      </c>
      <c r="AB302" s="10">
        <f t="shared" si="53"/>
        <v>43.203775999999998</v>
      </c>
      <c r="AC302" s="10">
        <f t="shared" si="54"/>
        <v>64.805663999999993</v>
      </c>
    </row>
    <row r="303" spans="1:29" x14ac:dyDescent="0.25">
      <c r="A303">
        <v>413691</v>
      </c>
      <c r="B303" t="s">
        <v>48</v>
      </c>
      <c r="C303" s="10">
        <v>16.91</v>
      </c>
      <c r="D303" s="10">
        <v>15.94</v>
      </c>
      <c r="E303" s="10">
        <v>0</v>
      </c>
      <c r="F303">
        <v>38</v>
      </c>
      <c r="G303" t="s">
        <v>15</v>
      </c>
      <c r="H303" s="11">
        <v>45987</v>
      </c>
      <c r="I303" t="s">
        <v>22</v>
      </c>
      <c r="J303" s="12">
        <v>1</v>
      </c>
      <c r="K303" s="3">
        <v>41.04</v>
      </c>
      <c r="L303" s="3">
        <f t="shared" si="44"/>
        <v>41.04</v>
      </c>
      <c r="M303" s="13"/>
      <c r="N303">
        <f>_xlfn.XLOOKUP(G303,'Tarievensheet per persoon'!AE:AE,'Tarievensheet per persoon'!AF:AF)</f>
        <v>1.7024999999999999</v>
      </c>
      <c r="O303">
        <f>_xlfn.XLOOKUP(G303,AE:AE,'Tarievensheet per persoon'!AG:AG)</f>
        <v>1.5642</v>
      </c>
      <c r="P303">
        <f>_xlfn.XLOOKUP(G303,AE:AE,'Tarievensheet per persoon'!AH:AH)</f>
        <v>1.3552</v>
      </c>
      <c r="Q303">
        <f>_xlfn.XLOOKUP(G303,AE:AE,'Tarievensheet per persoon'!AI:AI)</f>
        <v>1.3552</v>
      </c>
      <c r="R303">
        <v>0</v>
      </c>
      <c r="S303" s="14">
        <v>2.99</v>
      </c>
      <c r="T303" s="10">
        <f t="shared" si="45"/>
        <v>31.779274999999998</v>
      </c>
      <c r="U303" s="10">
        <f t="shared" si="46"/>
        <v>40.507980259999997</v>
      </c>
      <c r="V303" s="10">
        <f t="shared" si="47"/>
        <v>41.036992699999999</v>
      </c>
      <c r="W303" s="10">
        <f t="shared" si="48"/>
        <v>52.939772599999998</v>
      </c>
      <c r="X303" s="10">
        <f t="shared" si="49"/>
        <v>58.229896999999994</v>
      </c>
      <c r="Y303" s="10">
        <f t="shared" si="50"/>
        <v>84.680519000000004</v>
      </c>
      <c r="Z303" s="10">
        <f t="shared" si="51"/>
        <v>30.242643199999996</v>
      </c>
      <c r="AA303" s="10">
        <f t="shared" si="52"/>
        <v>38.883398399999997</v>
      </c>
      <c r="AB303" s="10">
        <f t="shared" si="53"/>
        <v>43.203775999999998</v>
      </c>
      <c r="AC303" s="10">
        <f t="shared" si="54"/>
        <v>64.805663999999993</v>
      </c>
    </row>
    <row r="304" spans="1:29" x14ac:dyDescent="0.25">
      <c r="A304">
        <v>413691</v>
      </c>
      <c r="B304" t="s">
        <v>48</v>
      </c>
      <c r="C304" s="10">
        <v>16.91</v>
      </c>
      <c r="D304" s="10">
        <v>15.94</v>
      </c>
      <c r="E304" s="10">
        <v>0</v>
      </c>
      <c r="F304">
        <v>38</v>
      </c>
      <c r="G304" t="s">
        <v>15</v>
      </c>
      <c r="H304" s="11">
        <v>45988</v>
      </c>
      <c r="I304" t="s">
        <v>13</v>
      </c>
      <c r="J304" s="12">
        <v>2.75</v>
      </c>
      <c r="K304" s="3">
        <v>87.4</v>
      </c>
      <c r="L304" s="3">
        <f t="shared" si="44"/>
        <v>31.781818181818185</v>
      </c>
      <c r="M304" s="13"/>
      <c r="N304">
        <f>_xlfn.XLOOKUP(G304,'Tarievensheet per persoon'!AE:AE,'Tarievensheet per persoon'!AF:AF)</f>
        <v>1.7024999999999999</v>
      </c>
      <c r="O304">
        <f>_xlfn.XLOOKUP(G304,AE:AE,'Tarievensheet per persoon'!AG:AG)</f>
        <v>1.5642</v>
      </c>
      <c r="P304">
        <f>_xlfn.XLOOKUP(G304,AE:AE,'Tarievensheet per persoon'!AH:AH)</f>
        <v>1.3552</v>
      </c>
      <c r="Q304">
        <f>_xlfn.XLOOKUP(G304,AE:AE,'Tarievensheet per persoon'!AI:AI)</f>
        <v>1.3552</v>
      </c>
      <c r="R304">
        <v>0</v>
      </c>
      <c r="S304" s="14">
        <v>2.99</v>
      </c>
      <c r="T304" s="10">
        <f t="shared" si="45"/>
        <v>31.779274999999998</v>
      </c>
      <c r="U304" s="10">
        <f t="shared" si="46"/>
        <v>40.507980259999997</v>
      </c>
      <c r="V304" s="10">
        <f t="shared" si="47"/>
        <v>41.036992699999999</v>
      </c>
      <c r="W304" s="10">
        <f t="shared" si="48"/>
        <v>52.939772599999998</v>
      </c>
      <c r="X304" s="10">
        <f t="shared" si="49"/>
        <v>58.229896999999994</v>
      </c>
      <c r="Y304" s="10">
        <f t="shared" si="50"/>
        <v>84.680519000000004</v>
      </c>
      <c r="Z304" s="10">
        <f t="shared" si="51"/>
        <v>30.242643199999996</v>
      </c>
      <c r="AA304" s="10">
        <f t="shared" si="52"/>
        <v>38.883398399999997</v>
      </c>
      <c r="AB304" s="10">
        <f t="shared" si="53"/>
        <v>43.203775999999998</v>
      </c>
      <c r="AC304" s="10">
        <f t="shared" si="54"/>
        <v>64.805663999999993</v>
      </c>
    </row>
    <row r="305" spans="1:29" x14ac:dyDescent="0.25">
      <c r="A305">
        <v>413691</v>
      </c>
      <c r="B305" t="s">
        <v>48</v>
      </c>
      <c r="C305" s="10">
        <v>16.91</v>
      </c>
      <c r="D305" s="10">
        <v>15.94</v>
      </c>
      <c r="E305" s="10">
        <v>0</v>
      </c>
      <c r="F305">
        <v>38</v>
      </c>
      <c r="G305" t="s">
        <v>15</v>
      </c>
      <c r="H305" s="11">
        <v>45988</v>
      </c>
      <c r="I305" t="s">
        <v>21</v>
      </c>
      <c r="J305" s="12">
        <v>5.25</v>
      </c>
      <c r="K305" s="3">
        <v>212.68</v>
      </c>
      <c r="L305" s="3">
        <f t="shared" si="44"/>
        <v>40.51047619047619</v>
      </c>
      <c r="M305" s="13"/>
      <c r="N305">
        <f>_xlfn.XLOOKUP(G305,'Tarievensheet per persoon'!AE:AE,'Tarievensheet per persoon'!AF:AF)</f>
        <v>1.7024999999999999</v>
      </c>
      <c r="O305">
        <f>_xlfn.XLOOKUP(G305,AE:AE,'Tarievensheet per persoon'!AG:AG)</f>
        <v>1.5642</v>
      </c>
      <c r="P305">
        <f>_xlfn.XLOOKUP(G305,AE:AE,'Tarievensheet per persoon'!AH:AH)</f>
        <v>1.3552</v>
      </c>
      <c r="Q305">
        <f>_xlfn.XLOOKUP(G305,AE:AE,'Tarievensheet per persoon'!AI:AI)</f>
        <v>1.3552</v>
      </c>
      <c r="R305">
        <v>0</v>
      </c>
      <c r="S305" s="14">
        <v>2.99</v>
      </c>
      <c r="T305" s="10">
        <f t="shared" si="45"/>
        <v>31.779274999999998</v>
      </c>
      <c r="U305" s="10">
        <f t="shared" si="46"/>
        <v>40.507980259999997</v>
      </c>
      <c r="V305" s="10">
        <f t="shared" si="47"/>
        <v>41.036992699999999</v>
      </c>
      <c r="W305" s="10">
        <f t="shared" si="48"/>
        <v>52.939772599999998</v>
      </c>
      <c r="X305" s="10">
        <f t="shared" si="49"/>
        <v>58.229896999999994</v>
      </c>
      <c r="Y305" s="10">
        <f t="shared" si="50"/>
        <v>84.680519000000004</v>
      </c>
      <c r="Z305" s="10">
        <f t="shared" si="51"/>
        <v>30.242643199999996</v>
      </c>
      <c r="AA305" s="10">
        <f t="shared" si="52"/>
        <v>38.883398399999997</v>
      </c>
      <c r="AB305" s="10">
        <f t="shared" si="53"/>
        <v>43.203775999999998</v>
      </c>
      <c r="AC305" s="10">
        <f t="shared" si="54"/>
        <v>64.805663999999993</v>
      </c>
    </row>
    <row r="306" spans="1:29" x14ac:dyDescent="0.25">
      <c r="A306">
        <v>413691</v>
      </c>
      <c r="B306" t="s">
        <v>48</v>
      </c>
      <c r="C306" s="10">
        <v>16.91</v>
      </c>
      <c r="D306" s="10">
        <v>15.94</v>
      </c>
      <c r="E306" s="10">
        <v>0</v>
      </c>
      <c r="F306">
        <v>38</v>
      </c>
      <c r="G306" t="s">
        <v>15</v>
      </c>
      <c r="H306" s="11">
        <v>45988</v>
      </c>
      <c r="I306" t="s">
        <v>22</v>
      </c>
      <c r="J306" s="12">
        <v>0.75</v>
      </c>
      <c r="K306" s="3">
        <v>30.78</v>
      </c>
      <c r="L306" s="3">
        <f t="shared" si="44"/>
        <v>41.04</v>
      </c>
      <c r="M306" s="13"/>
      <c r="N306">
        <f>_xlfn.XLOOKUP(G306,'Tarievensheet per persoon'!AE:AE,'Tarievensheet per persoon'!AF:AF)</f>
        <v>1.7024999999999999</v>
      </c>
      <c r="O306">
        <f>_xlfn.XLOOKUP(G306,AE:AE,'Tarievensheet per persoon'!AG:AG)</f>
        <v>1.5642</v>
      </c>
      <c r="P306">
        <f>_xlfn.XLOOKUP(G306,AE:AE,'Tarievensheet per persoon'!AH:AH)</f>
        <v>1.3552</v>
      </c>
      <c r="Q306">
        <f>_xlfn.XLOOKUP(G306,AE:AE,'Tarievensheet per persoon'!AI:AI)</f>
        <v>1.3552</v>
      </c>
      <c r="R306">
        <v>0</v>
      </c>
      <c r="S306" s="14">
        <v>2.99</v>
      </c>
      <c r="T306" s="10">
        <f t="shared" si="45"/>
        <v>31.779274999999998</v>
      </c>
      <c r="U306" s="10">
        <f t="shared" si="46"/>
        <v>40.507980259999997</v>
      </c>
      <c r="V306" s="10">
        <f t="shared" si="47"/>
        <v>41.036992699999999</v>
      </c>
      <c r="W306" s="10">
        <f t="shared" si="48"/>
        <v>52.939772599999998</v>
      </c>
      <c r="X306" s="10">
        <f t="shared" si="49"/>
        <v>58.229896999999994</v>
      </c>
      <c r="Y306" s="10">
        <f t="shared" si="50"/>
        <v>84.680519000000004</v>
      </c>
      <c r="Z306" s="10">
        <f t="shared" si="51"/>
        <v>30.242643199999996</v>
      </c>
      <c r="AA306" s="10">
        <f t="shared" si="52"/>
        <v>38.883398399999997</v>
      </c>
      <c r="AB306" s="10">
        <f t="shared" si="53"/>
        <v>43.203775999999998</v>
      </c>
      <c r="AC306" s="10">
        <f t="shared" si="54"/>
        <v>64.805663999999993</v>
      </c>
    </row>
    <row r="307" spans="1:29" x14ac:dyDescent="0.25">
      <c r="A307">
        <v>413691</v>
      </c>
      <c r="B307" t="s">
        <v>48</v>
      </c>
      <c r="C307" s="10">
        <v>16.91</v>
      </c>
      <c r="D307" s="10">
        <v>15.94</v>
      </c>
      <c r="E307" s="10">
        <v>0</v>
      </c>
      <c r="F307">
        <v>38</v>
      </c>
      <c r="G307" t="s">
        <v>15</v>
      </c>
      <c r="H307" s="11">
        <v>45989</v>
      </c>
      <c r="I307" t="s">
        <v>13</v>
      </c>
      <c r="J307" s="12">
        <v>3</v>
      </c>
      <c r="K307" s="3">
        <v>95.34</v>
      </c>
      <c r="L307" s="3">
        <f t="shared" si="44"/>
        <v>31.78</v>
      </c>
      <c r="M307" s="13"/>
      <c r="N307">
        <f>_xlfn.XLOOKUP(G307,'Tarievensheet per persoon'!AE:AE,'Tarievensheet per persoon'!AF:AF)</f>
        <v>1.7024999999999999</v>
      </c>
      <c r="O307">
        <f>_xlfn.XLOOKUP(G307,AE:AE,'Tarievensheet per persoon'!AG:AG)</f>
        <v>1.5642</v>
      </c>
      <c r="P307">
        <f>_xlfn.XLOOKUP(G307,AE:AE,'Tarievensheet per persoon'!AH:AH)</f>
        <v>1.3552</v>
      </c>
      <c r="Q307">
        <f>_xlfn.XLOOKUP(G307,AE:AE,'Tarievensheet per persoon'!AI:AI)</f>
        <v>1.3552</v>
      </c>
      <c r="R307">
        <v>0</v>
      </c>
      <c r="S307" s="14">
        <v>2.99</v>
      </c>
      <c r="T307" s="10">
        <f t="shared" si="45"/>
        <v>31.779274999999998</v>
      </c>
      <c r="U307" s="10">
        <f t="shared" si="46"/>
        <v>40.507980259999997</v>
      </c>
      <c r="V307" s="10">
        <f t="shared" si="47"/>
        <v>41.036992699999999</v>
      </c>
      <c r="W307" s="10">
        <f t="shared" si="48"/>
        <v>52.939772599999998</v>
      </c>
      <c r="X307" s="10">
        <f t="shared" si="49"/>
        <v>58.229896999999994</v>
      </c>
      <c r="Y307" s="10">
        <f t="shared" si="50"/>
        <v>84.680519000000004</v>
      </c>
      <c r="Z307" s="10">
        <f t="shared" si="51"/>
        <v>30.242643199999996</v>
      </c>
      <c r="AA307" s="10">
        <f t="shared" si="52"/>
        <v>38.883398399999997</v>
      </c>
      <c r="AB307" s="10">
        <f t="shared" si="53"/>
        <v>43.203775999999998</v>
      </c>
      <c r="AC307" s="10">
        <f t="shared" si="54"/>
        <v>64.805663999999993</v>
      </c>
    </row>
    <row r="308" spans="1:29" x14ac:dyDescent="0.25">
      <c r="A308">
        <v>413691</v>
      </c>
      <c r="B308" t="s">
        <v>48</v>
      </c>
      <c r="C308" s="10">
        <v>16.91</v>
      </c>
      <c r="D308" s="10">
        <v>15.94</v>
      </c>
      <c r="E308" s="10">
        <v>0</v>
      </c>
      <c r="F308">
        <v>38</v>
      </c>
      <c r="G308" t="s">
        <v>15</v>
      </c>
      <c r="H308" s="11">
        <v>45989</v>
      </c>
      <c r="I308" t="s">
        <v>21</v>
      </c>
      <c r="J308" s="12">
        <v>5.25</v>
      </c>
      <c r="K308" s="3">
        <v>212.68</v>
      </c>
      <c r="L308" s="3">
        <f t="shared" si="44"/>
        <v>40.51047619047619</v>
      </c>
      <c r="M308" s="13"/>
      <c r="N308">
        <f>_xlfn.XLOOKUP(G308,'Tarievensheet per persoon'!AE:AE,'Tarievensheet per persoon'!AF:AF)</f>
        <v>1.7024999999999999</v>
      </c>
      <c r="O308">
        <f>_xlfn.XLOOKUP(G308,AE:AE,'Tarievensheet per persoon'!AG:AG)</f>
        <v>1.5642</v>
      </c>
      <c r="P308">
        <f>_xlfn.XLOOKUP(G308,AE:AE,'Tarievensheet per persoon'!AH:AH)</f>
        <v>1.3552</v>
      </c>
      <c r="Q308">
        <f>_xlfn.XLOOKUP(G308,AE:AE,'Tarievensheet per persoon'!AI:AI)</f>
        <v>1.3552</v>
      </c>
      <c r="R308">
        <v>0</v>
      </c>
      <c r="S308" s="14">
        <v>2.99</v>
      </c>
      <c r="T308" s="10">
        <f t="shared" si="45"/>
        <v>31.779274999999998</v>
      </c>
      <c r="U308" s="10">
        <f t="shared" si="46"/>
        <v>40.507980259999997</v>
      </c>
      <c r="V308" s="10">
        <f t="shared" si="47"/>
        <v>41.036992699999999</v>
      </c>
      <c r="W308" s="10">
        <f t="shared" si="48"/>
        <v>52.939772599999998</v>
      </c>
      <c r="X308" s="10">
        <f t="shared" si="49"/>
        <v>58.229896999999994</v>
      </c>
      <c r="Y308" s="10">
        <f t="shared" si="50"/>
        <v>84.680519000000004</v>
      </c>
      <c r="Z308" s="10">
        <f t="shared" si="51"/>
        <v>30.242643199999996</v>
      </c>
      <c r="AA308" s="10">
        <f t="shared" si="52"/>
        <v>38.883398399999997</v>
      </c>
      <c r="AB308" s="10">
        <f t="shared" si="53"/>
        <v>43.203775999999998</v>
      </c>
      <c r="AC308" s="10">
        <f t="shared" si="54"/>
        <v>64.805663999999993</v>
      </c>
    </row>
    <row r="309" spans="1:29" x14ac:dyDescent="0.25">
      <c r="A309">
        <v>413691</v>
      </c>
      <c r="B309" t="s">
        <v>48</v>
      </c>
      <c r="C309" s="10">
        <v>16.91</v>
      </c>
      <c r="D309" s="10">
        <v>15.94</v>
      </c>
      <c r="E309" s="10">
        <v>0</v>
      </c>
      <c r="F309">
        <v>38</v>
      </c>
      <c r="G309" t="s">
        <v>15</v>
      </c>
      <c r="H309" s="11">
        <v>45989</v>
      </c>
      <c r="I309" t="s">
        <v>22</v>
      </c>
      <c r="J309" s="12">
        <v>0.25</v>
      </c>
      <c r="K309" s="3">
        <v>10.26</v>
      </c>
      <c r="L309" s="3">
        <f t="shared" si="44"/>
        <v>41.04</v>
      </c>
      <c r="M309" s="13"/>
      <c r="N309">
        <f>_xlfn.XLOOKUP(G309,'Tarievensheet per persoon'!AE:AE,'Tarievensheet per persoon'!AF:AF)</f>
        <v>1.7024999999999999</v>
      </c>
      <c r="O309">
        <f>_xlfn.XLOOKUP(G309,AE:AE,'Tarievensheet per persoon'!AG:AG)</f>
        <v>1.5642</v>
      </c>
      <c r="P309">
        <f>_xlfn.XLOOKUP(G309,AE:AE,'Tarievensheet per persoon'!AH:AH)</f>
        <v>1.3552</v>
      </c>
      <c r="Q309">
        <f>_xlfn.XLOOKUP(G309,AE:AE,'Tarievensheet per persoon'!AI:AI)</f>
        <v>1.3552</v>
      </c>
      <c r="R309">
        <v>0</v>
      </c>
      <c r="S309" s="14">
        <v>2.99</v>
      </c>
      <c r="T309" s="10">
        <f t="shared" si="45"/>
        <v>31.779274999999998</v>
      </c>
      <c r="U309" s="10">
        <f t="shared" si="46"/>
        <v>40.507980259999997</v>
      </c>
      <c r="V309" s="10">
        <f t="shared" si="47"/>
        <v>41.036992699999999</v>
      </c>
      <c r="W309" s="10">
        <f t="shared" si="48"/>
        <v>52.939772599999998</v>
      </c>
      <c r="X309" s="10">
        <f t="shared" si="49"/>
        <v>58.229896999999994</v>
      </c>
      <c r="Y309" s="10">
        <f t="shared" si="50"/>
        <v>84.680519000000004</v>
      </c>
      <c r="Z309" s="10">
        <f t="shared" si="51"/>
        <v>30.242643199999996</v>
      </c>
      <c r="AA309" s="10">
        <f t="shared" si="52"/>
        <v>38.883398399999997</v>
      </c>
      <c r="AB309" s="10">
        <f t="shared" si="53"/>
        <v>43.203775999999998</v>
      </c>
      <c r="AC309" s="10">
        <f t="shared" si="54"/>
        <v>64.805663999999993</v>
      </c>
    </row>
    <row r="310" spans="1:29" x14ac:dyDescent="0.25">
      <c r="A310">
        <v>414172</v>
      </c>
      <c r="B310" t="s">
        <v>112</v>
      </c>
      <c r="C310" s="10">
        <v>16.91</v>
      </c>
      <c r="D310" s="10">
        <v>15.94</v>
      </c>
      <c r="E310" s="10">
        <v>0</v>
      </c>
      <c r="F310">
        <v>19</v>
      </c>
      <c r="G310" t="s">
        <v>15</v>
      </c>
      <c r="H310" s="11">
        <v>45985</v>
      </c>
      <c r="I310" t="s">
        <v>13</v>
      </c>
      <c r="J310" s="12">
        <v>10</v>
      </c>
      <c r="K310" s="3">
        <v>317.8</v>
      </c>
      <c r="L310" s="3">
        <f t="shared" si="44"/>
        <v>31.78</v>
      </c>
      <c r="M310" s="13"/>
      <c r="N310">
        <f>_xlfn.XLOOKUP(G310,'Tarievensheet per persoon'!AE:AE,'Tarievensheet per persoon'!AF:AF)</f>
        <v>1.7024999999999999</v>
      </c>
      <c r="O310">
        <f>_xlfn.XLOOKUP(G310,AE:AE,'Tarievensheet per persoon'!AG:AG)</f>
        <v>1.5642</v>
      </c>
      <c r="P310">
        <f>_xlfn.XLOOKUP(G310,AE:AE,'Tarievensheet per persoon'!AH:AH)</f>
        <v>1.3552</v>
      </c>
      <c r="Q310">
        <f>_xlfn.XLOOKUP(G310,AE:AE,'Tarievensheet per persoon'!AI:AI)</f>
        <v>1.3552</v>
      </c>
      <c r="R310">
        <v>0</v>
      </c>
      <c r="S310" s="14">
        <v>2.99</v>
      </c>
      <c r="T310" s="10">
        <f t="shared" si="45"/>
        <v>31.779274999999998</v>
      </c>
      <c r="U310" s="10">
        <f t="shared" si="46"/>
        <v>40.507980259999997</v>
      </c>
      <c r="V310" s="10">
        <f t="shared" si="47"/>
        <v>41.036992699999999</v>
      </c>
      <c r="W310" s="10">
        <f t="shared" si="48"/>
        <v>52.939772599999998</v>
      </c>
      <c r="X310" s="10">
        <f t="shared" si="49"/>
        <v>58.229896999999994</v>
      </c>
      <c r="Y310" s="10">
        <f t="shared" si="50"/>
        <v>84.680519000000004</v>
      </c>
      <c r="Z310" s="10">
        <f t="shared" si="51"/>
        <v>30.242643199999996</v>
      </c>
      <c r="AA310" s="10">
        <f t="shared" si="52"/>
        <v>38.883398399999997</v>
      </c>
      <c r="AB310" s="10">
        <f t="shared" si="53"/>
        <v>43.203775999999998</v>
      </c>
      <c r="AC310" s="10">
        <f t="shared" si="54"/>
        <v>64.805663999999993</v>
      </c>
    </row>
    <row r="311" spans="1:29" x14ac:dyDescent="0.25">
      <c r="A311">
        <v>414172</v>
      </c>
      <c r="B311" t="s">
        <v>112</v>
      </c>
      <c r="C311" s="10">
        <v>16.91</v>
      </c>
      <c r="D311" s="10">
        <v>15.94</v>
      </c>
      <c r="E311" s="10">
        <v>0</v>
      </c>
      <c r="F311">
        <v>19</v>
      </c>
      <c r="G311" t="s">
        <v>15</v>
      </c>
      <c r="H311" s="11">
        <v>45986</v>
      </c>
      <c r="I311" t="s">
        <v>13</v>
      </c>
      <c r="J311" s="12">
        <v>8</v>
      </c>
      <c r="K311" s="3">
        <v>254.24</v>
      </c>
      <c r="L311" s="3">
        <f t="shared" si="44"/>
        <v>31.78</v>
      </c>
      <c r="M311" s="13"/>
      <c r="N311">
        <f>_xlfn.XLOOKUP(G311,'Tarievensheet per persoon'!AE:AE,'Tarievensheet per persoon'!AF:AF)</f>
        <v>1.7024999999999999</v>
      </c>
      <c r="O311">
        <f>_xlfn.XLOOKUP(G311,AE:AE,'Tarievensheet per persoon'!AG:AG)</f>
        <v>1.5642</v>
      </c>
      <c r="P311">
        <f>_xlfn.XLOOKUP(G311,AE:AE,'Tarievensheet per persoon'!AH:AH)</f>
        <v>1.3552</v>
      </c>
      <c r="Q311">
        <f>_xlfn.XLOOKUP(G311,AE:AE,'Tarievensheet per persoon'!AI:AI)</f>
        <v>1.3552</v>
      </c>
      <c r="R311">
        <v>0</v>
      </c>
      <c r="S311" s="14">
        <v>2.99</v>
      </c>
      <c r="T311" s="10">
        <f t="shared" si="45"/>
        <v>31.779274999999998</v>
      </c>
      <c r="U311" s="10">
        <f t="shared" si="46"/>
        <v>40.507980259999997</v>
      </c>
      <c r="V311" s="10">
        <f t="shared" si="47"/>
        <v>41.036992699999999</v>
      </c>
      <c r="W311" s="10">
        <f t="shared" si="48"/>
        <v>52.939772599999998</v>
      </c>
      <c r="X311" s="10">
        <f t="shared" si="49"/>
        <v>58.229896999999994</v>
      </c>
      <c r="Y311" s="10">
        <f t="shared" si="50"/>
        <v>84.680519000000004</v>
      </c>
      <c r="Z311" s="10">
        <f t="shared" si="51"/>
        <v>30.242643199999996</v>
      </c>
      <c r="AA311" s="10">
        <f t="shared" si="52"/>
        <v>38.883398399999997</v>
      </c>
      <c r="AB311" s="10">
        <f t="shared" si="53"/>
        <v>43.203775999999998</v>
      </c>
      <c r="AC311" s="10">
        <f t="shared" si="54"/>
        <v>64.805663999999993</v>
      </c>
    </row>
    <row r="312" spans="1:29" x14ac:dyDescent="0.25">
      <c r="A312">
        <v>414172</v>
      </c>
      <c r="B312" t="s">
        <v>112</v>
      </c>
      <c r="C312" s="10">
        <v>16.91</v>
      </c>
      <c r="D312" s="10">
        <v>15.94</v>
      </c>
      <c r="E312" s="10">
        <v>0</v>
      </c>
      <c r="F312">
        <v>19</v>
      </c>
      <c r="G312" t="s">
        <v>15</v>
      </c>
      <c r="H312" s="11">
        <v>45987</v>
      </c>
      <c r="I312" t="s">
        <v>13</v>
      </c>
      <c r="J312" s="12">
        <v>9.5</v>
      </c>
      <c r="K312" s="3">
        <v>301.91000000000003</v>
      </c>
      <c r="L312" s="3">
        <f t="shared" si="44"/>
        <v>31.78</v>
      </c>
      <c r="M312" s="13"/>
      <c r="N312">
        <f>_xlfn.XLOOKUP(G312,'Tarievensheet per persoon'!AE:AE,'Tarievensheet per persoon'!AF:AF)</f>
        <v>1.7024999999999999</v>
      </c>
      <c r="O312">
        <f>_xlfn.XLOOKUP(G312,AE:AE,'Tarievensheet per persoon'!AG:AG)</f>
        <v>1.5642</v>
      </c>
      <c r="P312">
        <f>_xlfn.XLOOKUP(G312,AE:AE,'Tarievensheet per persoon'!AH:AH)</f>
        <v>1.3552</v>
      </c>
      <c r="Q312">
        <f>_xlfn.XLOOKUP(G312,AE:AE,'Tarievensheet per persoon'!AI:AI)</f>
        <v>1.3552</v>
      </c>
      <c r="R312">
        <v>0</v>
      </c>
      <c r="S312" s="14">
        <v>2.99</v>
      </c>
      <c r="T312" s="10">
        <f t="shared" si="45"/>
        <v>31.779274999999998</v>
      </c>
      <c r="U312" s="10">
        <f t="shared" si="46"/>
        <v>40.507980259999997</v>
      </c>
      <c r="V312" s="10">
        <f t="shared" si="47"/>
        <v>41.036992699999999</v>
      </c>
      <c r="W312" s="10">
        <f t="shared" si="48"/>
        <v>52.939772599999998</v>
      </c>
      <c r="X312" s="10">
        <f t="shared" si="49"/>
        <v>58.229896999999994</v>
      </c>
      <c r="Y312" s="10">
        <f t="shared" si="50"/>
        <v>84.680519000000004</v>
      </c>
      <c r="Z312" s="10">
        <f t="shared" si="51"/>
        <v>30.242643199999996</v>
      </c>
      <c r="AA312" s="10">
        <f t="shared" si="52"/>
        <v>38.883398399999997</v>
      </c>
      <c r="AB312" s="10">
        <f t="shared" si="53"/>
        <v>43.203775999999998</v>
      </c>
      <c r="AC312" s="10">
        <f t="shared" si="54"/>
        <v>64.805663999999993</v>
      </c>
    </row>
    <row r="313" spans="1:29" x14ac:dyDescent="0.25">
      <c r="A313">
        <v>414172</v>
      </c>
      <c r="B313" t="s">
        <v>112</v>
      </c>
      <c r="C313" s="10">
        <v>16.91</v>
      </c>
      <c r="D313" s="10">
        <v>15.94</v>
      </c>
      <c r="E313" s="10">
        <v>0</v>
      </c>
      <c r="F313">
        <v>19</v>
      </c>
      <c r="G313" t="s">
        <v>15</v>
      </c>
      <c r="H313" s="11">
        <v>45988</v>
      </c>
      <c r="I313" t="s">
        <v>13</v>
      </c>
      <c r="J313" s="12">
        <v>6.75</v>
      </c>
      <c r="K313" s="3">
        <v>214.52</v>
      </c>
      <c r="L313" s="3">
        <f t="shared" si="44"/>
        <v>31.780740740740743</v>
      </c>
      <c r="M313" s="13"/>
      <c r="N313">
        <f>_xlfn.XLOOKUP(G313,'Tarievensheet per persoon'!AE:AE,'Tarievensheet per persoon'!AF:AF)</f>
        <v>1.7024999999999999</v>
      </c>
      <c r="O313">
        <f>_xlfn.XLOOKUP(G313,AE:AE,'Tarievensheet per persoon'!AG:AG)</f>
        <v>1.5642</v>
      </c>
      <c r="P313">
        <f>_xlfn.XLOOKUP(G313,AE:AE,'Tarievensheet per persoon'!AH:AH)</f>
        <v>1.3552</v>
      </c>
      <c r="Q313">
        <f>_xlfn.XLOOKUP(G313,AE:AE,'Tarievensheet per persoon'!AI:AI)</f>
        <v>1.3552</v>
      </c>
      <c r="R313">
        <v>0</v>
      </c>
      <c r="S313" s="14">
        <v>2.99</v>
      </c>
      <c r="T313" s="10">
        <f t="shared" si="45"/>
        <v>31.779274999999998</v>
      </c>
      <c r="U313" s="10">
        <f t="shared" si="46"/>
        <v>40.507980259999997</v>
      </c>
      <c r="V313" s="10">
        <f t="shared" si="47"/>
        <v>41.036992699999999</v>
      </c>
      <c r="W313" s="10">
        <f t="shared" si="48"/>
        <v>52.939772599999998</v>
      </c>
      <c r="X313" s="10">
        <f t="shared" si="49"/>
        <v>58.229896999999994</v>
      </c>
      <c r="Y313" s="10">
        <f t="shared" si="50"/>
        <v>84.680519000000004</v>
      </c>
      <c r="Z313" s="10">
        <f t="shared" si="51"/>
        <v>30.242643199999996</v>
      </c>
      <c r="AA313" s="10">
        <f t="shared" si="52"/>
        <v>38.883398399999997</v>
      </c>
      <c r="AB313" s="10">
        <f t="shared" si="53"/>
        <v>43.203775999999998</v>
      </c>
      <c r="AC313" s="10">
        <f t="shared" si="54"/>
        <v>64.805663999999993</v>
      </c>
    </row>
    <row r="314" spans="1:29" x14ac:dyDescent="0.25">
      <c r="A314">
        <v>414172</v>
      </c>
      <c r="B314" t="s">
        <v>112</v>
      </c>
      <c r="C314" s="10">
        <v>16.91</v>
      </c>
      <c r="D314" s="10">
        <v>15.94</v>
      </c>
      <c r="E314" s="10">
        <v>0</v>
      </c>
      <c r="F314">
        <v>19</v>
      </c>
      <c r="G314" t="s">
        <v>15</v>
      </c>
      <c r="H314" s="11">
        <v>45988</v>
      </c>
      <c r="I314" t="s">
        <v>23</v>
      </c>
      <c r="J314" s="12">
        <v>3.75</v>
      </c>
      <c r="K314" s="3">
        <v>113.4</v>
      </c>
      <c r="L314" s="3">
        <f t="shared" si="44"/>
        <v>30.240000000000002</v>
      </c>
      <c r="M314" s="13"/>
      <c r="N314">
        <f>_xlfn.XLOOKUP(G314,'Tarievensheet per persoon'!AE:AE,'Tarievensheet per persoon'!AF:AF)</f>
        <v>1.7024999999999999</v>
      </c>
      <c r="O314">
        <f>_xlfn.XLOOKUP(G314,AE:AE,'Tarievensheet per persoon'!AG:AG)</f>
        <v>1.5642</v>
      </c>
      <c r="P314">
        <f>_xlfn.XLOOKUP(G314,AE:AE,'Tarievensheet per persoon'!AH:AH)</f>
        <v>1.3552</v>
      </c>
      <c r="Q314">
        <f>_xlfn.XLOOKUP(G314,AE:AE,'Tarievensheet per persoon'!AI:AI)</f>
        <v>1.3552</v>
      </c>
      <c r="R314">
        <v>0</v>
      </c>
      <c r="S314" s="14">
        <v>2.99</v>
      </c>
      <c r="T314" s="10">
        <f t="shared" si="45"/>
        <v>31.779274999999998</v>
      </c>
      <c r="U314" s="10">
        <f t="shared" si="46"/>
        <v>40.507980259999997</v>
      </c>
      <c r="V314" s="10">
        <f t="shared" si="47"/>
        <v>41.036992699999999</v>
      </c>
      <c r="W314" s="10">
        <f t="shared" si="48"/>
        <v>52.939772599999998</v>
      </c>
      <c r="X314" s="10">
        <f t="shared" si="49"/>
        <v>58.229896999999994</v>
      </c>
      <c r="Y314" s="10">
        <f t="shared" si="50"/>
        <v>84.680519000000004</v>
      </c>
      <c r="Z314" s="10">
        <f t="shared" si="51"/>
        <v>30.242643199999996</v>
      </c>
      <c r="AA314" s="10">
        <f t="shared" si="52"/>
        <v>38.883398399999997</v>
      </c>
      <c r="AB314" s="10">
        <f t="shared" si="53"/>
        <v>43.203775999999998</v>
      </c>
      <c r="AC314" s="10">
        <f t="shared" si="54"/>
        <v>64.805663999999993</v>
      </c>
    </row>
    <row r="315" spans="1:29" x14ac:dyDescent="0.25">
      <c r="A315">
        <v>414172</v>
      </c>
      <c r="B315" t="s">
        <v>112</v>
      </c>
      <c r="C315" s="10">
        <v>16.91</v>
      </c>
      <c r="D315" s="10">
        <v>15.94</v>
      </c>
      <c r="E315" s="10">
        <v>0</v>
      </c>
      <c r="F315">
        <v>19</v>
      </c>
      <c r="G315" t="s">
        <v>15</v>
      </c>
      <c r="H315" s="11">
        <v>45989</v>
      </c>
      <c r="I315" t="s">
        <v>13</v>
      </c>
      <c r="J315" s="12">
        <v>5.75</v>
      </c>
      <c r="K315" s="3">
        <v>182.74</v>
      </c>
      <c r="L315" s="3">
        <f t="shared" si="44"/>
        <v>31.780869565217394</v>
      </c>
      <c r="M315" s="13"/>
      <c r="N315">
        <f>_xlfn.XLOOKUP(G315,'Tarievensheet per persoon'!AE:AE,'Tarievensheet per persoon'!AF:AF)</f>
        <v>1.7024999999999999</v>
      </c>
      <c r="O315">
        <f>_xlfn.XLOOKUP(G315,AE:AE,'Tarievensheet per persoon'!AG:AG)</f>
        <v>1.5642</v>
      </c>
      <c r="P315">
        <f>_xlfn.XLOOKUP(G315,AE:AE,'Tarievensheet per persoon'!AH:AH)</f>
        <v>1.3552</v>
      </c>
      <c r="Q315">
        <f>_xlfn.XLOOKUP(G315,AE:AE,'Tarievensheet per persoon'!AI:AI)</f>
        <v>1.3552</v>
      </c>
      <c r="R315">
        <v>0</v>
      </c>
      <c r="S315" s="14">
        <v>2.99</v>
      </c>
      <c r="T315" s="10">
        <f t="shared" si="45"/>
        <v>31.779274999999998</v>
      </c>
      <c r="U315" s="10">
        <f t="shared" si="46"/>
        <v>40.507980259999997</v>
      </c>
      <c r="V315" s="10">
        <f t="shared" si="47"/>
        <v>41.036992699999999</v>
      </c>
      <c r="W315" s="10">
        <f t="shared" si="48"/>
        <v>52.939772599999998</v>
      </c>
      <c r="X315" s="10">
        <f t="shared" si="49"/>
        <v>58.229896999999994</v>
      </c>
      <c r="Y315" s="10">
        <f t="shared" si="50"/>
        <v>84.680519000000004</v>
      </c>
      <c r="Z315" s="10">
        <f t="shared" si="51"/>
        <v>30.242643199999996</v>
      </c>
      <c r="AA315" s="10">
        <f t="shared" si="52"/>
        <v>38.883398399999997</v>
      </c>
      <c r="AB315" s="10">
        <f t="shared" si="53"/>
        <v>43.203775999999998</v>
      </c>
      <c r="AC315" s="10">
        <f t="shared" si="54"/>
        <v>64.805663999999993</v>
      </c>
    </row>
    <row r="316" spans="1:29" x14ac:dyDescent="0.25">
      <c r="A316">
        <v>414770</v>
      </c>
      <c r="B316" t="s">
        <v>113</v>
      </c>
      <c r="C316" s="10">
        <v>15.89</v>
      </c>
      <c r="D316" s="10">
        <v>14.98</v>
      </c>
      <c r="E316" s="10">
        <v>0</v>
      </c>
      <c r="F316">
        <v>71</v>
      </c>
      <c r="G316" t="s">
        <v>19</v>
      </c>
      <c r="H316" s="11">
        <v>45985</v>
      </c>
      <c r="I316" t="s">
        <v>13</v>
      </c>
      <c r="J316" s="12">
        <v>8</v>
      </c>
      <c r="K316" s="3">
        <v>240.88</v>
      </c>
      <c r="L316" s="3">
        <f t="shared" si="44"/>
        <v>30.11</v>
      </c>
      <c r="M316" s="13"/>
      <c r="N316">
        <f>_xlfn.XLOOKUP(G316,'Tarievensheet per persoon'!AE:AE,'Tarievensheet per persoon'!AF:AF)</f>
        <v>1.7068000000000001</v>
      </c>
      <c r="O316">
        <f>_xlfn.XLOOKUP(G316,AE:AE,'Tarievensheet per persoon'!AG:AG)</f>
        <v>1.5528</v>
      </c>
      <c r="P316">
        <f>_xlfn.XLOOKUP(G316,AE:AE,'Tarievensheet per persoon'!AH:AH)</f>
        <v>1.3391999999999999</v>
      </c>
      <c r="Q316">
        <f>_xlfn.XLOOKUP(G316,AE:AE,'Tarievensheet per persoon'!AI:AI)</f>
        <v>1.3391999999999999</v>
      </c>
      <c r="R316">
        <v>0</v>
      </c>
      <c r="S316" s="14">
        <v>2.99</v>
      </c>
      <c r="T316" s="10">
        <f t="shared" si="45"/>
        <v>30.111052000000001</v>
      </c>
      <c r="U316" s="10">
        <f t="shared" si="46"/>
        <v>38.253469360000004</v>
      </c>
      <c r="V316" s="10">
        <f t="shared" si="47"/>
        <v>38.746949200000003</v>
      </c>
      <c r="W316" s="10">
        <f t="shared" si="48"/>
        <v>49.850245600000001</v>
      </c>
      <c r="X316" s="10">
        <f t="shared" si="49"/>
        <v>54.785043999999999</v>
      </c>
      <c r="Y316" s="10">
        <f t="shared" si="50"/>
        <v>79.459035999999998</v>
      </c>
      <c r="Z316" s="10">
        <f t="shared" si="51"/>
        <v>28.085702399999995</v>
      </c>
      <c r="AA316" s="10">
        <f t="shared" si="52"/>
        <v>36.110188800000003</v>
      </c>
      <c r="AB316" s="10">
        <f t="shared" si="53"/>
        <v>40.122431999999996</v>
      </c>
      <c r="AC316" s="10">
        <f t="shared" si="54"/>
        <v>60.183647999999998</v>
      </c>
    </row>
    <row r="317" spans="1:29" x14ac:dyDescent="0.25">
      <c r="A317">
        <v>414770</v>
      </c>
      <c r="B317" t="s">
        <v>113</v>
      </c>
      <c r="C317" s="10">
        <v>15.89</v>
      </c>
      <c r="D317" s="10">
        <v>14.98</v>
      </c>
      <c r="E317" s="10">
        <v>0</v>
      </c>
      <c r="F317">
        <v>71</v>
      </c>
      <c r="G317" t="s">
        <v>19</v>
      </c>
      <c r="H317" s="11">
        <v>45986</v>
      </c>
      <c r="I317" t="s">
        <v>13</v>
      </c>
      <c r="J317" s="12">
        <v>7.75</v>
      </c>
      <c r="K317" s="3">
        <v>233.35</v>
      </c>
      <c r="L317" s="3">
        <f t="shared" si="44"/>
        <v>30.109677419354838</v>
      </c>
      <c r="M317" s="13"/>
      <c r="N317">
        <f>_xlfn.XLOOKUP(G317,'Tarievensheet per persoon'!AE:AE,'Tarievensheet per persoon'!AF:AF)</f>
        <v>1.7068000000000001</v>
      </c>
      <c r="O317">
        <f>_xlfn.XLOOKUP(G317,AE:AE,'Tarievensheet per persoon'!AG:AG)</f>
        <v>1.5528</v>
      </c>
      <c r="P317">
        <f>_xlfn.XLOOKUP(G317,AE:AE,'Tarievensheet per persoon'!AH:AH)</f>
        <v>1.3391999999999999</v>
      </c>
      <c r="Q317">
        <f>_xlfn.XLOOKUP(G317,AE:AE,'Tarievensheet per persoon'!AI:AI)</f>
        <v>1.3391999999999999</v>
      </c>
      <c r="R317">
        <v>0</v>
      </c>
      <c r="S317" s="14">
        <v>2.99</v>
      </c>
      <c r="T317" s="10">
        <f t="shared" si="45"/>
        <v>30.111052000000001</v>
      </c>
      <c r="U317" s="10">
        <f t="shared" si="46"/>
        <v>38.253469360000004</v>
      </c>
      <c r="V317" s="10">
        <f t="shared" si="47"/>
        <v>38.746949200000003</v>
      </c>
      <c r="W317" s="10">
        <f t="shared" si="48"/>
        <v>49.850245600000001</v>
      </c>
      <c r="X317" s="10">
        <f t="shared" si="49"/>
        <v>54.785043999999999</v>
      </c>
      <c r="Y317" s="10">
        <f t="shared" si="50"/>
        <v>79.459035999999998</v>
      </c>
      <c r="Z317" s="10">
        <f t="shared" si="51"/>
        <v>28.085702399999995</v>
      </c>
      <c r="AA317" s="10">
        <f t="shared" si="52"/>
        <v>36.110188800000003</v>
      </c>
      <c r="AB317" s="10">
        <f t="shared" si="53"/>
        <v>40.122431999999996</v>
      </c>
      <c r="AC317" s="10">
        <f t="shared" si="54"/>
        <v>60.183647999999998</v>
      </c>
    </row>
    <row r="318" spans="1:29" x14ac:dyDescent="0.25">
      <c r="A318">
        <v>414770</v>
      </c>
      <c r="B318" t="s">
        <v>113</v>
      </c>
      <c r="C318" s="10">
        <v>15.89</v>
      </c>
      <c r="D318" s="10">
        <v>14.98</v>
      </c>
      <c r="E318" s="10">
        <v>0</v>
      </c>
      <c r="F318">
        <v>71</v>
      </c>
      <c r="G318" t="s">
        <v>19</v>
      </c>
      <c r="H318" s="11">
        <v>45987</v>
      </c>
      <c r="I318" t="s">
        <v>13</v>
      </c>
      <c r="J318" s="12">
        <v>8.5</v>
      </c>
      <c r="K318" s="3">
        <v>255.94</v>
      </c>
      <c r="L318" s="3">
        <f t="shared" si="44"/>
        <v>30.110588235294117</v>
      </c>
      <c r="M318" s="13"/>
      <c r="N318">
        <f>_xlfn.XLOOKUP(G318,'Tarievensheet per persoon'!AE:AE,'Tarievensheet per persoon'!AF:AF)</f>
        <v>1.7068000000000001</v>
      </c>
      <c r="O318">
        <f>_xlfn.XLOOKUP(G318,AE:AE,'Tarievensheet per persoon'!AG:AG)</f>
        <v>1.5528</v>
      </c>
      <c r="P318">
        <f>_xlfn.XLOOKUP(G318,AE:AE,'Tarievensheet per persoon'!AH:AH)</f>
        <v>1.3391999999999999</v>
      </c>
      <c r="Q318">
        <f>_xlfn.XLOOKUP(G318,AE:AE,'Tarievensheet per persoon'!AI:AI)</f>
        <v>1.3391999999999999</v>
      </c>
      <c r="R318">
        <v>0</v>
      </c>
      <c r="S318" s="14">
        <v>2.99</v>
      </c>
      <c r="T318" s="10">
        <f t="shared" si="45"/>
        <v>30.111052000000001</v>
      </c>
      <c r="U318" s="10">
        <f t="shared" si="46"/>
        <v>38.253469360000004</v>
      </c>
      <c r="V318" s="10">
        <f t="shared" si="47"/>
        <v>38.746949200000003</v>
      </c>
      <c r="W318" s="10">
        <f t="shared" si="48"/>
        <v>49.850245600000001</v>
      </c>
      <c r="X318" s="10">
        <f t="shared" si="49"/>
        <v>54.785043999999999</v>
      </c>
      <c r="Y318" s="10">
        <f t="shared" si="50"/>
        <v>79.459035999999998</v>
      </c>
      <c r="Z318" s="10">
        <f t="shared" si="51"/>
        <v>28.085702399999995</v>
      </c>
      <c r="AA318" s="10">
        <f t="shared" si="52"/>
        <v>36.110188800000003</v>
      </c>
      <c r="AB318" s="10">
        <f t="shared" si="53"/>
        <v>40.122431999999996</v>
      </c>
      <c r="AC318" s="10">
        <f t="shared" si="54"/>
        <v>60.183647999999998</v>
      </c>
    </row>
    <row r="319" spans="1:29" x14ac:dyDescent="0.25">
      <c r="A319">
        <v>414770</v>
      </c>
      <c r="B319" t="s">
        <v>113</v>
      </c>
      <c r="C319" s="10">
        <v>15.89</v>
      </c>
      <c r="D319" s="10">
        <v>14.98</v>
      </c>
      <c r="E319" s="10">
        <v>0</v>
      </c>
      <c r="F319">
        <v>71</v>
      </c>
      <c r="G319" t="s">
        <v>19</v>
      </c>
      <c r="H319" s="11">
        <v>45988</v>
      </c>
      <c r="I319" t="s">
        <v>13</v>
      </c>
      <c r="J319" s="12">
        <v>8</v>
      </c>
      <c r="K319" s="3">
        <v>240.88</v>
      </c>
      <c r="L319" s="3">
        <f t="shared" si="44"/>
        <v>30.11</v>
      </c>
      <c r="M319" s="13"/>
      <c r="N319">
        <f>_xlfn.XLOOKUP(G319,'Tarievensheet per persoon'!AE:AE,'Tarievensheet per persoon'!AF:AF)</f>
        <v>1.7068000000000001</v>
      </c>
      <c r="O319">
        <f>_xlfn.XLOOKUP(G319,AE:AE,'Tarievensheet per persoon'!AG:AG)</f>
        <v>1.5528</v>
      </c>
      <c r="P319">
        <f>_xlfn.XLOOKUP(G319,AE:AE,'Tarievensheet per persoon'!AH:AH)</f>
        <v>1.3391999999999999</v>
      </c>
      <c r="Q319">
        <f>_xlfn.XLOOKUP(G319,AE:AE,'Tarievensheet per persoon'!AI:AI)</f>
        <v>1.3391999999999999</v>
      </c>
      <c r="R319">
        <v>0</v>
      </c>
      <c r="S319" s="14">
        <v>2.99</v>
      </c>
      <c r="T319" s="10">
        <f t="shared" si="45"/>
        <v>30.111052000000001</v>
      </c>
      <c r="U319" s="10">
        <f t="shared" si="46"/>
        <v>38.253469360000004</v>
      </c>
      <c r="V319" s="10">
        <f t="shared" si="47"/>
        <v>38.746949200000003</v>
      </c>
      <c r="W319" s="10">
        <f t="shared" si="48"/>
        <v>49.850245600000001</v>
      </c>
      <c r="X319" s="10">
        <f t="shared" si="49"/>
        <v>54.785043999999999</v>
      </c>
      <c r="Y319" s="10">
        <f t="shared" si="50"/>
        <v>79.459035999999998</v>
      </c>
      <c r="Z319" s="10">
        <f t="shared" si="51"/>
        <v>28.085702399999995</v>
      </c>
      <c r="AA319" s="10">
        <f t="shared" si="52"/>
        <v>36.110188800000003</v>
      </c>
      <c r="AB319" s="10">
        <f t="shared" si="53"/>
        <v>40.122431999999996</v>
      </c>
      <c r="AC319" s="10">
        <f t="shared" si="54"/>
        <v>60.183647999999998</v>
      </c>
    </row>
    <row r="320" spans="1:29" x14ac:dyDescent="0.25">
      <c r="A320">
        <v>414835</v>
      </c>
      <c r="B320" t="s">
        <v>114</v>
      </c>
      <c r="C320" s="10">
        <v>15.89</v>
      </c>
      <c r="D320" s="10">
        <v>14.98</v>
      </c>
      <c r="E320" s="10">
        <v>0</v>
      </c>
      <c r="F320">
        <v>71</v>
      </c>
      <c r="G320" t="s">
        <v>19</v>
      </c>
      <c r="H320" s="11">
        <v>45985</v>
      </c>
      <c r="I320" t="s">
        <v>13</v>
      </c>
      <c r="J320" s="12">
        <v>8</v>
      </c>
      <c r="K320" s="3">
        <v>240.88</v>
      </c>
      <c r="L320" s="3">
        <f t="shared" si="44"/>
        <v>30.11</v>
      </c>
      <c r="M320" s="13"/>
      <c r="N320">
        <f>_xlfn.XLOOKUP(G320,'Tarievensheet per persoon'!AE:AE,'Tarievensheet per persoon'!AF:AF)</f>
        <v>1.7068000000000001</v>
      </c>
      <c r="O320">
        <f>_xlfn.XLOOKUP(G320,AE:AE,'Tarievensheet per persoon'!AG:AG)</f>
        <v>1.5528</v>
      </c>
      <c r="P320">
        <f>_xlfn.XLOOKUP(G320,AE:AE,'Tarievensheet per persoon'!AH:AH)</f>
        <v>1.3391999999999999</v>
      </c>
      <c r="Q320">
        <f>_xlfn.XLOOKUP(G320,AE:AE,'Tarievensheet per persoon'!AI:AI)</f>
        <v>1.3391999999999999</v>
      </c>
      <c r="R320">
        <v>0</v>
      </c>
      <c r="S320" s="14">
        <v>2.99</v>
      </c>
      <c r="T320" s="10">
        <f t="shared" si="45"/>
        <v>30.111052000000001</v>
      </c>
      <c r="U320" s="10">
        <f t="shared" si="46"/>
        <v>38.253469360000004</v>
      </c>
      <c r="V320" s="10">
        <f t="shared" si="47"/>
        <v>38.746949200000003</v>
      </c>
      <c r="W320" s="10">
        <f t="shared" si="48"/>
        <v>49.850245600000001</v>
      </c>
      <c r="X320" s="10">
        <f t="shared" si="49"/>
        <v>54.785043999999999</v>
      </c>
      <c r="Y320" s="10">
        <f t="shared" si="50"/>
        <v>79.459035999999998</v>
      </c>
      <c r="Z320" s="10">
        <f t="shared" si="51"/>
        <v>28.085702399999995</v>
      </c>
      <c r="AA320" s="10">
        <f t="shared" si="52"/>
        <v>36.110188800000003</v>
      </c>
      <c r="AB320" s="10">
        <f t="shared" si="53"/>
        <v>40.122431999999996</v>
      </c>
      <c r="AC320" s="10">
        <f t="shared" si="54"/>
        <v>60.183647999999998</v>
      </c>
    </row>
    <row r="321" spans="1:29" x14ac:dyDescent="0.25">
      <c r="A321">
        <v>414835</v>
      </c>
      <c r="B321" t="s">
        <v>114</v>
      </c>
      <c r="C321" s="10">
        <v>15.89</v>
      </c>
      <c r="D321" s="10">
        <v>14.98</v>
      </c>
      <c r="E321" s="10">
        <v>0</v>
      </c>
      <c r="F321">
        <v>71</v>
      </c>
      <c r="G321" t="s">
        <v>19</v>
      </c>
      <c r="H321" s="11">
        <v>45986</v>
      </c>
      <c r="I321" t="s">
        <v>13</v>
      </c>
      <c r="J321" s="12">
        <v>7.75</v>
      </c>
      <c r="K321" s="3">
        <v>233.35</v>
      </c>
      <c r="L321" s="3">
        <f t="shared" si="44"/>
        <v>30.109677419354838</v>
      </c>
      <c r="M321" s="13"/>
      <c r="N321">
        <f>_xlfn.XLOOKUP(G321,'Tarievensheet per persoon'!AE:AE,'Tarievensheet per persoon'!AF:AF)</f>
        <v>1.7068000000000001</v>
      </c>
      <c r="O321">
        <f>_xlfn.XLOOKUP(G321,AE:AE,'Tarievensheet per persoon'!AG:AG)</f>
        <v>1.5528</v>
      </c>
      <c r="P321">
        <f>_xlfn.XLOOKUP(G321,AE:AE,'Tarievensheet per persoon'!AH:AH)</f>
        <v>1.3391999999999999</v>
      </c>
      <c r="Q321">
        <f>_xlfn.XLOOKUP(G321,AE:AE,'Tarievensheet per persoon'!AI:AI)</f>
        <v>1.3391999999999999</v>
      </c>
      <c r="R321">
        <v>0</v>
      </c>
      <c r="S321" s="14">
        <v>2.99</v>
      </c>
      <c r="T321" s="10">
        <f t="shared" si="45"/>
        <v>30.111052000000001</v>
      </c>
      <c r="U321" s="10">
        <f t="shared" si="46"/>
        <v>38.253469360000004</v>
      </c>
      <c r="V321" s="10">
        <f t="shared" si="47"/>
        <v>38.746949200000003</v>
      </c>
      <c r="W321" s="10">
        <f t="shared" si="48"/>
        <v>49.850245600000001</v>
      </c>
      <c r="X321" s="10">
        <f t="shared" si="49"/>
        <v>54.785043999999999</v>
      </c>
      <c r="Y321" s="10">
        <f t="shared" si="50"/>
        <v>79.459035999999998</v>
      </c>
      <c r="Z321" s="10">
        <f t="shared" si="51"/>
        <v>28.085702399999995</v>
      </c>
      <c r="AA321" s="10">
        <f t="shared" si="52"/>
        <v>36.110188800000003</v>
      </c>
      <c r="AB321" s="10">
        <f t="shared" si="53"/>
        <v>40.122431999999996</v>
      </c>
      <c r="AC321" s="10">
        <f t="shared" si="54"/>
        <v>60.183647999999998</v>
      </c>
    </row>
    <row r="322" spans="1:29" x14ac:dyDescent="0.25">
      <c r="A322">
        <v>414835</v>
      </c>
      <c r="B322" t="s">
        <v>114</v>
      </c>
      <c r="C322" s="10">
        <v>15.89</v>
      </c>
      <c r="D322" s="10">
        <v>14.98</v>
      </c>
      <c r="E322" s="10">
        <v>0</v>
      </c>
      <c r="F322">
        <v>71</v>
      </c>
      <c r="G322" t="s">
        <v>19</v>
      </c>
      <c r="H322" s="11">
        <v>45987</v>
      </c>
      <c r="I322" t="s">
        <v>13</v>
      </c>
      <c r="J322" s="12">
        <v>9</v>
      </c>
      <c r="K322" s="3">
        <v>270.99</v>
      </c>
      <c r="L322" s="3">
        <f t="shared" si="44"/>
        <v>30.11</v>
      </c>
      <c r="M322" s="13"/>
      <c r="N322">
        <f>_xlfn.XLOOKUP(G322,'Tarievensheet per persoon'!AE:AE,'Tarievensheet per persoon'!AF:AF)</f>
        <v>1.7068000000000001</v>
      </c>
      <c r="O322">
        <f>_xlfn.XLOOKUP(G322,AE:AE,'Tarievensheet per persoon'!AG:AG)</f>
        <v>1.5528</v>
      </c>
      <c r="P322">
        <f>_xlfn.XLOOKUP(G322,AE:AE,'Tarievensheet per persoon'!AH:AH)</f>
        <v>1.3391999999999999</v>
      </c>
      <c r="Q322">
        <f>_xlfn.XLOOKUP(G322,AE:AE,'Tarievensheet per persoon'!AI:AI)</f>
        <v>1.3391999999999999</v>
      </c>
      <c r="R322">
        <v>0</v>
      </c>
      <c r="S322" s="14">
        <v>2.99</v>
      </c>
      <c r="T322" s="10">
        <f t="shared" si="45"/>
        <v>30.111052000000001</v>
      </c>
      <c r="U322" s="10">
        <f t="shared" si="46"/>
        <v>38.253469360000004</v>
      </c>
      <c r="V322" s="10">
        <f t="shared" si="47"/>
        <v>38.746949200000003</v>
      </c>
      <c r="W322" s="10">
        <f t="shared" si="48"/>
        <v>49.850245600000001</v>
      </c>
      <c r="X322" s="10">
        <f t="shared" si="49"/>
        <v>54.785043999999999</v>
      </c>
      <c r="Y322" s="10">
        <f t="shared" si="50"/>
        <v>79.459035999999998</v>
      </c>
      <c r="Z322" s="10">
        <f t="shared" si="51"/>
        <v>28.085702399999995</v>
      </c>
      <c r="AA322" s="10">
        <f t="shared" si="52"/>
        <v>36.110188800000003</v>
      </c>
      <c r="AB322" s="10">
        <f t="shared" si="53"/>
        <v>40.122431999999996</v>
      </c>
      <c r="AC322" s="10">
        <f t="shared" si="54"/>
        <v>60.183647999999998</v>
      </c>
    </row>
    <row r="323" spans="1:29" x14ac:dyDescent="0.25">
      <c r="A323">
        <v>414835</v>
      </c>
      <c r="B323" t="s">
        <v>114</v>
      </c>
      <c r="C323" s="10">
        <v>15.89</v>
      </c>
      <c r="D323" s="10">
        <v>14.98</v>
      </c>
      <c r="E323" s="10">
        <v>0</v>
      </c>
      <c r="F323">
        <v>71</v>
      </c>
      <c r="G323" t="s">
        <v>19</v>
      </c>
      <c r="H323" s="11">
        <v>45988</v>
      </c>
      <c r="I323" t="s">
        <v>13</v>
      </c>
      <c r="J323" s="12">
        <v>8</v>
      </c>
      <c r="K323" s="3">
        <v>240.88</v>
      </c>
      <c r="L323" s="3">
        <f t="shared" ref="L323:L386" si="55">K323/J323</f>
        <v>30.11</v>
      </c>
      <c r="M323" s="13"/>
      <c r="N323">
        <f>_xlfn.XLOOKUP(G323,'Tarievensheet per persoon'!AE:AE,'Tarievensheet per persoon'!AF:AF)</f>
        <v>1.7068000000000001</v>
      </c>
      <c r="O323">
        <f>_xlfn.XLOOKUP(G323,AE:AE,'Tarievensheet per persoon'!AG:AG)</f>
        <v>1.5528</v>
      </c>
      <c r="P323">
        <f>_xlfn.XLOOKUP(G323,AE:AE,'Tarievensheet per persoon'!AH:AH)</f>
        <v>1.3391999999999999</v>
      </c>
      <c r="Q323">
        <f>_xlfn.XLOOKUP(G323,AE:AE,'Tarievensheet per persoon'!AI:AI)</f>
        <v>1.3391999999999999</v>
      </c>
      <c r="R323">
        <v>0</v>
      </c>
      <c r="S323" s="14">
        <v>2.99</v>
      </c>
      <c r="T323" s="10">
        <f t="shared" ref="T323:T386" si="56">C323*N323+C323*Q323*R323+S323+(E323*O323)</f>
        <v>30.111052000000001</v>
      </c>
      <c r="U323" s="10">
        <f t="shared" ref="U323:U386" si="57">T323+C323*(U$1-1)*O323</f>
        <v>38.253469360000004</v>
      </c>
      <c r="V323" s="10">
        <f t="shared" ref="V323:V386" si="58">T323+C323*(V$1-1)*O323</f>
        <v>38.746949200000003</v>
      </c>
      <c r="W323" s="10">
        <f t="shared" ref="W323:W386" si="59">T323+C323*(W$1-1)*O323</f>
        <v>49.850245600000001</v>
      </c>
      <c r="X323" s="10">
        <f t="shared" ref="X323:X386" si="60">T323+C323*(X$1-1)*O323</f>
        <v>54.785043999999999</v>
      </c>
      <c r="Y323" s="10">
        <f t="shared" ref="Y323:Y386" si="61">T323+C323*(Y$1-1)*O323</f>
        <v>79.459035999999998</v>
      </c>
      <c r="Z323" s="10">
        <f t="shared" ref="Z323:Z386" si="62">D323*Z$1*P323</f>
        <v>28.085702399999995</v>
      </c>
      <c r="AA323" s="10">
        <f t="shared" ref="AA323:AA386" si="63">D323*AA$1*P323</f>
        <v>36.110188800000003</v>
      </c>
      <c r="AB323" s="10">
        <f t="shared" ref="AB323:AB386" si="64">D323*AB$1*P323</f>
        <v>40.122431999999996</v>
      </c>
      <c r="AC323" s="10">
        <f t="shared" ref="AC323:AC386" si="65">D323*AC$1*P323</f>
        <v>60.183647999999998</v>
      </c>
    </row>
    <row r="324" spans="1:29" x14ac:dyDescent="0.25">
      <c r="A324">
        <v>414948</v>
      </c>
      <c r="B324" t="s">
        <v>49</v>
      </c>
      <c r="C324" s="10">
        <v>16.91</v>
      </c>
      <c r="D324" s="10">
        <v>15.94</v>
      </c>
      <c r="E324" s="10">
        <v>0</v>
      </c>
      <c r="F324">
        <v>42</v>
      </c>
      <c r="G324" t="s">
        <v>15</v>
      </c>
      <c r="H324" s="11">
        <v>45985</v>
      </c>
      <c r="I324" t="s">
        <v>13</v>
      </c>
      <c r="J324" s="12">
        <v>8</v>
      </c>
      <c r="K324" s="3">
        <v>254.24</v>
      </c>
      <c r="L324" s="3">
        <f t="shared" si="55"/>
        <v>31.78</v>
      </c>
      <c r="M324" s="13"/>
      <c r="N324">
        <f>_xlfn.XLOOKUP(G324,'Tarievensheet per persoon'!AE:AE,'Tarievensheet per persoon'!AF:AF)</f>
        <v>1.7024999999999999</v>
      </c>
      <c r="O324">
        <f>_xlfn.XLOOKUP(G324,AE:AE,'Tarievensheet per persoon'!AG:AG)</f>
        <v>1.5642</v>
      </c>
      <c r="P324">
        <f>_xlfn.XLOOKUP(G324,AE:AE,'Tarievensheet per persoon'!AH:AH)</f>
        <v>1.3552</v>
      </c>
      <c r="Q324">
        <f>_xlfn.XLOOKUP(G324,AE:AE,'Tarievensheet per persoon'!AI:AI)</f>
        <v>1.3552</v>
      </c>
      <c r="R324">
        <v>0</v>
      </c>
      <c r="S324" s="14">
        <v>2.99</v>
      </c>
      <c r="T324" s="10">
        <f t="shared" si="56"/>
        <v>31.779274999999998</v>
      </c>
      <c r="U324" s="10">
        <f t="shared" si="57"/>
        <v>40.507980259999997</v>
      </c>
      <c r="V324" s="10">
        <f t="shared" si="58"/>
        <v>41.036992699999999</v>
      </c>
      <c r="W324" s="10">
        <f t="shared" si="59"/>
        <v>52.939772599999998</v>
      </c>
      <c r="X324" s="10">
        <f t="shared" si="60"/>
        <v>58.229896999999994</v>
      </c>
      <c r="Y324" s="10">
        <f t="shared" si="61"/>
        <v>84.680519000000004</v>
      </c>
      <c r="Z324" s="10">
        <f t="shared" si="62"/>
        <v>30.242643199999996</v>
      </c>
      <c r="AA324" s="10">
        <f t="shared" si="63"/>
        <v>38.883398399999997</v>
      </c>
      <c r="AB324" s="10">
        <f t="shared" si="64"/>
        <v>43.203775999999998</v>
      </c>
      <c r="AC324" s="10">
        <f t="shared" si="65"/>
        <v>64.805663999999993</v>
      </c>
    </row>
    <row r="325" spans="1:29" x14ac:dyDescent="0.25">
      <c r="A325">
        <v>414948</v>
      </c>
      <c r="B325" t="s">
        <v>49</v>
      </c>
      <c r="C325" s="10">
        <v>16.91</v>
      </c>
      <c r="D325" s="10">
        <v>15.94</v>
      </c>
      <c r="E325" s="10">
        <v>0</v>
      </c>
      <c r="F325">
        <v>42</v>
      </c>
      <c r="G325" t="s">
        <v>15</v>
      </c>
      <c r="H325" s="11">
        <v>45986</v>
      </c>
      <c r="I325" t="s">
        <v>13</v>
      </c>
      <c r="J325" s="12">
        <v>8</v>
      </c>
      <c r="K325" s="3">
        <v>254.24</v>
      </c>
      <c r="L325" s="3">
        <f t="shared" si="55"/>
        <v>31.78</v>
      </c>
      <c r="M325" s="13"/>
      <c r="N325">
        <f>_xlfn.XLOOKUP(G325,'Tarievensheet per persoon'!AE:AE,'Tarievensheet per persoon'!AF:AF)</f>
        <v>1.7024999999999999</v>
      </c>
      <c r="O325">
        <f>_xlfn.XLOOKUP(G325,AE:AE,'Tarievensheet per persoon'!AG:AG)</f>
        <v>1.5642</v>
      </c>
      <c r="P325">
        <f>_xlfn.XLOOKUP(G325,AE:AE,'Tarievensheet per persoon'!AH:AH)</f>
        <v>1.3552</v>
      </c>
      <c r="Q325">
        <f>_xlfn.XLOOKUP(G325,AE:AE,'Tarievensheet per persoon'!AI:AI)</f>
        <v>1.3552</v>
      </c>
      <c r="R325">
        <v>0</v>
      </c>
      <c r="S325" s="14">
        <v>2.99</v>
      </c>
      <c r="T325" s="10">
        <f t="shared" si="56"/>
        <v>31.779274999999998</v>
      </c>
      <c r="U325" s="10">
        <f t="shared" si="57"/>
        <v>40.507980259999997</v>
      </c>
      <c r="V325" s="10">
        <f t="shared" si="58"/>
        <v>41.036992699999999</v>
      </c>
      <c r="W325" s="10">
        <f t="shared" si="59"/>
        <v>52.939772599999998</v>
      </c>
      <c r="X325" s="10">
        <f t="shared" si="60"/>
        <v>58.229896999999994</v>
      </c>
      <c r="Y325" s="10">
        <f t="shared" si="61"/>
        <v>84.680519000000004</v>
      </c>
      <c r="Z325" s="10">
        <f t="shared" si="62"/>
        <v>30.242643199999996</v>
      </c>
      <c r="AA325" s="10">
        <f t="shared" si="63"/>
        <v>38.883398399999997</v>
      </c>
      <c r="AB325" s="10">
        <f t="shared" si="64"/>
        <v>43.203775999999998</v>
      </c>
      <c r="AC325" s="10">
        <f t="shared" si="65"/>
        <v>64.805663999999993</v>
      </c>
    </row>
    <row r="326" spans="1:29" x14ac:dyDescent="0.25">
      <c r="A326">
        <v>414948</v>
      </c>
      <c r="B326" t="s">
        <v>49</v>
      </c>
      <c r="C326" s="10">
        <v>16.91</v>
      </c>
      <c r="D326" s="10">
        <v>15.94</v>
      </c>
      <c r="E326" s="10">
        <v>0</v>
      </c>
      <c r="F326">
        <v>42</v>
      </c>
      <c r="G326" t="s">
        <v>15</v>
      </c>
      <c r="H326" s="11">
        <v>45987</v>
      </c>
      <c r="I326" t="s">
        <v>13</v>
      </c>
      <c r="J326" s="12">
        <v>8</v>
      </c>
      <c r="K326" s="3">
        <v>254.24</v>
      </c>
      <c r="L326" s="3">
        <f t="shared" si="55"/>
        <v>31.78</v>
      </c>
      <c r="M326" s="13"/>
      <c r="N326">
        <f>_xlfn.XLOOKUP(G326,'Tarievensheet per persoon'!AE:AE,'Tarievensheet per persoon'!AF:AF)</f>
        <v>1.7024999999999999</v>
      </c>
      <c r="O326">
        <f>_xlfn.XLOOKUP(G326,AE:AE,'Tarievensheet per persoon'!AG:AG)</f>
        <v>1.5642</v>
      </c>
      <c r="P326">
        <f>_xlfn.XLOOKUP(G326,AE:AE,'Tarievensheet per persoon'!AH:AH)</f>
        <v>1.3552</v>
      </c>
      <c r="Q326">
        <f>_xlfn.XLOOKUP(G326,AE:AE,'Tarievensheet per persoon'!AI:AI)</f>
        <v>1.3552</v>
      </c>
      <c r="R326">
        <v>0</v>
      </c>
      <c r="S326" s="14">
        <v>2.99</v>
      </c>
      <c r="T326" s="10">
        <f t="shared" si="56"/>
        <v>31.779274999999998</v>
      </c>
      <c r="U326" s="10">
        <f t="shared" si="57"/>
        <v>40.507980259999997</v>
      </c>
      <c r="V326" s="10">
        <f t="shared" si="58"/>
        <v>41.036992699999999</v>
      </c>
      <c r="W326" s="10">
        <f t="shared" si="59"/>
        <v>52.939772599999998</v>
      </c>
      <c r="X326" s="10">
        <f t="shared" si="60"/>
        <v>58.229896999999994</v>
      </c>
      <c r="Y326" s="10">
        <f t="shared" si="61"/>
        <v>84.680519000000004</v>
      </c>
      <c r="Z326" s="10">
        <f t="shared" si="62"/>
        <v>30.242643199999996</v>
      </c>
      <c r="AA326" s="10">
        <f t="shared" si="63"/>
        <v>38.883398399999997</v>
      </c>
      <c r="AB326" s="10">
        <f t="shared" si="64"/>
        <v>43.203775999999998</v>
      </c>
      <c r="AC326" s="10">
        <f t="shared" si="65"/>
        <v>64.805663999999993</v>
      </c>
    </row>
    <row r="327" spans="1:29" x14ac:dyDescent="0.25">
      <c r="A327">
        <v>414948</v>
      </c>
      <c r="B327" t="s">
        <v>49</v>
      </c>
      <c r="C327" s="10">
        <v>16.91</v>
      </c>
      <c r="D327" s="10">
        <v>15.94</v>
      </c>
      <c r="E327" s="10">
        <v>0</v>
      </c>
      <c r="F327">
        <v>42</v>
      </c>
      <c r="G327" t="s">
        <v>15</v>
      </c>
      <c r="H327" s="11">
        <v>45988</v>
      </c>
      <c r="I327" t="s">
        <v>13</v>
      </c>
      <c r="J327" s="12">
        <v>8</v>
      </c>
      <c r="K327" s="3">
        <v>254.24</v>
      </c>
      <c r="L327" s="3">
        <f t="shared" si="55"/>
        <v>31.78</v>
      </c>
      <c r="M327" s="13"/>
      <c r="N327">
        <f>_xlfn.XLOOKUP(G327,'Tarievensheet per persoon'!AE:AE,'Tarievensheet per persoon'!AF:AF)</f>
        <v>1.7024999999999999</v>
      </c>
      <c r="O327">
        <f>_xlfn.XLOOKUP(G327,AE:AE,'Tarievensheet per persoon'!AG:AG)</f>
        <v>1.5642</v>
      </c>
      <c r="P327">
        <f>_xlfn.XLOOKUP(G327,AE:AE,'Tarievensheet per persoon'!AH:AH)</f>
        <v>1.3552</v>
      </c>
      <c r="Q327">
        <f>_xlfn.XLOOKUP(G327,AE:AE,'Tarievensheet per persoon'!AI:AI)</f>
        <v>1.3552</v>
      </c>
      <c r="R327">
        <v>0</v>
      </c>
      <c r="S327" s="14">
        <v>2.99</v>
      </c>
      <c r="T327" s="10">
        <f t="shared" si="56"/>
        <v>31.779274999999998</v>
      </c>
      <c r="U327" s="10">
        <f t="shared" si="57"/>
        <v>40.507980259999997</v>
      </c>
      <c r="V327" s="10">
        <f t="shared" si="58"/>
        <v>41.036992699999999</v>
      </c>
      <c r="W327" s="10">
        <f t="shared" si="59"/>
        <v>52.939772599999998</v>
      </c>
      <c r="X327" s="10">
        <f t="shared" si="60"/>
        <v>58.229896999999994</v>
      </c>
      <c r="Y327" s="10">
        <f t="shared" si="61"/>
        <v>84.680519000000004</v>
      </c>
      <c r="Z327" s="10">
        <f t="shared" si="62"/>
        <v>30.242643199999996</v>
      </c>
      <c r="AA327" s="10">
        <f t="shared" si="63"/>
        <v>38.883398399999997</v>
      </c>
      <c r="AB327" s="10">
        <f t="shared" si="64"/>
        <v>43.203775999999998</v>
      </c>
      <c r="AC327" s="10">
        <f t="shared" si="65"/>
        <v>64.805663999999993</v>
      </c>
    </row>
    <row r="328" spans="1:29" x14ac:dyDescent="0.25">
      <c r="A328">
        <v>414948</v>
      </c>
      <c r="B328" t="s">
        <v>49</v>
      </c>
      <c r="C328" s="10">
        <v>16.91</v>
      </c>
      <c r="D328" s="10">
        <v>15.94</v>
      </c>
      <c r="E328" s="10">
        <v>0</v>
      </c>
      <c r="F328">
        <v>42</v>
      </c>
      <c r="G328" t="s">
        <v>15</v>
      </c>
      <c r="H328" s="11">
        <v>45989</v>
      </c>
      <c r="I328" t="s">
        <v>13</v>
      </c>
      <c r="J328" s="12">
        <v>4</v>
      </c>
      <c r="K328" s="3">
        <v>127.12</v>
      </c>
      <c r="L328" s="3">
        <f t="shared" si="55"/>
        <v>31.78</v>
      </c>
      <c r="M328" s="13"/>
      <c r="N328">
        <f>_xlfn.XLOOKUP(G328,'Tarievensheet per persoon'!AE:AE,'Tarievensheet per persoon'!AF:AF)</f>
        <v>1.7024999999999999</v>
      </c>
      <c r="O328">
        <f>_xlfn.XLOOKUP(G328,AE:AE,'Tarievensheet per persoon'!AG:AG)</f>
        <v>1.5642</v>
      </c>
      <c r="P328">
        <f>_xlfn.XLOOKUP(G328,AE:AE,'Tarievensheet per persoon'!AH:AH)</f>
        <v>1.3552</v>
      </c>
      <c r="Q328">
        <f>_xlfn.XLOOKUP(G328,AE:AE,'Tarievensheet per persoon'!AI:AI)</f>
        <v>1.3552</v>
      </c>
      <c r="R328">
        <v>0</v>
      </c>
      <c r="S328" s="14">
        <v>2.99</v>
      </c>
      <c r="T328" s="10">
        <f t="shared" si="56"/>
        <v>31.779274999999998</v>
      </c>
      <c r="U328" s="10">
        <f t="shared" si="57"/>
        <v>40.507980259999997</v>
      </c>
      <c r="V328" s="10">
        <f t="shared" si="58"/>
        <v>41.036992699999999</v>
      </c>
      <c r="W328" s="10">
        <f t="shared" si="59"/>
        <v>52.939772599999998</v>
      </c>
      <c r="X328" s="10">
        <f t="shared" si="60"/>
        <v>58.229896999999994</v>
      </c>
      <c r="Y328" s="10">
        <f t="shared" si="61"/>
        <v>84.680519000000004</v>
      </c>
      <c r="Z328" s="10">
        <f t="shared" si="62"/>
        <v>30.242643199999996</v>
      </c>
      <c r="AA328" s="10">
        <f t="shared" si="63"/>
        <v>38.883398399999997</v>
      </c>
      <c r="AB328" s="10">
        <f t="shared" si="64"/>
        <v>43.203775999999998</v>
      </c>
      <c r="AC328" s="10">
        <f t="shared" si="65"/>
        <v>64.805663999999993</v>
      </c>
    </row>
    <row r="329" spans="1:29" x14ac:dyDescent="0.25">
      <c r="A329">
        <v>414948</v>
      </c>
      <c r="B329" t="s">
        <v>49</v>
      </c>
      <c r="C329" s="10">
        <v>16.91</v>
      </c>
      <c r="D329" s="10">
        <v>15.94</v>
      </c>
      <c r="E329" s="10">
        <v>0</v>
      </c>
      <c r="F329">
        <v>42</v>
      </c>
      <c r="G329" t="s">
        <v>15</v>
      </c>
      <c r="H329" s="11">
        <v>45990</v>
      </c>
      <c r="I329" t="s">
        <v>13</v>
      </c>
      <c r="J329" s="12">
        <v>4</v>
      </c>
      <c r="K329" s="3">
        <v>127.12</v>
      </c>
      <c r="L329" s="3">
        <f t="shared" si="55"/>
        <v>31.78</v>
      </c>
      <c r="M329" s="13"/>
      <c r="N329">
        <f>_xlfn.XLOOKUP(G329,'Tarievensheet per persoon'!AE:AE,'Tarievensheet per persoon'!AF:AF)</f>
        <v>1.7024999999999999</v>
      </c>
      <c r="O329">
        <f>_xlfn.XLOOKUP(G329,AE:AE,'Tarievensheet per persoon'!AG:AG)</f>
        <v>1.5642</v>
      </c>
      <c r="P329">
        <f>_xlfn.XLOOKUP(G329,AE:AE,'Tarievensheet per persoon'!AH:AH)</f>
        <v>1.3552</v>
      </c>
      <c r="Q329">
        <f>_xlfn.XLOOKUP(G329,AE:AE,'Tarievensheet per persoon'!AI:AI)</f>
        <v>1.3552</v>
      </c>
      <c r="R329">
        <v>0</v>
      </c>
      <c r="S329" s="14">
        <v>2.99</v>
      </c>
      <c r="T329" s="10">
        <f t="shared" si="56"/>
        <v>31.779274999999998</v>
      </c>
      <c r="U329" s="10">
        <f t="shared" si="57"/>
        <v>40.507980259999997</v>
      </c>
      <c r="V329" s="10">
        <f t="shared" si="58"/>
        <v>41.036992699999999</v>
      </c>
      <c r="W329" s="10">
        <f t="shared" si="59"/>
        <v>52.939772599999998</v>
      </c>
      <c r="X329" s="10">
        <f t="shared" si="60"/>
        <v>58.229896999999994</v>
      </c>
      <c r="Y329" s="10">
        <f t="shared" si="61"/>
        <v>84.680519000000004</v>
      </c>
      <c r="Z329" s="10">
        <f t="shared" si="62"/>
        <v>30.242643199999996</v>
      </c>
      <c r="AA329" s="10">
        <f t="shared" si="63"/>
        <v>38.883398399999997</v>
      </c>
      <c r="AB329" s="10">
        <f t="shared" si="64"/>
        <v>43.203775999999998</v>
      </c>
      <c r="AC329" s="10">
        <f t="shared" si="65"/>
        <v>64.805663999999993</v>
      </c>
    </row>
    <row r="330" spans="1:29" x14ac:dyDescent="0.25">
      <c r="A330">
        <v>414948</v>
      </c>
      <c r="B330" t="s">
        <v>49</v>
      </c>
      <c r="C330" s="10">
        <v>16.91</v>
      </c>
      <c r="D330" s="10">
        <v>15.94</v>
      </c>
      <c r="E330" s="10">
        <v>0</v>
      </c>
      <c r="F330">
        <v>42</v>
      </c>
      <c r="G330" t="s">
        <v>15</v>
      </c>
      <c r="H330" s="11">
        <v>45990</v>
      </c>
      <c r="I330" t="s">
        <v>24</v>
      </c>
      <c r="J330" s="12">
        <v>2.25</v>
      </c>
      <c r="K330" s="3">
        <v>87.48</v>
      </c>
      <c r="L330" s="3">
        <f t="shared" si="55"/>
        <v>38.880000000000003</v>
      </c>
      <c r="M330" s="13"/>
      <c r="N330">
        <f>_xlfn.XLOOKUP(G330,'Tarievensheet per persoon'!AE:AE,'Tarievensheet per persoon'!AF:AF)</f>
        <v>1.7024999999999999</v>
      </c>
      <c r="O330">
        <f>_xlfn.XLOOKUP(G330,AE:AE,'Tarievensheet per persoon'!AG:AG)</f>
        <v>1.5642</v>
      </c>
      <c r="P330">
        <f>_xlfn.XLOOKUP(G330,AE:AE,'Tarievensheet per persoon'!AH:AH)</f>
        <v>1.3552</v>
      </c>
      <c r="Q330">
        <f>_xlfn.XLOOKUP(G330,AE:AE,'Tarievensheet per persoon'!AI:AI)</f>
        <v>1.3552</v>
      </c>
      <c r="R330">
        <v>0</v>
      </c>
      <c r="S330" s="14">
        <v>2.99</v>
      </c>
      <c r="T330" s="10">
        <f t="shared" si="56"/>
        <v>31.779274999999998</v>
      </c>
      <c r="U330" s="10">
        <f t="shared" si="57"/>
        <v>40.507980259999997</v>
      </c>
      <c r="V330" s="10">
        <f t="shared" si="58"/>
        <v>41.036992699999999</v>
      </c>
      <c r="W330" s="10">
        <f t="shared" si="59"/>
        <v>52.939772599999998</v>
      </c>
      <c r="X330" s="10">
        <f t="shared" si="60"/>
        <v>58.229896999999994</v>
      </c>
      <c r="Y330" s="10">
        <f t="shared" si="61"/>
        <v>84.680519000000004</v>
      </c>
      <c r="Z330" s="10">
        <f t="shared" si="62"/>
        <v>30.242643199999996</v>
      </c>
      <c r="AA330" s="10">
        <f t="shared" si="63"/>
        <v>38.883398399999997</v>
      </c>
      <c r="AB330" s="10">
        <f t="shared" si="64"/>
        <v>43.203775999999998</v>
      </c>
      <c r="AC330" s="10">
        <f t="shared" si="65"/>
        <v>64.805663999999993</v>
      </c>
    </row>
    <row r="331" spans="1:29" x14ac:dyDescent="0.25">
      <c r="A331">
        <v>414948</v>
      </c>
      <c r="B331" t="s">
        <v>49</v>
      </c>
      <c r="C331" s="10">
        <v>16.91</v>
      </c>
      <c r="D331" s="10">
        <v>15.94</v>
      </c>
      <c r="E331" s="10">
        <v>0</v>
      </c>
      <c r="F331">
        <v>42</v>
      </c>
      <c r="G331" t="s">
        <v>15</v>
      </c>
      <c r="H331" s="11">
        <v>45990</v>
      </c>
      <c r="I331" t="s">
        <v>25</v>
      </c>
      <c r="J331" s="12">
        <v>0.25</v>
      </c>
      <c r="K331" s="3">
        <v>10.8</v>
      </c>
      <c r="L331" s="3">
        <f t="shared" si="55"/>
        <v>43.2</v>
      </c>
      <c r="M331" s="13"/>
      <c r="N331">
        <f>_xlfn.XLOOKUP(G331,'Tarievensheet per persoon'!AE:AE,'Tarievensheet per persoon'!AF:AF)</f>
        <v>1.7024999999999999</v>
      </c>
      <c r="O331">
        <f>_xlfn.XLOOKUP(G331,AE:AE,'Tarievensheet per persoon'!AG:AG)</f>
        <v>1.5642</v>
      </c>
      <c r="P331">
        <f>_xlfn.XLOOKUP(G331,AE:AE,'Tarievensheet per persoon'!AH:AH)</f>
        <v>1.3552</v>
      </c>
      <c r="Q331">
        <f>_xlfn.XLOOKUP(G331,AE:AE,'Tarievensheet per persoon'!AI:AI)</f>
        <v>1.3552</v>
      </c>
      <c r="R331">
        <v>0</v>
      </c>
      <c r="S331" s="14">
        <v>2.99</v>
      </c>
      <c r="T331" s="10">
        <f t="shared" si="56"/>
        <v>31.779274999999998</v>
      </c>
      <c r="U331" s="10">
        <f t="shared" si="57"/>
        <v>40.507980259999997</v>
      </c>
      <c r="V331" s="10">
        <f t="shared" si="58"/>
        <v>41.036992699999999</v>
      </c>
      <c r="W331" s="10">
        <f t="shared" si="59"/>
        <v>52.939772599999998</v>
      </c>
      <c r="X331" s="10">
        <f t="shared" si="60"/>
        <v>58.229896999999994</v>
      </c>
      <c r="Y331" s="10">
        <f t="shared" si="61"/>
        <v>84.680519000000004</v>
      </c>
      <c r="Z331" s="10">
        <f t="shared" si="62"/>
        <v>30.242643199999996</v>
      </c>
      <c r="AA331" s="10">
        <f t="shared" si="63"/>
        <v>38.883398399999997</v>
      </c>
      <c r="AB331" s="10">
        <f t="shared" si="64"/>
        <v>43.203775999999998</v>
      </c>
      <c r="AC331" s="10">
        <f t="shared" si="65"/>
        <v>64.805663999999993</v>
      </c>
    </row>
    <row r="332" spans="1:29" x14ac:dyDescent="0.25">
      <c r="A332">
        <v>415220</v>
      </c>
      <c r="B332" t="s">
        <v>147</v>
      </c>
      <c r="C332" s="10">
        <v>15.89</v>
      </c>
      <c r="D332" s="10">
        <v>14.98</v>
      </c>
      <c r="E332" s="10">
        <v>0</v>
      </c>
      <c r="F332">
        <v>19</v>
      </c>
      <c r="G332" t="s">
        <v>15</v>
      </c>
      <c r="H332" s="11">
        <v>45985</v>
      </c>
      <c r="I332" t="s">
        <v>13</v>
      </c>
      <c r="J332" s="12">
        <v>8</v>
      </c>
      <c r="K332" s="3">
        <v>240.32</v>
      </c>
      <c r="L332" s="3">
        <f t="shared" si="55"/>
        <v>30.04</v>
      </c>
      <c r="M332" s="13"/>
      <c r="N332">
        <f>_xlfn.XLOOKUP(G332,'Tarievensheet per persoon'!AE:AE,'Tarievensheet per persoon'!AF:AF)</f>
        <v>1.7024999999999999</v>
      </c>
      <c r="O332">
        <f>_xlfn.XLOOKUP(G332,AE:AE,'Tarievensheet per persoon'!AG:AG)</f>
        <v>1.5642</v>
      </c>
      <c r="P332">
        <f>_xlfn.XLOOKUP(G332,AE:AE,'Tarievensheet per persoon'!AH:AH)</f>
        <v>1.3552</v>
      </c>
      <c r="Q332">
        <f>_xlfn.XLOOKUP(G332,AE:AE,'Tarievensheet per persoon'!AI:AI)</f>
        <v>1.3552</v>
      </c>
      <c r="R332">
        <v>0</v>
      </c>
      <c r="S332" s="14">
        <v>2.99</v>
      </c>
      <c r="T332" s="10">
        <f t="shared" si="56"/>
        <v>30.042724999999997</v>
      </c>
      <c r="U332" s="10">
        <f t="shared" si="57"/>
        <v>38.244920539999995</v>
      </c>
      <c r="V332" s="10">
        <f t="shared" si="58"/>
        <v>38.7420233</v>
      </c>
      <c r="W332" s="10">
        <f t="shared" si="59"/>
        <v>49.926835400000002</v>
      </c>
      <c r="X332" s="10">
        <f t="shared" si="60"/>
        <v>54.897863000000001</v>
      </c>
      <c r="Y332" s="10">
        <f t="shared" si="61"/>
        <v>79.753000999999998</v>
      </c>
      <c r="Z332" s="10">
        <f t="shared" si="62"/>
        <v>28.421254399999995</v>
      </c>
      <c r="AA332" s="10">
        <f t="shared" si="63"/>
        <v>36.541612800000003</v>
      </c>
      <c r="AB332" s="10">
        <f t="shared" si="64"/>
        <v>40.601792000000003</v>
      </c>
      <c r="AC332" s="10">
        <f t="shared" si="65"/>
        <v>60.902687999999998</v>
      </c>
    </row>
    <row r="333" spans="1:29" x14ac:dyDescent="0.25">
      <c r="A333">
        <v>415220</v>
      </c>
      <c r="B333" t="s">
        <v>147</v>
      </c>
      <c r="C333" s="10">
        <v>15.89</v>
      </c>
      <c r="D333" s="10">
        <v>14.98</v>
      </c>
      <c r="E333" s="10">
        <v>0</v>
      </c>
      <c r="F333">
        <v>19</v>
      </c>
      <c r="G333" t="s">
        <v>15</v>
      </c>
      <c r="H333" s="11">
        <v>45986</v>
      </c>
      <c r="I333" t="s">
        <v>13</v>
      </c>
      <c r="J333" s="12">
        <v>7.5</v>
      </c>
      <c r="K333" s="3">
        <v>225.3</v>
      </c>
      <c r="L333" s="3">
        <f t="shared" si="55"/>
        <v>30.040000000000003</v>
      </c>
      <c r="M333" s="13"/>
      <c r="N333">
        <f>_xlfn.XLOOKUP(G333,'Tarievensheet per persoon'!AE:AE,'Tarievensheet per persoon'!AF:AF)</f>
        <v>1.7024999999999999</v>
      </c>
      <c r="O333">
        <f>_xlfn.XLOOKUP(G333,AE:AE,'Tarievensheet per persoon'!AG:AG)</f>
        <v>1.5642</v>
      </c>
      <c r="P333">
        <f>_xlfn.XLOOKUP(G333,AE:AE,'Tarievensheet per persoon'!AH:AH)</f>
        <v>1.3552</v>
      </c>
      <c r="Q333">
        <f>_xlfn.XLOOKUP(G333,AE:AE,'Tarievensheet per persoon'!AI:AI)</f>
        <v>1.3552</v>
      </c>
      <c r="R333">
        <v>0</v>
      </c>
      <c r="S333" s="14">
        <v>2.99</v>
      </c>
      <c r="T333" s="10">
        <f t="shared" si="56"/>
        <v>30.042724999999997</v>
      </c>
      <c r="U333" s="10">
        <f t="shared" si="57"/>
        <v>38.244920539999995</v>
      </c>
      <c r="V333" s="10">
        <f t="shared" si="58"/>
        <v>38.7420233</v>
      </c>
      <c r="W333" s="10">
        <f t="shared" si="59"/>
        <v>49.926835400000002</v>
      </c>
      <c r="X333" s="10">
        <f t="shared" si="60"/>
        <v>54.897863000000001</v>
      </c>
      <c r="Y333" s="10">
        <f t="shared" si="61"/>
        <v>79.753000999999998</v>
      </c>
      <c r="Z333" s="10">
        <f t="shared" si="62"/>
        <v>28.421254399999995</v>
      </c>
      <c r="AA333" s="10">
        <f t="shared" si="63"/>
        <v>36.541612800000003</v>
      </c>
      <c r="AB333" s="10">
        <f t="shared" si="64"/>
        <v>40.601792000000003</v>
      </c>
      <c r="AC333" s="10">
        <f t="shared" si="65"/>
        <v>60.902687999999998</v>
      </c>
    </row>
    <row r="334" spans="1:29" x14ac:dyDescent="0.25">
      <c r="A334">
        <v>415220</v>
      </c>
      <c r="B334" t="s">
        <v>147</v>
      </c>
      <c r="C334" s="10">
        <v>15.89</v>
      </c>
      <c r="D334" s="10">
        <v>14.98</v>
      </c>
      <c r="E334" s="10">
        <v>0</v>
      </c>
      <c r="F334">
        <v>19</v>
      </c>
      <c r="G334" t="s">
        <v>15</v>
      </c>
      <c r="H334" s="11">
        <v>45987</v>
      </c>
      <c r="I334" t="s">
        <v>13</v>
      </c>
      <c r="J334" s="12">
        <v>7.5</v>
      </c>
      <c r="K334" s="3">
        <v>225.3</v>
      </c>
      <c r="L334" s="3">
        <f t="shared" si="55"/>
        <v>30.040000000000003</v>
      </c>
      <c r="M334" s="13"/>
      <c r="N334">
        <f>_xlfn.XLOOKUP(G334,'Tarievensheet per persoon'!AE:AE,'Tarievensheet per persoon'!AF:AF)</f>
        <v>1.7024999999999999</v>
      </c>
      <c r="O334">
        <f>_xlfn.XLOOKUP(G334,AE:AE,'Tarievensheet per persoon'!AG:AG)</f>
        <v>1.5642</v>
      </c>
      <c r="P334">
        <f>_xlfn.XLOOKUP(G334,AE:AE,'Tarievensheet per persoon'!AH:AH)</f>
        <v>1.3552</v>
      </c>
      <c r="Q334">
        <f>_xlfn.XLOOKUP(G334,AE:AE,'Tarievensheet per persoon'!AI:AI)</f>
        <v>1.3552</v>
      </c>
      <c r="R334">
        <v>0</v>
      </c>
      <c r="S334" s="14">
        <v>2.99</v>
      </c>
      <c r="T334" s="10">
        <f t="shared" si="56"/>
        <v>30.042724999999997</v>
      </c>
      <c r="U334" s="10">
        <f t="shared" si="57"/>
        <v>38.244920539999995</v>
      </c>
      <c r="V334" s="10">
        <f t="shared" si="58"/>
        <v>38.7420233</v>
      </c>
      <c r="W334" s="10">
        <f t="shared" si="59"/>
        <v>49.926835400000002</v>
      </c>
      <c r="X334" s="10">
        <f t="shared" si="60"/>
        <v>54.897863000000001</v>
      </c>
      <c r="Y334" s="10">
        <f t="shared" si="61"/>
        <v>79.753000999999998</v>
      </c>
      <c r="Z334" s="10">
        <f t="shared" si="62"/>
        <v>28.421254399999995</v>
      </c>
      <c r="AA334" s="10">
        <f t="shared" si="63"/>
        <v>36.541612800000003</v>
      </c>
      <c r="AB334" s="10">
        <f t="shared" si="64"/>
        <v>40.601792000000003</v>
      </c>
      <c r="AC334" s="10">
        <f t="shared" si="65"/>
        <v>60.902687999999998</v>
      </c>
    </row>
    <row r="335" spans="1:29" x14ac:dyDescent="0.25">
      <c r="A335">
        <v>415220</v>
      </c>
      <c r="B335" t="s">
        <v>147</v>
      </c>
      <c r="C335" s="10">
        <v>15.89</v>
      </c>
      <c r="D335" s="10">
        <v>14.98</v>
      </c>
      <c r="E335" s="10">
        <v>0</v>
      </c>
      <c r="F335">
        <v>19</v>
      </c>
      <c r="G335" t="s">
        <v>15</v>
      </c>
      <c r="H335" s="11">
        <v>45988</v>
      </c>
      <c r="I335" t="s">
        <v>13</v>
      </c>
      <c r="J335" s="12">
        <v>7.5</v>
      </c>
      <c r="K335" s="3">
        <v>225.3</v>
      </c>
      <c r="L335" s="3">
        <f t="shared" si="55"/>
        <v>30.040000000000003</v>
      </c>
      <c r="M335" s="13"/>
      <c r="N335">
        <f>_xlfn.XLOOKUP(G335,'Tarievensheet per persoon'!AE:AE,'Tarievensheet per persoon'!AF:AF)</f>
        <v>1.7024999999999999</v>
      </c>
      <c r="O335">
        <f>_xlfn.XLOOKUP(G335,AE:AE,'Tarievensheet per persoon'!AG:AG)</f>
        <v>1.5642</v>
      </c>
      <c r="P335">
        <f>_xlfn.XLOOKUP(G335,AE:AE,'Tarievensheet per persoon'!AH:AH)</f>
        <v>1.3552</v>
      </c>
      <c r="Q335">
        <f>_xlfn.XLOOKUP(G335,AE:AE,'Tarievensheet per persoon'!AI:AI)</f>
        <v>1.3552</v>
      </c>
      <c r="R335">
        <v>0</v>
      </c>
      <c r="S335" s="14">
        <v>2.99</v>
      </c>
      <c r="T335" s="10">
        <f t="shared" si="56"/>
        <v>30.042724999999997</v>
      </c>
      <c r="U335" s="10">
        <f t="shared" si="57"/>
        <v>38.244920539999995</v>
      </c>
      <c r="V335" s="10">
        <f t="shared" si="58"/>
        <v>38.7420233</v>
      </c>
      <c r="W335" s="10">
        <f t="shared" si="59"/>
        <v>49.926835400000002</v>
      </c>
      <c r="X335" s="10">
        <f t="shared" si="60"/>
        <v>54.897863000000001</v>
      </c>
      <c r="Y335" s="10">
        <f t="shared" si="61"/>
        <v>79.753000999999998</v>
      </c>
      <c r="Z335" s="10">
        <f t="shared" si="62"/>
        <v>28.421254399999995</v>
      </c>
      <c r="AA335" s="10">
        <f t="shared" si="63"/>
        <v>36.541612800000003</v>
      </c>
      <c r="AB335" s="10">
        <f t="shared" si="64"/>
        <v>40.601792000000003</v>
      </c>
      <c r="AC335" s="10">
        <f t="shared" si="65"/>
        <v>60.902687999999998</v>
      </c>
    </row>
    <row r="336" spans="1:29" x14ac:dyDescent="0.25">
      <c r="A336">
        <v>415220</v>
      </c>
      <c r="B336" t="s">
        <v>147</v>
      </c>
      <c r="C336" s="10">
        <v>15.89</v>
      </c>
      <c r="D336" s="10">
        <v>14.98</v>
      </c>
      <c r="E336" s="10">
        <v>0</v>
      </c>
      <c r="F336">
        <v>19</v>
      </c>
      <c r="G336" t="s">
        <v>15</v>
      </c>
      <c r="H336" s="11">
        <v>45989</v>
      </c>
      <c r="I336" t="s">
        <v>13</v>
      </c>
      <c r="J336" s="12">
        <v>8.5</v>
      </c>
      <c r="K336" s="3">
        <v>255.34</v>
      </c>
      <c r="L336" s="3">
        <f t="shared" si="55"/>
        <v>30.04</v>
      </c>
      <c r="M336" s="13"/>
      <c r="N336">
        <f>_xlfn.XLOOKUP(G336,'Tarievensheet per persoon'!AE:AE,'Tarievensheet per persoon'!AF:AF)</f>
        <v>1.7024999999999999</v>
      </c>
      <c r="O336">
        <f>_xlfn.XLOOKUP(G336,AE:AE,'Tarievensheet per persoon'!AG:AG)</f>
        <v>1.5642</v>
      </c>
      <c r="P336">
        <f>_xlfn.XLOOKUP(G336,AE:AE,'Tarievensheet per persoon'!AH:AH)</f>
        <v>1.3552</v>
      </c>
      <c r="Q336">
        <f>_xlfn.XLOOKUP(G336,AE:AE,'Tarievensheet per persoon'!AI:AI)</f>
        <v>1.3552</v>
      </c>
      <c r="R336">
        <v>0</v>
      </c>
      <c r="S336" s="14">
        <v>2.99</v>
      </c>
      <c r="T336" s="10">
        <f t="shared" si="56"/>
        <v>30.042724999999997</v>
      </c>
      <c r="U336" s="10">
        <f t="shared" si="57"/>
        <v>38.244920539999995</v>
      </c>
      <c r="V336" s="10">
        <f t="shared" si="58"/>
        <v>38.7420233</v>
      </c>
      <c r="W336" s="10">
        <f t="shared" si="59"/>
        <v>49.926835400000002</v>
      </c>
      <c r="X336" s="10">
        <f t="shared" si="60"/>
        <v>54.897863000000001</v>
      </c>
      <c r="Y336" s="10">
        <f t="shared" si="61"/>
        <v>79.753000999999998</v>
      </c>
      <c r="Z336" s="10">
        <f t="shared" si="62"/>
        <v>28.421254399999995</v>
      </c>
      <c r="AA336" s="10">
        <f t="shared" si="63"/>
        <v>36.541612800000003</v>
      </c>
      <c r="AB336" s="10">
        <f t="shared" si="64"/>
        <v>40.601792000000003</v>
      </c>
      <c r="AC336" s="10">
        <f t="shared" si="65"/>
        <v>60.902687999999998</v>
      </c>
    </row>
    <row r="337" spans="1:29" x14ac:dyDescent="0.25">
      <c r="A337">
        <v>415979</v>
      </c>
      <c r="B337" t="s">
        <v>50</v>
      </c>
      <c r="C337" s="10">
        <v>17.16</v>
      </c>
      <c r="D337" s="10">
        <v>16.170000000000002</v>
      </c>
      <c r="E337" s="10">
        <v>0</v>
      </c>
      <c r="F337">
        <v>75</v>
      </c>
      <c r="G337" t="s">
        <v>19</v>
      </c>
      <c r="H337" s="11">
        <v>45985</v>
      </c>
      <c r="I337" t="s">
        <v>13</v>
      </c>
      <c r="J337" s="12">
        <v>2.5</v>
      </c>
      <c r="K337" s="3">
        <v>80.7</v>
      </c>
      <c r="L337" s="3">
        <f t="shared" si="55"/>
        <v>32.28</v>
      </c>
      <c r="M337" s="13"/>
      <c r="N337">
        <f>_xlfn.XLOOKUP(G337,'Tarievensheet per persoon'!AE:AE,'Tarievensheet per persoon'!AF:AF)</f>
        <v>1.7068000000000001</v>
      </c>
      <c r="O337">
        <f>_xlfn.XLOOKUP(G337,AE:AE,'Tarievensheet per persoon'!AG:AG)</f>
        <v>1.5528</v>
      </c>
      <c r="P337">
        <f>_xlfn.XLOOKUP(G337,AE:AE,'Tarievensheet per persoon'!AH:AH)</f>
        <v>1.3391999999999999</v>
      </c>
      <c r="Q337">
        <f>_xlfn.XLOOKUP(G337,AE:AE,'Tarievensheet per persoon'!AI:AI)</f>
        <v>1.3391999999999999</v>
      </c>
      <c r="R337">
        <v>0</v>
      </c>
      <c r="S337" s="14">
        <v>2.99</v>
      </c>
      <c r="T337" s="10">
        <f t="shared" si="56"/>
        <v>32.278688000000002</v>
      </c>
      <c r="U337" s="10">
        <f t="shared" si="57"/>
        <v>41.071883840000005</v>
      </c>
      <c r="V337" s="10">
        <f t="shared" si="58"/>
        <v>41.604804800000004</v>
      </c>
      <c r="W337" s="10">
        <f t="shared" si="59"/>
        <v>53.595526400000004</v>
      </c>
      <c r="X337" s="10">
        <f t="shared" si="60"/>
        <v>58.924736000000003</v>
      </c>
      <c r="Y337" s="10">
        <f t="shared" si="61"/>
        <v>85.570784000000003</v>
      </c>
      <c r="Z337" s="10">
        <f t="shared" si="62"/>
        <v>30.316809600000003</v>
      </c>
      <c r="AA337" s="10">
        <f t="shared" si="63"/>
        <v>38.978755200000002</v>
      </c>
      <c r="AB337" s="10">
        <f t="shared" si="64"/>
        <v>43.309728</v>
      </c>
      <c r="AC337" s="10">
        <f t="shared" si="65"/>
        <v>64.96459200000001</v>
      </c>
    </row>
    <row r="338" spans="1:29" x14ac:dyDescent="0.25">
      <c r="A338">
        <v>415979</v>
      </c>
      <c r="B338" t="s">
        <v>50</v>
      </c>
      <c r="C338" s="10">
        <v>17.16</v>
      </c>
      <c r="D338" s="10">
        <v>16.170000000000002</v>
      </c>
      <c r="E338" s="10">
        <v>0</v>
      </c>
      <c r="F338">
        <v>75</v>
      </c>
      <c r="G338" t="s">
        <v>19</v>
      </c>
      <c r="H338" s="11">
        <v>45985</v>
      </c>
      <c r="I338" t="s">
        <v>21</v>
      </c>
      <c r="J338" s="12">
        <v>4.75</v>
      </c>
      <c r="K338" s="3">
        <v>195.08</v>
      </c>
      <c r="L338" s="3">
        <f t="shared" si="55"/>
        <v>41.069473684210529</v>
      </c>
      <c r="M338" s="13"/>
      <c r="N338">
        <f>_xlfn.XLOOKUP(G338,'Tarievensheet per persoon'!AE:AE,'Tarievensheet per persoon'!AF:AF)</f>
        <v>1.7068000000000001</v>
      </c>
      <c r="O338">
        <f>_xlfn.XLOOKUP(G338,AE:AE,'Tarievensheet per persoon'!AG:AG)</f>
        <v>1.5528</v>
      </c>
      <c r="P338">
        <f>_xlfn.XLOOKUP(G338,AE:AE,'Tarievensheet per persoon'!AH:AH)</f>
        <v>1.3391999999999999</v>
      </c>
      <c r="Q338">
        <f>_xlfn.XLOOKUP(G338,AE:AE,'Tarievensheet per persoon'!AI:AI)</f>
        <v>1.3391999999999999</v>
      </c>
      <c r="R338">
        <v>0</v>
      </c>
      <c r="S338" s="14">
        <v>2.99</v>
      </c>
      <c r="T338" s="10">
        <f t="shared" si="56"/>
        <v>32.278688000000002</v>
      </c>
      <c r="U338" s="10">
        <f t="shared" si="57"/>
        <v>41.071883840000005</v>
      </c>
      <c r="V338" s="10">
        <f t="shared" si="58"/>
        <v>41.604804800000004</v>
      </c>
      <c r="W338" s="10">
        <f t="shared" si="59"/>
        <v>53.595526400000004</v>
      </c>
      <c r="X338" s="10">
        <f t="shared" si="60"/>
        <v>58.924736000000003</v>
      </c>
      <c r="Y338" s="10">
        <f t="shared" si="61"/>
        <v>85.570784000000003</v>
      </c>
      <c r="Z338" s="10">
        <f t="shared" si="62"/>
        <v>30.316809600000003</v>
      </c>
      <c r="AA338" s="10">
        <f t="shared" si="63"/>
        <v>38.978755200000002</v>
      </c>
      <c r="AB338" s="10">
        <f t="shared" si="64"/>
        <v>43.309728</v>
      </c>
      <c r="AC338" s="10">
        <f t="shared" si="65"/>
        <v>64.96459200000001</v>
      </c>
    </row>
    <row r="339" spans="1:29" x14ac:dyDescent="0.25">
      <c r="A339">
        <v>415979</v>
      </c>
      <c r="B339" t="s">
        <v>50</v>
      </c>
      <c r="C339" s="10">
        <v>17.16</v>
      </c>
      <c r="D339" s="10">
        <v>16.170000000000002</v>
      </c>
      <c r="E339" s="10">
        <v>0</v>
      </c>
      <c r="F339">
        <v>75</v>
      </c>
      <c r="G339" t="s">
        <v>19</v>
      </c>
      <c r="H339" s="11">
        <v>45986</v>
      </c>
      <c r="I339" t="s">
        <v>13</v>
      </c>
      <c r="J339" s="12">
        <v>2.5</v>
      </c>
      <c r="K339" s="3">
        <v>80.7</v>
      </c>
      <c r="L339" s="3">
        <f t="shared" si="55"/>
        <v>32.28</v>
      </c>
      <c r="M339" s="13"/>
      <c r="N339">
        <f>_xlfn.XLOOKUP(G339,'Tarievensheet per persoon'!AE:AE,'Tarievensheet per persoon'!AF:AF)</f>
        <v>1.7068000000000001</v>
      </c>
      <c r="O339">
        <f>_xlfn.XLOOKUP(G339,AE:AE,'Tarievensheet per persoon'!AG:AG)</f>
        <v>1.5528</v>
      </c>
      <c r="P339">
        <f>_xlfn.XLOOKUP(G339,AE:AE,'Tarievensheet per persoon'!AH:AH)</f>
        <v>1.3391999999999999</v>
      </c>
      <c r="Q339">
        <f>_xlfn.XLOOKUP(G339,AE:AE,'Tarievensheet per persoon'!AI:AI)</f>
        <v>1.3391999999999999</v>
      </c>
      <c r="R339">
        <v>0</v>
      </c>
      <c r="S339" s="14">
        <v>2.99</v>
      </c>
      <c r="T339" s="10">
        <f t="shared" si="56"/>
        <v>32.278688000000002</v>
      </c>
      <c r="U339" s="10">
        <f t="shared" si="57"/>
        <v>41.071883840000005</v>
      </c>
      <c r="V339" s="10">
        <f t="shared" si="58"/>
        <v>41.604804800000004</v>
      </c>
      <c r="W339" s="10">
        <f t="shared" si="59"/>
        <v>53.595526400000004</v>
      </c>
      <c r="X339" s="10">
        <f t="shared" si="60"/>
        <v>58.924736000000003</v>
      </c>
      <c r="Y339" s="10">
        <f t="shared" si="61"/>
        <v>85.570784000000003</v>
      </c>
      <c r="Z339" s="10">
        <f t="shared" si="62"/>
        <v>30.316809600000003</v>
      </c>
      <c r="AA339" s="10">
        <f t="shared" si="63"/>
        <v>38.978755200000002</v>
      </c>
      <c r="AB339" s="10">
        <f t="shared" si="64"/>
        <v>43.309728</v>
      </c>
      <c r="AC339" s="10">
        <f t="shared" si="65"/>
        <v>64.96459200000001</v>
      </c>
    </row>
    <row r="340" spans="1:29" x14ac:dyDescent="0.25">
      <c r="A340">
        <v>415979</v>
      </c>
      <c r="B340" t="s">
        <v>50</v>
      </c>
      <c r="C340" s="10">
        <v>17.16</v>
      </c>
      <c r="D340" s="10">
        <v>16.170000000000002</v>
      </c>
      <c r="E340" s="10">
        <v>0</v>
      </c>
      <c r="F340">
        <v>75</v>
      </c>
      <c r="G340" t="s">
        <v>19</v>
      </c>
      <c r="H340" s="11">
        <v>45986</v>
      </c>
      <c r="I340" t="s">
        <v>21</v>
      </c>
      <c r="J340" s="12">
        <v>5.25</v>
      </c>
      <c r="K340" s="3">
        <v>215.62</v>
      </c>
      <c r="L340" s="3">
        <f t="shared" si="55"/>
        <v>41.070476190476192</v>
      </c>
      <c r="M340" s="13"/>
      <c r="N340">
        <f>_xlfn.XLOOKUP(G340,'Tarievensheet per persoon'!AE:AE,'Tarievensheet per persoon'!AF:AF)</f>
        <v>1.7068000000000001</v>
      </c>
      <c r="O340">
        <f>_xlfn.XLOOKUP(G340,AE:AE,'Tarievensheet per persoon'!AG:AG)</f>
        <v>1.5528</v>
      </c>
      <c r="P340">
        <f>_xlfn.XLOOKUP(G340,AE:AE,'Tarievensheet per persoon'!AH:AH)</f>
        <v>1.3391999999999999</v>
      </c>
      <c r="Q340">
        <f>_xlfn.XLOOKUP(G340,AE:AE,'Tarievensheet per persoon'!AI:AI)</f>
        <v>1.3391999999999999</v>
      </c>
      <c r="R340">
        <v>0</v>
      </c>
      <c r="S340" s="14">
        <v>2.99</v>
      </c>
      <c r="T340" s="10">
        <f t="shared" si="56"/>
        <v>32.278688000000002</v>
      </c>
      <c r="U340" s="10">
        <f t="shared" si="57"/>
        <v>41.071883840000005</v>
      </c>
      <c r="V340" s="10">
        <f t="shared" si="58"/>
        <v>41.604804800000004</v>
      </c>
      <c r="W340" s="10">
        <f t="shared" si="59"/>
        <v>53.595526400000004</v>
      </c>
      <c r="X340" s="10">
        <f t="shared" si="60"/>
        <v>58.924736000000003</v>
      </c>
      <c r="Y340" s="10">
        <f t="shared" si="61"/>
        <v>85.570784000000003</v>
      </c>
      <c r="Z340" s="10">
        <f t="shared" si="62"/>
        <v>30.316809600000003</v>
      </c>
      <c r="AA340" s="10">
        <f t="shared" si="63"/>
        <v>38.978755200000002</v>
      </c>
      <c r="AB340" s="10">
        <f t="shared" si="64"/>
        <v>43.309728</v>
      </c>
      <c r="AC340" s="10">
        <f t="shared" si="65"/>
        <v>64.96459200000001</v>
      </c>
    </row>
    <row r="341" spans="1:29" x14ac:dyDescent="0.25">
      <c r="A341">
        <v>415979</v>
      </c>
      <c r="B341" t="s">
        <v>50</v>
      </c>
      <c r="C341" s="10">
        <v>17.16</v>
      </c>
      <c r="D341" s="10">
        <v>16.170000000000002</v>
      </c>
      <c r="E341" s="10">
        <v>0</v>
      </c>
      <c r="F341">
        <v>75</v>
      </c>
      <c r="G341" t="s">
        <v>19</v>
      </c>
      <c r="H341" s="11">
        <v>45986</v>
      </c>
      <c r="I341" t="s">
        <v>22</v>
      </c>
      <c r="J341" s="12">
        <v>0.25</v>
      </c>
      <c r="K341" s="3">
        <v>10.4</v>
      </c>
      <c r="L341" s="3">
        <f t="shared" si="55"/>
        <v>41.6</v>
      </c>
      <c r="M341" s="13"/>
      <c r="N341">
        <f>_xlfn.XLOOKUP(G341,'Tarievensheet per persoon'!AE:AE,'Tarievensheet per persoon'!AF:AF)</f>
        <v>1.7068000000000001</v>
      </c>
      <c r="O341">
        <f>_xlfn.XLOOKUP(G341,AE:AE,'Tarievensheet per persoon'!AG:AG)</f>
        <v>1.5528</v>
      </c>
      <c r="P341">
        <f>_xlfn.XLOOKUP(G341,AE:AE,'Tarievensheet per persoon'!AH:AH)</f>
        <v>1.3391999999999999</v>
      </c>
      <c r="Q341">
        <f>_xlfn.XLOOKUP(G341,AE:AE,'Tarievensheet per persoon'!AI:AI)</f>
        <v>1.3391999999999999</v>
      </c>
      <c r="R341">
        <v>0</v>
      </c>
      <c r="S341" s="14">
        <v>2.99</v>
      </c>
      <c r="T341" s="10">
        <f t="shared" si="56"/>
        <v>32.278688000000002</v>
      </c>
      <c r="U341" s="10">
        <f t="shared" si="57"/>
        <v>41.071883840000005</v>
      </c>
      <c r="V341" s="10">
        <f t="shared" si="58"/>
        <v>41.604804800000004</v>
      </c>
      <c r="W341" s="10">
        <f t="shared" si="59"/>
        <v>53.595526400000004</v>
      </c>
      <c r="X341" s="10">
        <f t="shared" si="60"/>
        <v>58.924736000000003</v>
      </c>
      <c r="Y341" s="10">
        <f t="shared" si="61"/>
        <v>85.570784000000003</v>
      </c>
      <c r="Z341" s="10">
        <f t="shared" si="62"/>
        <v>30.316809600000003</v>
      </c>
      <c r="AA341" s="10">
        <f t="shared" si="63"/>
        <v>38.978755200000002</v>
      </c>
      <c r="AB341" s="10">
        <f t="shared" si="64"/>
        <v>43.309728</v>
      </c>
      <c r="AC341" s="10">
        <f t="shared" si="65"/>
        <v>64.96459200000001</v>
      </c>
    </row>
    <row r="342" spans="1:29" x14ac:dyDescent="0.25">
      <c r="A342">
        <v>415979</v>
      </c>
      <c r="B342" t="s">
        <v>50</v>
      </c>
      <c r="C342" s="10">
        <v>17.16</v>
      </c>
      <c r="D342" s="10">
        <v>16.170000000000002</v>
      </c>
      <c r="E342" s="10">
        <v>0</v>
      </c>
      <c r="F342">
        <v>75</v>
      </c>
      <c r="G342" t="s">
        <v>19</v>
      </c>
      <c r="H342" s="11">
        <v>45987</v>
      </c>
      <c r="I342" t="s">
        <v>13</v>
      </c>
      <c r="J342" s="12">
        <v>2.25</v>
      </c>
      <c r="K342" s="3">
        <v>72.63</v>
      </c>
      <c r="L342" s="3">
        <f t="shared" si="55"/>
        <v>32.28</v>
      </c>
      <c r="M342" s="13"/>
      <c r="N342">
        <f>_xlfn.XLOOKUP(G342,'Tarievensheet per persoon'!AE:AE,'Tarievensheet per persoon'!AF:AF)</f>
        <v>1.7068000000000001</v>
      </c>
      <c r="O342">
        <f>_xlfn.XLOOKUP(G342,AE:AE,'Tarievensheet per persoon'!AG:AG)</f>
        <v>1.5528</v>
      </c>
      <c r="P342">
        <f>_xlfn.XLOOKUP(G342,AE:AE,'Tarievensheet per persoon'!AH:AH)</f>
        <v>1.3391999999999999</v>
      </c>
      <c r="Q342">
        <f>_xlfn.XLOOKUP(G342,AE:AE,'Tarievensheet per persoon'!AI:AI)</f>
        <v>1.3391999999999999</v>
      </c>
      <c r="R342">
        <v>0</v>
      </c>
      <c r="S342" s="14">
        <v>2.99</v>
      </c>
      <c r="T342" s="10">
        <f t="shared" si="56"/>
        <v>32.278688000000002</v>
      </c>
      <c r="U342" s="10">
        <f t="shared" si="57"/>
        <v>41.071883840000005</v>
      </c>
      <c r="V342" s="10">
        <f t="shared" si="58"/>
        <v>41.604804800000004</v>
      </c>
      <c r="W342" s="10">
        <f t="shared" si="59"/>
        <v>53.595526400000004</v>
      </c>
      <c r="X342" s="10">
        <f t="shared" si="60"/>
        <v>58.924736000000003</v>
      </c>
      <c r="Y342" s="10">
        <f t="shared" si="61"/>
        <v>85.570784000000003</v>
      </c>
      <c r="Z342" s="10">
        <f t="shared" si="62"/>
        <v>30.316809600000003</v>
      </c>
      <c r="AA342" s="10">
        <f t="shared" si="63"/>
        <v>38.978755200000002</v>
      </c>
      <c r="AB342" s="10">
        <f t="shared" si="64"/>
        <v>43.309728</v>
      </c>
      <c r="AC342" s="10">
        <f t="shared" si="65"/>
        <v>64.96459200000001</v>
      </c>
    </row>
    <row r="343" spans="1:29" x14ac:dyDescent="0.25">
      <c r="A343">
        <v>415979</v>
      </c>
      <c r="B343" t="s">
        <v>50</v>
      </c>
      <c r="C343" s="10">
        <v>17.16</v>
      </c>
      <c r="D343" s="10">
        <v>16.170000000000002</v>
      </c>
      <c r="E343" s="10">
        <v>0</v>
      </c>
      <c r="F343">
        <v>75</v>
      </c>
      <c r="G343" t="s">
        <v>19</v>
      </c>
      <c r="H343" s="11">
        <v>45987</v>
      </c>
      <c r="I343" t="s">
        <v>21</v>
      </c>
      <c r="J343" s="12">
        <v>5.5</v>
      </c>
      <c r="K343" s="3">
        <v>225.89</v>
      </c>
      <c r="L343" s="3">
        <f t="shared" si="55"/>
        <v>41.07090909090909</v>
      </c>
      <c r="M343" s="13"/>
      <c r="N343">
        <f>_xlfn.XLOOKUP(G343,'Tarievensheet per persoon'!AE:AE,'Tarievensheet per persoon'!AF:AF)</f>
        <v>1.7068000000000001</v>
      </c>
      <c r="O343">
        <f>_xlfn.XLOOKUP(G343,AE:AE,'Tarievensheet per persoon'!AG:AG)</f>
        <v>1.5528</v>
      </c>
      <c r="P343">
        <f>_xlfn.XLOOKUP(G343,AE:AE,'Tarievensheet per persoon'!AH:AH)</f>
        <v>1.3391999999999999</v>
      </c>
      <c r="Q343">
        <f>_xlfn.XLOOKUP(G343,AE:AE,'Tarievensheet per persoon'!AI:AI)</f>
        <v>1.3391999999999999</v>
      </c>
      <c r="R343">
        <v>0</v>
      </c>
      <c r="S343" s="14">
        <v>2.99</v>
      </c>
      <c r="T343" s="10">
        <f t="shared" si="56"/>
        <v>32.278688000000002</v>
      </c>
      <c r="U343" s="10">
        <f t="shared" si="57"/>
        <v>41.071883840000005</v>
      </c>
      <c r="V343" s="10">
        <f t="shared" si="58"/>
        <v>41.604804800000004</v>
      </c>
      <c r="W343" s="10">
        <f t="shared" si="59"/>
        <v>53.595526400000004</v>
      </c>
      <c r="X343" s="10">
        <f t="shared" si="60"/>
        <v>58.924736000000003</v>
      </c>
      <c r="Y343" s="10">
        <f t="shared" si="61"/>
        <v>85.570784000000003</v>
      </c>
      <c r="Z343" s="10">
        <f t="shared" si="62"/>
        <v>30.316809600000003</v>
      </c>
      <c r="AA343" s="10">
        <f t="shared" si="63"/>
        <v>38.978755200000002</v>
      </c>
      <c r="AB343" s="10">
        <f t="shared" si="64"/>
        <v>43.309728</v>
      </c>
      <c r="AC343" s="10">
        <f t="shared" si="65"/>
        <v>64.96459200000001</v>
      </c>
    </row>
    <row r="344" spans="1:29" x14ac:dyDescent="0.25">
      <c r="A344">
        <v>415979</v>
      </c>
      <c r="B344" t="s">
        <v>50</v>
      </c>
      <c r="C344" s="10">
        <v>17.16</v>
      </c>
      <c r="D344" s="10">
        <v>16.170000000000002</v>
      </c>
      <c r="E344" s="10">
        <v>0</v>
      </c>
      <c r="F344">
        <v>75</v>
      </c>
      <c r="G344" t="s">
        <v>19</v>
      </c>
      <c r="H344" s="11">
        <v>45987</v>
      </c>
      <c r="I344" t="s">
        <v>22</v>
      </c>
      <c r="J344" s="12">
        <v>0.75</v>
      </c>
      <c r="K344" s="3">
        <v>31.21</v>
      </c>
      <c r="L344" s="3">
        <f t="shared" si="55"/>
        <v>41.613333333333337</v>
      </c>
      <c r="M344" s="13"/>
      <c r="N344">
        <f>_xlfn.XLOOKUP(G344,'Tarievensheet per persoon'!AE:AE,'Tarievensheet per persoon'!AF:AF)</f>
        <v>1.7068000000000001</v>
      </c>
      <c r="O344">
        <f>_xlfn.XLOOKUP(G344,AE:AE,'Tarievensheet per persoon'!AG:AG)</f>
        <v>1.5528</v>
      </c>
      <c r="P344">
        <f>_xlfn.XLOOKUP(G344,AE:AE,'Tarievensheet per persoon'!AH:AH)</f>
        <v>1.3391999999999999</v>
      </c>
      <c r="Q344">
        <f>_xlfn.XLOOKUP(G344,AE:AE,'Tarievensheet per persoon'!AI:AI)</f>
        <v>1.3391999999999999</v>
      </c>
      <c r="R344">
        <v>0</v>
      </c>
      <c r="S344" s="14">
        <v>2.99</v>
      </c>
      <c r="T344" s="10">
        <f t="shared" si="56"/>
        <v>32.278688000000002</v>
      </c>
      <c r="U344" s="10">
        <f t="shared" si="57"/>
        <v>41.071883840000005</v>
      </c>
      <c r="V344" s="10">
        <f t="shared" si="58"/>
        <v>41.604804800000004</v>
      </c>
      <c r="W344" s="10">
        <f t="shared" si="59"/>
        <v>53.595526400000004</v>
      </c>
      <c r="X344" s="10">
        <f t="shared" si="60"/>
        <v>58.924736000000003</v>
      </c>
      <c r="Y344" s="10">
        <f t="shared" si="61"/>
        <v>85.570784000000003</v>
      </c>
      <c r="Z344" s="10">
        <f t="shared" si="62"/>
        <v>30.316809600000003</v>
      </c>
      <c r="AA344" s="10">
        <f t="shared" si="63"/>
        <v>38.978755200000002</v>
      </c>
      <c r="AB344" s="10">
        <f t="shared" si="64"/>
        <v>43.309728</v>
      </c>
      <c r="AC344" s="10">
        <f t="shared" si="65"/>
        <v>64.96459200000001</v>
      </c>
    </row>
    <row r="345" spans="1:29" x14ac:dyDescent="0.25">
      <c r="A345">
        <v>415979</v>
      </c>
      <c r="B345" t="s">
        <v>50</v>
      </c>
      <c r="C345" s="10">
        <v>17.16</v>
      </c>
      <c r="D345" s="10">
        <v>16.170000000000002</v>
      </c>
      <c r="E345" s="10">
        <v>0</v>
      </c>
      <c r="F345">
        <v>75</v>
      </c>
      <c r="G345" t="s">
        <v>19</v>
      </c>
      <c r="H345" s="11">
        <v>45988</v>
      </c>
      <c r="I345" t="s">
        <v>13</v>
      </c>
      <c r="J345" s="12">
        <v>2.5</v>
      </c>
      <c r="K345" s="3">
        <v>80.7</v>
      </c>
      <c r="L345" s="3">
        <f t="shared" si="55"/>
        <v>32.28</v>
      </c>
      <c r="M345" s="13"/>
      <c r="N345">
        <f>_xlfn.XLOOKUP(G345,'Tarievensheet per persoon'!AE:AE,'Tarievensheet per persoon'!AF:AF)</f>
        <v>1.7068000000000001</v>
      </c>
      <c r="O345">
        <f>_xlfn.XLOOKUP(G345,AE:AE,'Tarievensheet per persoon'!AG:AG)</f>
        <v>1.5528</v>
      </c>
      <c r="P345">
        <f>_xlfn.XLOOKUP(G345,AE:AE,'Tarievensheet per persoon'!AH:AH)</f>
        <v>1.3391999999999999</v>
      </c>
      <c r="Q345">
        <f>_xlfn.XLOOKUP(G345,AE:AE,'Tarievensheet per persoon'!AI:AI)</f>
        <v>1.3391999999999999</v>
      </c>
      <c r="R345">
        <v>0</v>
      </c>
      <c r="S345" s="14">
        <v>2.99</v>
      </c>
      <c r="T345" s="10">
        <f t="shared" si="56"/>
        <v>32.278688000000002</v>
      </c>
      <c r="U345" s="10">
        <f t="shared" si="57"/>
        <v>41.071883840000005</v>
      </c>
      <c r="V345" s="10">
        <f t="shared" si="58"/>
        <v>41.604804800000004</v>
      </c>
      <c r="W345" s="10">
        <f t="shared" si="59"/>
        <v>53.595526400000004</v>
      </c>
      <c r="X345" s="10">
        <f t="shared" si="60"/>
        <v>58.924736000000003</v>
      </c>
      <c r="Y345" s="10">
        <f t="shared" si="61"/>
        <v>85.570784000000003</v>
      </c>
      <c r="Z345" s="10">
        <f t="shared" si="62"/>
        <v>30.316809600000003</v>
      </c>
      <c r="AA345" s="10">
        <f t="shared" si="63"/>
        <v>38.978755200000002</v>
      </c>
      <c r="AB345" s="10">
        <f t="shared" si="64"/>
        <v>43.309728</v>
      </c>
      <c r="AC345" s="10">
        <f t="shared" si="65"/>
        <v>64.96459200000001</v>
      </c>
    </row>
    <row r="346" spans="1:29" x14ac:dyDescent="0.25">
      <c r="A346">
        <v>415979</v>
      </c>
      <c r="B346" t="s">
        <v>50</v>
      </c>
      <c r="C346" s="10">
        <v>17.16</v>
      </c>
      <c r="D346" s="10">
        <v>16.170000000000002</v>
      </c>
      <c r="E346" s="10">
        <v>0</v>
      </c>
      <c r="F346">
        <v>75</v>
      </c>
      <c r="G346" t="s">
        <v>19</v>
      </c>
      <c r="H346" s="11">
        <v>45988</v>
      </c>
      <c r="I346" t="s">
        <v>21</v>
      </c>
      <c r="J346" s="12">
        <v>5</v>
      </c>
      <c r="K346" s="3">
        <v>205.35</v>
      </c>
      <c r="L346" s="3">
        <f t="shared" si="55"/>
        <v>41.07</v>
      </c>
      <c r="M346" s="13"/>
      <c r="N346">
        <f>_xlfn.XLOOKUP(G346,'Tarievensheet per persoon'!AE:AE,'Tarievensheet per persoon'!AF:AF)</f>
        <v>1.7068000000000001</v>
      </c>
      <c r="O346">
        <f>_xlfn.XLOOKUP(G346,AE:AE,'Tarievensheet per persoon'!AG:AG)</f>
        <v>1.5528</v>
      </c>
      <c r="P346">
        <f>_xlfn.XLOOKUP(G346,AE:AE,'Tarievensheet per persoon'!AH:AH)</f>
        <v>1.3391999999999999</v>
      </c>
      <c r="Q346">
        <f>_xlfn.XLOOKUP(G346,AE:AE,'Tarievensheet per persoon'!AI:AI)</f>
        <v>1.3391999999999999</v>
      </c>
      <c r="R346">
        <v>0</v>
      </c>
      <c r="S346" s="14">
        <v>2.99</v>
      </c>
      <c r="T346" s="10">
        <f t="shared" si="56"/>
        <v>32.278688000000002</v>
      </c>
      <c r="U346" s="10">
        <f t="shared" si="57"/>
        <v>41.071883840000005</v>
      </c>
      <c r="V346" s="10">
        <f t="shared" si="58"/>
        <v>41.604804800000004</v>
      </c>
      <c r="W346" s="10">
        <f t="shared" si="59"/>
        <v>53.595526400000004</v>
      </c>
      <c r="X346" s="10">
        <f t="shared" si="60"/>
        <v>58.924736000000003</v>
      </c>
      <c r="Y346" s="10">
        <f t="shared" si="61"/>
        <v>85.570784000000003</v>
      </c>
      <c r="Z346" s="10">
        <f t="shared" si="62"/>
        <v>30.316809600000003</v>
      </c>
      <c r="AA346" s="10">
        <f t="shared" si="63"/>
        <v>38.978755200000002</v>
      </c>
      <c r="AB346" s="10">
        <f t="shared" si="64"/>
        <v>43.309728</v>
      </c>
      <c r="AC346" s="10">
        <f t="shared" si="65"/>
        <v>64.96459200000001</v>
      </c>
    </row>
    <row r="347" spans="1:29" x14ac:dyDescent="0.25">
      <c r="A347">
        <v>415979</v>
      </c>
      <c r="B347" t="s">
        <v>50</v>
      </c>
      <c r="C347" s="10">
        <v>17.16</v>
      </c>
      <c r="D347" s="10">
        <v>16.170000000000002</v>
      </c>
      <c r="E347" s="10">
        <v>0</v>
      </c>
      <c r="F347">
        <v>75</v>
      </c>
      <c r="G347" t="s">
        <v>19</v>
      </c>
      <c r="H347" s="11">
        <v>45988</v>
      </c>
      <c r="I347" t="s">
        <v>22</v>
      </c>
      <c r="J347" s="12">
        <v>0.75</v>
      </c>
      <c r="K347" s="3">
        <v>31.21</v>
      </c>
      <c r="L347" s="3">
        <f t="shared" si="55"/>
        <v>41.613333333333337</v>
      </c>
      <c r="M347" s="13"/>
      <c r="N347">
        <f>_xlfn.XLOOKUP(G347,'Tarievensheet per persoon'!AE:AE,'Tarievensheet per persoon'!AF:AF)</f>
        <v>1.7068000000000001</v>
      </c>
      <c r="O347">
        <f>_xlfn.XLOOKUP(G347,AE:AE,'Tarievensheet per persoon'!AG:AG)</f>
        <v>1.5528</v>
      </c>
      <c r="P347">
        <f>_xlfn.XLOOKUP(G347,AE:AE,'Tarievensheet per persoon'!AH:AH)</f>
        <v>1.3391999999999999</v>
      </c>
      <c r="Q347">
        <f>_xlfn.XLOOKUP(G347,AE:AE,'Tarievensheet per persoon'!AI:AI)</f>
        <v>1.3391999999999999</v>
      </c>
      <c r="R347">
        <v>0</v>
      </c>
      <c r="S347" s="14">
        <v>2.99</v>
      </c>
      <c r="T347" s="10">
        <f t="shared" si="56"/>
        <v>32.278688000000002</v>
      </c>
      <c r="U347" s="10">
        <f t="shared" si="57"/>
        <v>41.071883840000005</v>
      </c>
      <c r="V347" s="10">
        <f t="shared" si="58"/>
        <v>41.604804800000004</v>
      </c>
      <c r="W347" s="10">
        <f t="shared" si="59"/>
        <v>53.595526400000004</v>
      </c>
      <c r="X347" s="10">
        <f t="shared" si="60"/>
        <v>58.924736000000003</v>
      </c>
      <c r="Y347" s="10">
        <f t="shared" si="61"/>
        <v>85.570784000000003</v>
      </c>
      <c r="Z347" s="10">
        <f t="shared" si="62"/>
        <v>30.316809600000003</v>
      </c>
      <c r="AA347" s="10">
        <f t="shared" si="63"/>
        <v>38.978755200000002</v>
      </c>
      <c r="AB347" s="10">
        <f t="shared" si="64"/>
        <v>43.309728</v>
      </c>
      <c r="AC347" s="10">
        <f t="shared" si="65"/>
        <v>64.96459200000001</v>
      </c>
    </row>
    <row r="348" spans="1:29" x14ac:dyDescent="0.25">
      <c r="A348">
        <v>415979</v>
      </c>
      <c r="B348" t="s">
        <v>50</v>
      </c>
      <c r="C348" s="10">
        <v>17.16</v>
      </c>
      <c r="D348" s="10">
        <v>16.170000000000002</v>
      </c>
      <c r="E348" s="10">
        <v>0</v>
      </c>
      <c r="F348">
        <v>75</v>
      </c>
      <c r="G348" t="s">
        <v>19</v>
      </c>
      <c r="H348" s="11">
        <v>45989</v>
      </c>
      <c r="I348" t="s">
        <v>13</v>
      </c>
      <c r="J348" s="12">
        <v>2.25</v>
      </c>
      <c r="K348" s="3">
        <v>72.63</v>
      </c>
      <c r="L348" s="3">
        <f t="shared" si="55"/>
        <v>32.28</v>
      </c>
      <c r="M348" s="13"/>
      <c r="N348">
        <f>_xlfn.XLOOKUP(G348,'Tarievensheet per persoon'!AE:AE,'Tarievensheet per persoon'!AF:AF)</f>
        <v>1.7068000000000001</v>
      </c>
      <c r="O348">
        <f>_xlfn.XLOOKUP(G348,AE:AE,'Tarievensheet per persoon'!AG:AG)</f>
        <v>1.5528</v>
      </c>
      <c r="P348">
        <f>_xlfn.XLOOKUP(G348,AE:AE,'Tarievensheet per persoon'!AH:AH)</f>
        <v>1.3391999999999999</v>
      </c>
      <c r="Q348">
        <f>_xlfn.XLOOKUP(G348,AE:AE,'Tarievensheet per persoon'!AI:AI)</f>
        <v>1.3391999999999999</v>
      </c>
      <c r="R348">
        <v>0</v>
      </c>
      <c r="S348" s="14">
        <v>2.99</v>
      </c>
      <c r="T348" s="10">
        <f t="shared" si="56"/>
        <v>32.278688000000002</v>
      </c>
      <c r="U348" s="10">
        <f t="shared" si="57"/>
        <v>41.071883840000005</v>
      </c>
      <c r="V348" s="10">
        <f t="shared" si="58"/>
        <v>41.604804800000004</v>
      </c>
      <c r="W348" s="10">
        <f t="shared" si="59"/>
        <v>53.595526400000004</v>
      </c>
      <c r="X348" s="10">
        <f t="shared" si="60"/>
        <v>58.924736000000003</v>
      </c>
      <c r="Y348" s="10">
        <f t="shared" si="61"/>
        <v>85.570784000000003</v>
      </c>
      <c r="Z348" s="10">
        <f t="shared" si="62"/>
        <v>30.316809600000003</v>
      </c>
      <c r="AA348" s="10">
        <f t="shared" si="63"/>
        <v>38.978755200000002</v>
      </c>
      <c r="AB348" s="10">
        <f t="shared" si="64"/>
        <v>43.309728</v>
      </c>
      <c r="AC348" s="10">
        <f t="shared" si="65"/>
        <v>64.96459200000001</v>
      </c>
    </row>
    <row r="349" spans="1:29" x14ac:dyDescent="0.25">
      <c r="A349">
        <v>415979</v>
      </c>
      <c r="B349" t="s">
        <v>50</v>
      </c>
      <c r="C349" s="10">
        <v>17.16</v>
      </c>
      <c r="D349" s="10">
        <v>16.170000000000002</v>
      </c>
      <c r="E349" s="10">
        <v>0</v>
      </c>
      <c r="F349">
        <v>75</v>
      </c>
      <c r="G349" t="s">
        <v>19</v>
      </c>
      <c r="H349" s="11">
        <v>45989</v>
      </c>
      <c r="I349" t="s">
        <v>21</v>
      </c>
      <c r="J349" s="12">
        <v>4.5</v>
      </c>
      <c r="K349" s="3">
        <v>184.82</v>
      </c>
      <c r="L349" s="3">
        <f t="shared" si="55"/>
        <v>41.071111111111108</v>
      </c>
      <c r="M349" s="13"/>
      <c r="N349">
        <f>_xlfn.XLOOKUP(G349,'Tarievensheet per persoon'!AE:AE,'Tarievensheet per persoon'!AF:AF)</f>
        <v>1.7068000000000001</v>
      </c>
      <c r="O349">
        <f>_xlfn.XLOOKUP(G349,AE:AE,'Tarievensheet per persoon'!AG:AG)</f>
        <v>1.5528</v>
      </c>
      <c r="P349">
        <f>_xlfn.XLOOKUP(G349,AE:AE,'Tarievensheet per persoon'!AH:AH)</f>
        <v>1.3391999999999999</v>
      </c>
      <c r="Q349">
        <f>_xlfn.XLOOKUP(G349,AE:AE,'Tarievensheet per persoon'!AI:AI)</f>
        <v>1.3391999999999999</v>
      </c>
      <c r="R349">
        <v>0</v>
      </c>
      <c r="S349" s="14">
        <v>2.99</v>
      </c>
      <c r="T349" s="10">
        <f t="shared" si="56"/>
        <v>32.278688000000002</v>
      </c>
      <c r="U349" s="10">
        <f t="shared" si="57"/>
        <v>41.071883840000005</v>
      </c>
      <c r="V349" s="10">
        <f t="shared" si="58"/>
        <v>41.604804800000004</v>
      </c>
      <c r="W349" s="10">
        <f t="shared" si="59"/>
        <v>53.595526400000004</v>
      </c>
      <c r="X349" s="10">
        <f t="shared" si="60"/>
        <v>58.924736000000003</v>
      </c>
      <c r="Y349" s="10">
        <f t="shared" si="61"/>
        <v>85.570784000000003</v>
      </c>
      <c r="Z349" s="10">
        <f t="shared" si="62"/>
        <v>30.316809600000003</v>
      </c>
      <c r="AA349" s="10">
        <f t="shared" si="63"/>
        <v>38.978755200000002</v>
      </c>
      <c r="AB349" s="10">
        <f t="shared" si="64"/>
        <v>43.309728</v>
      </c>
      <c r="AC349" s="10">
        <f t="shared" si="65"/>
        <v>64.96459200000001</v>
      </c>
    </row>
    <row r="350" spans="1:29" x14ac:dyDescent="0.25">
      <c r="A350">
        <v>416114</v>
      </c>
      <c r="B350" t="s">
        <v>51</v>
      </c>
      <c r="C350" s="10">
        <v>15.89</v>
      </c>
      <c r="D350" s="10">
        <v>14.98</v>
      </c>
      <c r="E350" s="10">
        <v>0</v>
      </c>
      <c r="F350">
        <v>42</v>
      </c>
      <c r="G350" t="s">
        <v>15</v>
      </c>
      <c r="H350" s="11">
        <v>45985</v>
      </c>
      <c r="I350" t="s">
        <v>13</v>
      </c>
      <c r="J350" s="12">
        <v>2.25</v>
      </c>
      <c r="K350" s="3">
        <v>67.59</v>
      </c>
      <c r="L350" s="3">
        <f t="shared" si="55"/>
        <v>30.040000000000003</v>
      </c>
      <c r="M350" s="13"/>
      <c r="N350">
        <f>_xlfn.XLOOKUP(G350,'Tarievensheet per persoon'!AE:AE,'Tarievensheet per persoon'!AF:AF)</f>
        <v>1.7024999999999999</v>
      </c>
      <c r="O350">
        <f>_xlfn.XLOOKUP(G350,AE:AE,'Tarievensheet per persoon'!AG:AG)</f>
        <v>1.5642</v>
      </c>
      <c r="P350">
        <f>_xlfn.XLOOKUP(G350,AE:AE,'Tarievensheet per persoon'!AH:AH)</f>
        <v>1.3552</v>
      </c>
      <c r="Q350">
        <f>_xlfn.XLOOKUP(G350,AE:AE,'Tarievensheet per persoon'!AI:AI)</f>
        <v>1.3552</v>
      </c>
      <c r="R350">
        <v>0</v>
      </c>
      <c r="S350" s="14">
        <v>2.99</v>
      </c>
      <c r="T350" s="10">
        <f t="shared" si="56"/>
        <v>30.042724999999997</v>
      </c>
      <c r="U350" s="10">
        <f t="shared" si="57"/>
        <v>38.244920539999995</v>
      </c>
      <c r="V350" s="10">
        <f t="shared" si="58"/>
        <v>38.7420233</v>
      </c>
      <c r="W350" s="10">
        <f t="shared" si="59"/>
        <v>49.926835400000002</v>
      </c>
      <c r="X350" s="10">
        <f t="shared" si="60"/>
        <v>54.897863000000001</v>
      </c>
      <c r="Y350" s="10">
        <f t="shared" si="61"/>
        <v>79.753000999999998</v>
      </c>
      <c r="Z350" s="10">
        <f t="shared" si="62"/>
        <v>28.421254399999995</v>
      </c>
      <c r="AA350" s="10">
        <f t="shared" si="63"/>
        <v>36.541612800000003</v>
      </c>
      <c r="AB350" s="10">
        <f t="shared" si="64"/>
        <v>40.601792000000003</v>
      </c>
      <c r="AC350" s="10">
        <f t="shared" si="65"/>
        <v>60.902687999999998</v>
      </c>
    </row>
    <row r="351" spans="1:29" x14ac:dyDescent="0.25">
      <c r="A351">
        <v>416114</v>
      </c>
      <c r="B351" t="s">
        <v>51</v>
      </c>
      <c r="C351" s="10">
        <v>15.89</v>
      </c>
      <c r="D351" s="10">
        <v>14.98</v>
      </c>
      <c r="E351" s="10">
        <v>0</v>
      </c>
      <c r="F351">
        <v>42</v>
      </c>
      <c r="G351" t="s">
        <v>15</v>
      </c>
      <c r="H351" s="11">
        <v>45985</v>
      </c>
      <c r="I351" t="s">
        <v>21</v>
      </c>
      <c r="J351" s="12">
        <v>5.25</v>
      </c>
      <c r="K351" s="3">
        <v>200.76</v>
      </c>
      <c r="L351" s="3">
        <f t="shared" si="55"/>
        <v>38.239999999999995</v>
      </c>
      <c r="M351" s="13"/>
      <c r="N351">
        <f>_xlfn.XLOOKUP(G351,'Tarievensheet per persoon'!AE:AE,'Tarievensheet per persoon'!AF:AF)</f>
        <v>1.7024999999999999</v>
      </c>
      <c r="O351">
        <f>_xlfn.XLOOKUP(G351,AE:AE,'Tarievensheet per persoon'!AG:AG)</f>
        <v>1.5642</v>
      </c>
      <c r="P351">
        <f>_xlfn.XLOOKUP(G351,AE:AE,'Tarievensheet per persoon'!AH:AH)</f>
        <v>1.3552</v>
      </c>
      <c r="Q351">
        <f>_xlfn.XLOOKUP(G351,AE:AE,'Tarievensheet per persoon'!AI:AI)</f>
        <v>1.3552</v>
      </c>
      <c r="R351">
        <v>0</v>
      </c>
      <c r="S351" s="14">
        <v>2.99</v>
      </c>
      <c r="T351" s="10">
        <f t="shared" si="56"/>
        <v>30.042724999999997</v>
      </c>
      <c r="U351" s="10">
        <f t="shared" si="57"/>
        <v>38.244920539999995</v>
      </c>
      <c r="V351" s="10">
        <f t="shared" si="58"/>
        <v>38.7420233</v>
      </c>
      <c r="W351" s="10">
        <f t="shared" si="59"/>
        <v>49.926835400000002</v>
      </c>
      <c r="X351" s="10">
        <f t="shared" si="60"/>
        <v>54.897863000000001</v>
      </c>
      <c r="Y351" s="10">
        <f t="shared" si="61"/>
        <v>79.753000999999998</v>
      </c>
      <c r="Z351" s="10">
        <f t="shared" si="62"/>
        <v>28.421254399999995</v>
      </c>
      <c r="AA351" s="10">
        <f t="shared" si="63"/>
        <v>36.541612800000003</v>
      </c>
      <c r="AB351" s="10">
        <f t="shared" si="64"/>
        <v>40.601792000000003</v>
      </c>
      <c r="AC351" s="10">
        <f t="shared" si="65"/>
        <v>60.902687999999998</v>
      </c>
    </row>
    <row r="352" spans="1:29" x14ac:dyDescent="0.25">
      <c r="A352">
        <v>416114</v>
      </c>
      <c r="B352" t="s">
        <v>51</v>
      </c>
      <c r="C352" s="10">
        <v>15.89</v>
      </c>
      <c r="D352" s="10">
        <v>14.98</v>
      </c>
      <c r="E352" s="10">
        <v>0</v>
      </c>
      <c r="F352">
        <v>42</v>
      </c>
      <c r="G352" t="s">
        <v>15</v>
      </c>
      <c r="H352" s="11">
        <v>45987</v>
      </c>
      <c r="I352" t="s">
        <v>13</v>
      </c>
      <c r="J352" s="12">
        <v>2.25</v>
      </c>
      <c r="K352" s="3">
        <v>67.59</v>
      </c>
      <c r="L352" s="3">
        <f t="shared" si="55"/>
        <v>30.040000000000003</v>
      </c>
      <c r="M352" s="13"/>
      <c r="N352">
        <f>_xlfn.XLOOKUP(G352,'Tarievensheet per persoon'!AE:AE,'Tarievensheet per persoon'!AF:AF)</f>
        <v>1.7024999999999999</v>
      </c>
      <c r="O352">
        <f>_xlfn.XLOOKUP(G352,AE:AE,'Tarievensheet per persoon'!AG:AG)</f>
        <v>1.5642</v>
      </c>
      <c r="P352">
        <f>_xlfn.XLOOKUP(G352,AE:AE,'Tarievensheet per persoon'!AH:AH)</f>
        <v>1.3552</v>
      </c>
      <c r="Q352">
        <f>_xlfn.XLOOKUP(G352,AE:AE,'Tarievensheet per persoon'!AI:AI)</f>
        <v>1.3552</v>
      </c>
      <c r="R352">
        <v>0</v>
      </c>
      <c r="S352" s="14">
        <v>2.99</v>
      </c>
      <c r="T352" s="10">
        <f t="shared" si="56"/>
        <v>30.042724999999997</v>
      </c>
      <c r="U352" s="10">
        <f t="shared" si="57"/>
        <v>38.244920539999995</v>
      </c>
      <c r="V352" s="10">
        <f t="shared" si="58"/>
        <v>38.7420233</v>
      </c>
      <c r="W352" s="10">
        <f t="shared" si="59"/>
        <v>49.926835400000002</v>
      </c>
      <c r="X352" s="10">
        <f t="shared" si="60"/>
        <v>54.897863000000001</v>
      </c>
      <c r="Y352" s="10">
        <f t="shared" si="61"/>
        <v>79.753000999999998</v>
      </c>
      <c r="Z352" s="10">
        <f t="shared" si="62"/>
        <v>28.421254399999995</v>
      </c>
      <c r="AA352" s="10">
        <f t="shared" si="63"/>
        <v>36.541612800000003</v>
      </c>
      <c r="AB352" s="10">
        <f t="shared" si="64"/>
        <v>40.601792000000003</v>
      </c>
      <c r="AC352" s="10">
        <f t="shared" si="65"/>
        <v>60.902687999999998</v>
      </c>
    </row>
    <row r="353" spans="1:29" x14ac:dyDescent="0.25">
      <c r="A353">
        <v>416114</v>
      </c>
      <c r="B353" t="s">
        <v>51</v>
      </c>
      <c r="C353" s="10">
        <v>15.89</v>
      </c>
      <c r="D353" s="10">
        <v>14.98</v>
      </c>
      <c r="E353" s="10">
        <v>0</v>
      </c>
      <c r="F353">
        <v>42</v>
      </c>
      <c r="G353" t="s">
        <v>15</v>
      </c>
      <c r="H353" s="11">
        <v>45987</v>
      </c>
      <c r="I353" t="s">
        <v>21</v>
      </c>
      <c r="J353" s="12">
        <v>4.75</v>
      </c>
      <c r="K353" s="3">
        <v>181.64</v>
      </c>
      <c r="L353" s="3">
        <f t="shared" si="55"/>
        <v>38.239999999999995</v>
      </c>
      <c r="M353" s="13"/>
      <c r="N353">
        <f>_xlfn.XLOOKUP(G353,'Tarievensheet per persoon'!AE:AE,'Tarievensheet per persoon'!AF:AF)</f>
        <v>1.7024999999999999</v>
      </c>
      <c r="O353">
        <f>_xlfn.XLOOKUP(G353,AE:AE,'Tarievensheet per persoon'!AG:AG)</f>
        <v>1.5642</v>
      </c>
      <c r="P353">
        <f>_xlfn.XLOOKUP(G353,AE:AE,'Tarievensheet per persoon'!AH:AH)</f>
        <v>1.3552</v>
      </c>
      <c r="Q353">
        <f>_xlfn.XLOOKUP(G353,AE:AE,'Tarievensheet per persoon'!AI:AI)</f>
        <v>1.3552</v>
      </c>
      <c r="R353">
        <v>0</v>
      </c>
      <c r="S353" s="14">
        <v>2.99</v>
      </c>
      <c r="T353" s="10">
        <f t="shared" si="56"/>
        <v>30.042724999999997</v>
      </c>
      <c r="U353" s="10">
        <f t="shared" si="57"/>
        <v>38.244920539999995</v>
      </c>
      <c r="V353" s="10">
        <f t="shared" si="58"/>
        <v>38.7420233</v>
      </c>
      <c r="W353" s="10">
        <f t="shared" si="59"/>
        <v>49.926835400000002</v>
      </c>
      <c r="X353" s="10">
        <f t="shared" si="60"/>
        <v>54.897863000000001</v>
      </c>
      <c r="Y353" s="10">
        <f t="shared" si="61"/>
        <v>79.753000999999998</v>
      </c>
      <c r="Z353" s="10">
        <f t="shared" si="62"/>
        <v>28.421254399999995</v>
      </c>
      <c r="AA353" s="10">
        <f t="shared" si="63"/>
        <v>36.541612800000003</v>
      </c>
      <c r="AB353" s="10">
        <f t="shared" si="64"/>
        <v>40.601792000000003</v>
      </c>
      <c r="AC353" s="10">
        <f t="shared" si="65"/>
        <v>60.902687999999998</v>
      </c>
    </row>
    <row r="354" spans="1:29" x14ac:dyDescent="0.25">
      <c r="A354">
        <v>416114</v>
      </c>
      <c r="B354" t="s">
        <v>51</v>
      </c>
      <c r="C354" s="10">
        <v>15.89</v>
      </c>
      <c r="D354" s="10">
        <v>14.98</v>
      </c>
      <c r="E354" s="10">
        <v>0</v>
      </c>
      <c r="F354">
        <v>42</v>
      </c>
      <c r="G354" t="s">
        <v>15</v>
      </c>
      <c r="H354" s="11">
        <v>45988</v>
      </c>
      <c r="I354" t="s">
        <v>13</v>
      </c>
      <c r="J354" s="12">
        <v>2.25</v>
      </c>
      <c r="K354" s="3">
        <v>67.59</v>
      </c>
      <c r="L354" s="3">
        <f t="shared" si="55"/>
        <v>30.040000000000003</v>
      </c>
      <c r="M354" s="13"/>
      <c r="N354">
        <f>_xlfn.XLOOKUP(G354,'Tarievensheet per persoon'!AE:AE,'Tarievensheet per persoon'!AF:AF)</f>
        <v>1.7024999999999999</v>
      </c>
      <c r="O354">
        <f>_xlfn.XLOOKUP(G354,AE:AE,'Tarievensheet per persoon'!AG:AG)</f>
        <v>1.5642</v>
      </c>
      <c r="P354">
        <f>_xlfn.XLOOKUP(G354,AE:AE,'Tarievensheet per persoon'!AH:AH)</f>
        <v>1.3552</v>
      </c>
      <c r="Q354">
        <f>_xlfn.XLOOKUP(G354,AE:AE,'Tarievensheet per persoon'!AI:AI)</f>
        <v>1.3552</v>
      </c>
      <c r="R354">
        <v>0</v>
      </c>
      <c r="S354" s="14">
        <v>2.99</v>
      </c>
      <c r="T354" s="10">
        <f t="shared" si="56"/>
        <v>30.042724999999997</v>
      </c>
      <c r="U354" s="10">
        <f t="shared" si="57"/>
        <v>38.244920539999995</v>
      </c>
      <c r="V354" s="10">
        <f t="shared" si="58"/>
        <v>38.7420233</v>
      </c>
      <c r="W354" s="10">
        <f t="shared" si="59"/>
        <v>49.926835400000002</v>
      </c>
      <c r="X354" s="10">
        <f t="shared" si="60"/>
        <v>54.897863000000001</v>
      </c>
      <c r="Y354" s="10">
        <f t="shared" si="61"/>
        <v>79.753000999999998</v>
      </c>
      <c r="Z354" s="10">
        <f t="shared" si="62"/>
        <v>28.421254399999995</v>
      </c>
      <c r="AA354" s="10">
        <f t="shared" si="63"/>
        <v>36.541612800000003</v>
      </c>
      <c r="AB354" s="10">
        <f t="shared" si="64"/>
        <v>40.601792000000003</v>
      </c>
      <c r="AC354" s="10">
        <f t="shared" si="65"/>
        <v>60.902687999999998</v>
      </c>
    </row>
    <row r="355" spans="1:29" x14ac:dyDescent="0.25">
      <c r="A355">
        <v>416114</v>
      </c>
      <c r="B355" t="s">
        <v>51</v>
      </c>
      <c r="C355" s="10">
        <v>15.89</v>
      </c>
      <c r="D355" s="10">
        <v>14.98</v>
      </c>
      <c r="E355" s="10">
        <v>0</v>
      </c>
      <c r="F355">
        <v>42</v>
      </c>
      <c r="G355" t="s">
        <v>15</v>
      </c>
      <c r="H355" s="11">
        <v>45988</v>
      </c>
      <c r="I355" t="s">
        <v>21</v>
      </c>
      <c r="J355" s="12">
        <v>5.25</v>
      </c>
      <c r="K355" s="3">
        <v>200.76</v>
      </c>
      <c r="L355" s="3">
        <f t="shared" si="55"/>
        <v>38.239999999999995</v>
      </c>
      <c r="M355" s="13"/>
      <c r="N355">
        <f>_xlfn.XLOOKUP(G355,'Tarievensheet per persoon'!AE:AE,'Tarievensheet per persoon'!AF:AF)</f>
        <v>1.7024999999999999</v>
      </c>
      <c r="O355">
        <f>_xlfn.XLOOKUP(G355,AE:AE,'Tarievensheet per persoon'!AG:AG)</f>
        <v>1.5642</v>
      </c>
      <c r="P355">
        <f>_xlfn.XLOOKUP(G355,AE:AE,'Tarievensheet per persoon'!AH:AH)</f>
        <v>1.3552</v>
      </c>
      <c r="Q355">
        <f>_xlfn.XLOOKUP(G355,AE:AE,'Tarievensheet per persoon'!AI:AI)</f>
        <v>1.3552</v>
      </c>
      <c r="R355">
        <v>0</v>
      </c>
      <c r="S355" s="14">
        <v>2.99</v>
      </c>
      <c r="T355" s="10">
        <f t="shared" si="56"/>
        <v>30.042724999999997</v>
      </c>
      <c r="U355" s="10">
        <f t="shared" si="57"/>
        <v>38.244920539999995</v>
      </c>
      <c r="V355" s="10">
        <f t="shared" si="58"/>
        <v>38.7420233</v>
      </c>
      <c r="W355" s="10">
        <f t="shared" si="59"/>
        <v>49.926835400000002</v>
      </c>
      <c r="X355" s="10">
        <f t="shared" si="60"/>
        <v>54.897863000000001</v>
      </c>
      <c r="Y355" s="10">
        <f t="shared" si="61"/>
        <v>79.753000999999998</v>
      </c>
      <c r="Z355" s="10">
        <f t="shared" si="62"/>
        <v>28.421254399999995</v>
      </c>
      <c r="AA355" s="10">
        <f t="shared" si="63"/>
        <v>36.541612800000003</v>
      </c>
      <c r="AB355" s="10">
        <f t="shared" si="64"/>
        <v>40.601792000000003</v>
      </c>
      <c r="AC355" s="10">
        <f t="shared" si="65"/>
        <v>60.902687999999998</v>
      </c>
    </row>
    <row r="356" spans="1:29" x14ac:dyDescent="0.25">
      <c r="A356">
        <v>416114</v>
      </c>
      <c r="B356" t="s">
        <v>51</v>
      </c>
      <c r="C356" s="10">
        <v>15.89</v>
      </c>
      <c r="D356" s="10">
        <v>14.98</v>
      </c>
      <c r="E356" s="10">
        <v>0</v>
      </c>
      <c r="F356">
        <v>42</v>
      </c>
      <c r="G356" t="s">
        <v>15</v>
      </c>
      <c r="H356" s="11">
        <v>45989</v>
      </c>
      <c r="I356" t="s">
        <v>13</v>
      </c>
      <c r="J356" s="12">
        <v>2.25</v>
      </c>
      <c r="K356" s="3">
        <v>67.59</v>
      </c>
      <c r="L356" s="3">
        <f t="shared" si="55"/>
        <v>30.040000000000003</v>
      </c>
      <c r="M356" s="13"/>
      <c r="N356">
        <f>_xlfn.XLOOKUP(G356,'Tarievensheet per persoon'!AE:AE,'Tarievensheet per persoon'!AF:AF)</f>
        <v>1.7024999999999999</v>
      </c>
      <c r="O356">
        <f>_xlfn.XLOOKUP(G356,AE:AE,'Tarievensheet per persoon'!AG:AG)</f>
        <v>1.5642</v>
      </c>
      <c r="P356">
        <f>_xlfn.XLOOKUP(G356,AE:AE,'Tarievensheet per persoon'!AH:AH)</f>
        <v>1.3552</v>
      </c>
      <c r="Q356">
        <f>_xlfn.XLOOKUP(G356,AE:AE,'Tarievensheet per persoon'!AI:AI)</f>
        <v>1.3552</v>
      </c>
      <c r="R356">
        <v>0</v>
      </c>
      <c r="S356" s="14">
        <v>2.99</v>
      </c>
      <c r="T356" s="10">
        <f t="shared" si="56"/>
        <v>30.042724999999997</v>
      </c>
      <c r="U356" s="10">
        <f t="shared" si="57"/>
        <v>38.244920539999995</v>
      </c>
      <c r="V356" s="10">
        <f t="shared" si="58"/>
        <v>38.7420233</v>
      </c>
      <c r="W356" s="10">
        <f t="shared" si="59"/>
        <v>49.926835400000002</v>
      </c>
      <c r="X356" s="10">
        <f t="shared" si="60"/>
        <v>54.897863000000001</v>
      </c>
      <c r="Y356" s="10">
        <f t="shared" si="61"/>
        <v>79.753000999999998</v>
      </c>
      <c r="Z356" s="10">
        <f t="shared" si="62"/>
        <v>28.421254399999995</v>
      </c>
      <c r="AA356" s="10">
        <f t="shared" si="63"/>
        <v>36.541612800000003</v>
      </c>
      <c r="AB356" s="10">
        <f t="shared" si="64"/>
        <v>40.601792000000003</v>
      </c>
      <c r="AC356" s="10">
        <f t="shared" si="65"/>
        <v>60.902687999999998</v>
      </c>
    </row>
    <row r="357" spans="1:29" x14ac:dyDescent="0.25">
      <c r="A357">
        <v>416114</v>
      </c>
      <c r="B357" t="s">
        <v>51</v>
      </c>
      <c r="C357" s="10">
        <v>15.89</v>
      </c>
      <c r="D357" s="10">
        <v>14.98</v>
      </c>
      <c r="E357" s="10">
        <v>0</v>
      </c>
      <c r="F357">
        <v>42</v>
      </c>
      <c r="G357" t="s">
        <v>15</v>
      </c>
      <c r="H357" s="11">
        <v>45989</v>
      </c>
      <c r="I357" t="s">
        <v>21</v>
      </c>
      <c r="J357" s="12">
        <v>5</v>
      </c>
      <c r="K357" s="3">
        <v>191.2</v>
      </c>
      <c r="L357" s="3">
        <f t="shared" si="55"/>
        <v>38.239999999999995</v>
      </c>
      <c r="M357" s="13"/>
      <c r="N357">
        <f>_xlfn.XLOOKUP(G357,'Tarievensheet per persoon'!AE:AE,'Tarievensheet per persoon'!AF:AF)</f>
        <v>1.7024999999999999</v>
      </c>
      <c r="O357">
        <f>_xlfn.XLOOKUP(G357,AE:AE,'Tarievensheet per persoon'!AG:AG)</f>
        <v>1.5642</v>
      </c>
      <c r="P357">
        <f>_xlfn.XLOOKUP(G357,AE:AE,'Tarievensheet per persoon'!AH:AH)</f>
        <v>1.3552</v>
      </c>
      <c r="Q357">
        <f>_xlfn.XLOOKUP(G357,AE:AE,'Tarievensheet per persoon'!AI:AI)</f>
        <v>1.3552</v>
      </c>
      <c r="R357">
        <v>0</v>
      </c>
      <c r="S357" s="14">
        <v>2.99</v>
      </c>
      <c r="T357" s="10">
        <f t="shared" si="56"/>
        <v>30.042724999999997</v>
      </c>
      <c r="U357" s="10">
        <f t="shared" si="57"/>
        <v>38.244920539999995</v>
      </c>
      <c r="V357" s="10">
        <f t="shared" si="58"/>
        <v>38.7420233</v>
      </c>
      <c r="W357" s="10">
        <f t="shared" si="59"/>
        <v>49.926835400000002</v>
      </c>
      <c r="X357" s="10">
        <f t="shared" si="60"/>
        <v>54.897863000000001</v>
      </c>
      <c r="Y357" s="10">
        <f t="shared" si="61"/>
        <v>79.753000999999998</v>
      </c>
      <c r="Z357" s="10">
        <f t="shared" si="62"/>
        <v>28.421254399999995</v>
      </c>
      <c r="AA357" s="10">
        <f t="shared" si="63"/>
        <v>36.541612800000003</v>
      </c>
      <c r="AB357" s="10">
        <f t="shared" si="64"/>
        <v>40.601792000000003</v>
      </c>
      <c r="AC357" s="10">
        <f t="shared" si="65"/>
        <v>60.902687999999998</v>
      </c>
    </row>
    <row r="358" spans="1:29" x14ac:dyDescent="0.25">
      <c r="A358">
        <v>416222</v>
      </c>
      <c r="B358" t="s">
        <v>52</v>
      </c>
      <c r="C358" s="10">
        <v>15.89</v>
      </c>
      <c r="D358" s="10">
        <v>14.98</v>
      </c>
      <c r="E358" s="10">
        <v>0</v>
      </c>
      <c r="F358">
        <v>38</v>
      </c>
      <c r="G358" t="s">
        <v>15</v>
      </c>
      <c r="H358" s="11">
        <v>45985</v>
      </c>
      <c r="I358" t="s">
        <v>13</v>
      </c>
      <c r="J358" s="12">
        <v>8</v>
      </c>
      <c r="K358" s="3">
        <v>240.32</v>
      </c>
      <c r="L358" s="3">
        <f t="shared" si="55"/>
        <v>30.04</v>
      </c>
      <c r="M358" s="13"/>
      <c r="N358">
        <f>_xlfn.XLOOKUP(G358,'Tarievensheet per persoon'!AE:AE,'Tarievensheet per persoon'!AF:AF)</f>
        <v>1.7024999999999999</v>
      </c>
      <c r="O358">
        <f>_xlfn.XLOOKUP(G358,AE:AE,'Tarievensheet per persoon'!AG:AG)</f>
        <v>1.5642</v>
      </c>
      <c r="P358">
        <f>_xlfn.XLOOKUP(G358,AE:AE,'Tarievensheet per persoon'!AH:AH)</f>
        <v>1.3552</v>
      </c>
      <c r="Q358">
        <f>_xlfn.XLOOKUP(G358,AE:AE,'Tarievensheet per persoon'!AI:AI)</f>
        <v>1.3552</v>
      </c>
      <c r="R358">
        <v>0</v>
      </c>
      <c r="S358" s="14">
        <v>2.99</v>
      </c>
      <c r="T358" s="10">
        <f t="shared" si="56"/>
        <v>30.042724999999997</v>
      </c>
      <c r="U358" s="10">
        <f t="shared" si="57"/>
        <v>38.244920539999995</v>
      </c>
      <c r="V358" s="10">
        <f t="shared" si="58"/>
        <v>38.7420233</v>
      </c>
      <c r="W358" s="10">
        <f t="shared" si="59"/>
        <v>49.926835400000002</v>
      </c>
      <c r="X358" s="10">
        <f t="shared" si="60"/>
        <v>54.897863000000001</v>
      </c>
      <c r="Y358" s="10">
        <f t="shared" si="61"/>
        <v>79.753000999999998</v>
      </c>
      <c r="Z358" s="10">
        <f t="shared" si="62"/>
        <v>28.421254399999995</v>
      </c>
      <c r="AA358" s="10">
        <f t="shared" si="63"/>
        <v>36.541612800000003</v>
      </c>
      <c r="AB358" s="10">
        <f t="shared" si="64"/>
        <v>40.601792000000003</v>
      </c>
      <c r="AC358" s="10">
        <f t="shared" si="65"/>
        <v>60.902687999999998</v>
      </c>
    </row>
    <row r="359" spans="1:29" x14ac:dyDescent="0.25">
      <c r="A359">
        <v>416222</v>
      </c>
      <c r="B359" t="s">
        <v>52</v>
      </c>
      <c r="C359" s="10">
        <v>15.89</v>
      </c>
      <c r="D359" s="10">
        <v>14.98</v>
      </c>
      <c r="E359" s="10">
        <v>0</v>
      </c>
      <c r="F359">
        <v>38</v>
      </c>
      <c r="G359" t="s">
        <v>15</v>
      </c>
      <c r="H359" s="11">
        <v>45986</v>
      </c>
      <c r="I359" t="s">
        <v>13</v>
      </c>
      <c r="J359" s="12">
        <v>8</v>
      </c>
      <c r="K359" s="3">
        <v>240.32</v>
      </c>
      <c r="L359" s="3">
        <f t="shared" si="55"/>
        <v>30.04</v>
      </c>
      <c r="M359" s="13"/>
      <c r="N359">
        <f>_xlfn.XLOOKUP(G359,'Tarievensheet per persoon'!AE:AE,'Tarievensheet per persoon'!AF:AF)</f>
        <v>1.7024999999999999</v>
      </c>
      <c r="O359">
        <f>_xlfn.XLOOKUP(G359,AE:AE,'Tarievensheet per persoon'!AG:AG)</f>
        <v>1.5642</v>
      </c>
      <c r="P359">
        <f>_xlfn.XLOOKUP(G359,AE:AE,'Tarievensheet per persoon'!AH:AH)</f>
        <v>1.3552</v>
      </c>
      <c r="Q359">
        <f>_xlfn.XLOOKUP(G359,AE:AE,'Tarievensheet per persoon'!AI:AI)</f>
        <v>1.3552</v>
      </c>
      <c r="R359">
        <v>0</v>
      </c>
      <c r="S359" s="14">
        <v>2.99</v>
      </c>
      <c r="T359" s="10">
        <f t="shared" si="56"/>
        <v>30.042724999999997</v>
      </c>
      <c r="U359" s="10">
        <f t="shared" si="57"/>
        <v>38.244920539999995</v>
      </c>
      <c r="V359" s="10">
        <f t="shared" si="58"/>
        <v>38.7420233</v>
      </c>
      <c r="W359" s="10">
        <f t="shared" si="59"/>
        <v>49.926835400000002</v>
      </c>
      <c r="X359" s="10">
        <f t="shared" si="60"/>
        <v>54.897863000000001</v>
      </c>
      <c r="Y359" s="10">
        <f t="shared" si="61"/>
        <v>79.753000999999998</v>
      </c>
      <c r="Z359" s="10">
        <f t="shared" si="62"/>
        <v>28.421254399999995</v>
      </c>
      <c r="AA359" s="10">
        <f t="shared" si="63"/>
        <v>36.541612800000003</v>
      </c>
      <c r="AB359" s="10">
        <f t="shared" si="64"/>
        <v>40.601792000000003</v>
      </c>
      <c r="AC359" s="10">
        <f t="shared" si="65"/>
        <v>60.902687999999998</v>
      </c>
    </row>
    <row r="360" spans="1:29" x14ac:dyDescent="0.25">
      <c r="A360">
        <v>416222</v>
      </c>
      <c r="B360" t="s">
        <v>52</v>
      </c>
      <c r="C360" s="10">
        <v>15.89</v>
      </c>
      <c r="D360" s="10">
        <v>14.98</v>
      </c>
      <c r="E360" s="10">
        <v>0</v>
      </c>
      <c r="F360">
        <v>38</v>
      </c>
      <c r="G360" t="s">
        <v>15</v>
      </c>
      <c r="H360" s="11">
        <v>45987</v>
      </c>
      <c r="I360" t="s">
        <v>13</v>
      </c>
      <c r="J360" s="12">
        <v>5</v>
      </c>
      <c r="K360" s="3">
        <v>150.19999999999999</v>
      </c>
      <c r="L360" s="3">
        <f t="shared" si="55"/>
        <v>30.04</v>
      </c>
      <c r="M360" s="13"/>
      <c r="N360">
        <f>_xlfn.XLOOKUP(G360,'Tarievensheet per persoon'!AE:AE,'Tarievensheet per persoon'!AF:AF)</f>
        <v>1.7024999999999999</v>
      </c>
      <c r="O360">
        <f>_xlfn.XLOOKUP(G360,AE:AE,'Tarievensheet per persoon'!AG:AG)</f>
        <v>1.5642</v>
      </c>
      <c r="P360">
        <f>_xlfn.XLOOKUP(G360,AE:AE,'Tarievensheet per persoon'!AH:AH)</f>
        <v>1.3552</v>
      </c>
      <c r="Q360">
        <f>_xlfn.XLOOKUP(G360,AE:AE,'Tarievensheet per persoon'!AI:AI)</f>
        <v>1.3552</v>
      </c>
      <c r="R360">
        <v>0</v>
      </c>
      <c r="S360" s="14">
        <v>2.99</v>
      </c>
      <c r="T360" s="10">
        <f t="shared" si="56"/>
        <v>30.042724999999997</v>
      </c>
      <c r="U360" s="10">
        <f t="shared" si="57"/>
        <v>38.244920539999995</v>
      </c>
      <c r="V360" s="10">
        <f t="shared" si="58"/>
        <v>38.7420233</v>
      </c>
      <c r="W360" s="10">
        <f t="shared" si="59"/>
        <v>49.926835400000002</v>
      </c>
      <c r="X360" s="10">
        <f t="shared" si="60"/>
        <v>54.897863000000001</v>
      </c>
      <c r="Y360" s="10">
        <f t="shared" si="61"/>
        <v>79.753000999999998</v>
      </c>
      <c r="Z360" s="10">
        <f t="shared" si="62"/>
        <v>28.421254399999995</v>
      </c>
      <c r="AA360" s="10">
        <f t="shared" si="63"/>
        <v>36.541612800000003</v>
      </c>
      <c r="AB360" s="10">
        <f t="shared" si="64"/>
        <v>40.601792000000003</v>
      </c>
      <c r="AC360" s="10">
        <f t="shared" si="65"/>
        <v>60.902687999999998</v>
      </c>
    </row>
    <row r="361" spans="1:29" x14ac:dyDescent="0.25">
      <c r="A361">
        <v>416222</v>
      </c>
      <c r="B361" t="s">
        <v>52</v>
      </c>
      <c r="C361" s="10">
        <v>15.89</v>
      </c>
      <c r="D361" s="10">
        <v>14.98</v>
      </c>
      <c r="E361" s="10">
        <v>0</v>
      </c>
      <c r="F361">
        <v>38</v>
      </c>
      <c r="G361" t="s">
        <v>15</v>
      </c>
      <c r="H361" s="11">
        <v>45988</v>
      </c>
      <c r="I361" t="s">
        <v>13</v>
      </c>
      <c r="J361" s="12">
        <v>8</v>
      </c>
      <c r="K361" s="3">
        <v>240.32</v>
      </c>
      <c r="L361" s="3">
        <f t="shared" si="55"/>
        <v>30.04</v>
      </c>
      <c r="M361" s="13"/>
      <c r="N361">
        <f>_xlfn.XLOOKUP(G361,'Tarievensheet per persoon'!AE:AE,'Tarievensheet per persoon'!AF:AF)</f>
        <v>1.7024999999999999</v>
      </c>
      <c r="O361">
        <f>_xlfn.XLOOKUP(G361,AE:AE,'Tarievensheet per persoon'!AG:AG)</f>
        <v>1.5642</v>
      </c>
      <c r="P361">
        <f>_xlfn.XLOOKUP(G361,AE:AE,'Tarievensheet per persoon'!AH:AH)</f>
        <v>1.3552</v>
      </c>
      <c r="Q361">
        <f>_xlfn.XLOOKUP(G361,AE:AE,'Tarievensheet per persoon'!AI:AI)</f>
        <v>1.3552</v>
      </c>
      <c r="R361">
        <v>0</v>
      </c>
      <c r="S361" s="14">
        <v>2.99</v>
      </c>
      <c r="T361" s="10">
        <f t="shared" si="56"/>
        <v>30.042724999999997</v>
      </c>
      <c r="U361" s="10">
        <f t="shared" si="57"/>
        <v>38.244920539999995</v>
      </c>
      <c r="V361" s="10">
        <f t="shared" si="58"/>
        <v>38.7420233</v>
      </c>
      <c r="W361" s="10">
        <f t="shared" si="59"/>
        <v>49.926835400000002</v>
      </c>
      <c r="X361" s="10">
        <f t="shared" si="60"/>
        <v>54.897863000000001</v>
      </c>
      <c r="Y361" s="10">
        <f t="shared" si="61"/>
        <v>79.753000999999998</v>
      </c>
      <c r="Z361" s="10">
        <f t="shared" si="62"/>
        <v>28.421254399999995</v>
      </c>
      <c r="AA361" s="10">
        <f t="shared" si="63"/>
        <v>36.541612800000003</v>
      </c>
      <c r="AB361" s="10">
        <f t="shared" si="64"/>
        <v>40.601792000000003</v>
      </c>
      <c r="AC361" s="10">
        <f t="shared" si="65"/>
        <v>60.902687999999998</v>
      </c>
    </row>
    <row r="362" spans="1:29" x14ac:dyDescent="0.25">
      <c r="A362">
        <v>416222</v>
      </c>
      <c r="B362" t="s">
        <v>52</v>
      </c>
      <c r="C362" s="10">
        <v>15.89</v>
      </c>
      <c r="D362" s="10">
        <v>14.98</v>
      </c>
      <c r="E362" s="10">
        <v>0</v>
      </c>
      <c r="F362">
        <v>38</v>
      </c>
      <c r="G362" t="s">
        <v>15</v>
      </c>
      <c r="H362" s="11">
        <v>45989</v>
      </c>
      <c r="I362" t="s">
        <v>13</v>
      </c>
      <c r="J362" s="12">
        <v>7.75</v>
      </c>
      <c r="K362" s="3">
        <v>232.81</v>
      </c>
      <c r="L362" s="3">
        <f t="shared" si="55"/>
        <v>30.04</v>
      </c>
      <c r="M362" s="13"/>
      <c r="N362">
        <f>_xlfn.XLOOKUP(G362,'Tarievensheet per persoon'!AE:AE,'Tarievensheet per persoon'!AF:AF)</f>
        <v>1.7024999999999999</v>
      </c>
      <c r="O362">
        <f>_xlfn.XLOOKUP(G362,AE:AE,'Tarievensheet per persoon'!AG:AG)</f>
        <v>1.5642</v>
      </c>
      <c r="P362">
        <f>_xlfn.XLOOKUP(G362,AE:AE,'Tarievensheet per persoon'!AH:AH)</f>
        <v>1.3552</v>
      </c>
      <c r="Q362">
        <f>_xlfn.XLOOKUP(G362,AE:AE,'Tarievensheet per persoon'!AI:AI)</f>
        <v>1.3552</v>
      </c>
      <c r="R362">
        <v>0</v>
      </c>
      <c r="S362" s="14">
        <v>2.99</v>
      </c>
      <c r="T362" s="10">
        <f t="shared" si="56"/>
        <v>30.042724999999997</v>
      </c>
      <c r="U362" s="10">
        <f t="shared" si="57"/>
        <v>38.244920539999995</v>
      </c>
      <c r="V362" s="10">
        <f t="shared" si="58"/>
        <v>38.7420233</v>
      </c>
      <c r="W362" s="10">
        <f t="shared" si="59"/>
        <v>49.926835400000002</v>
      </c>
      <c r="X362" s="10">
        <f t="shared" si="60"/>
        <v>54.897863000000001</v>
      </c>
      <c r="Y362" s="10">
        <f t="shared" si="61"/>
        <v>79.753000999999998</v>
      </c>
      <c r="Z362" s="10">
        <f t="shared" si="62"/>
        <v>28.421254399999995</v>
      </c>
      <c r="AA362" s="10">
        <f t="shared" si="63"/>
        <v>36.541612800000003</v>
      </c>
      <c r="AB362" s="10">
        <f t="shared" si="64"/>
        <v>40.601792000000003</v>
      </c>
      <c r="AC362" s="10">
        <f t="shared" si="65"/>
        <v>60.902687999999998</v>
      </c>
    </row>
    <row r="363" spans="1:29" x14ac:dyDescent="0.25">
      <c r="A363">
        <v>416718</v>
      </c>
      <c r="B363" t="s">
        <v>53</v>
      </c>
      <c r="C363" s="10">
        <v>16.91</v>
      </c>
      <c r="D363" s="10">
        <v>15.94</v>
      </c>
      <c r="E363" s="10">
        <v>0</v>
      </c>
      <c r="F363">
        <v>26</v>
      </c>
      <c r="G363" t="s">
        <v>15</v>
      </c>
      <c r="H363" s="11">
        <v>45985</v>
      </c>
      <c r="I363" t="s">
        <v>13</v>
      </c>
      <c r="J363" s="12">
        <v>2.25</v>
      </c>
      <c r="K363" s="3">
        <v>71.510000000000005</v>
      </c>
      <c r="L363" s="3">
        <f t="shared" si="55"/>
        <v>31.782222222222224</v>
      </c>
      <c r="M363" s="13"/>
      <c r="N363">
        <f>_xlfn.XLOOKUP(G363,'Tarievensheet per persoon'!AE:AE,'Tarievensheet per persoon'!AF:AF)</f>
        <v>1.7024999999999999</v>
      </c>
      <c r="O363">
        <f>_xlfn.XLOOKUP(G363,AE:AE,'Tarievensheet per persoon'!AG:AG)</f>
        <v>1.5642</v>
      </c>
      <c r="P363">
        <f>_xlfn.XLOOKUP(G363,AE:AE,'Tarievensheet per persoon'!AH:AH)</f>
        <v>1.3552</v>
      </c>
      <c r="Q363">
        <f>_xlfn.XLOOKUP(G363,AE:AE,'Tarievensheet per persoon'!AI:AI)</f>
        <v>1.3552</v>
      </c>
      <c r="R363">
        <v>0</v>
      </c>
      <c r="S363" s="14">
        <v>2.99</v>
      </c>
      <c r="T363" s="10">
        <f t="shared" si="56"/>
        <v>31.779274999999998</v>
      </c>
      <c r="U363" s="10">
        <f t="shared" si="57"/>
        <v>40.507980259999997</v>
      </c>
      <c r="V363" s="10">
        <f t="shared" si="58"/>
        <v>41.036992699999999</v>
      </c>
      <c r="W363" s="10">
        <f t="shared" si="59"/>
        <v>52.939772599999998</v>
      </c>
      <c r="X363" s="10">
        <f t="shared" si="60"/>
        <v>58.229896999999994</v>
      </c>
      <c r="Y363" s="10">
        <f t="shared" si="61"/>
        <v>84.680519000000004</v>
      </c>
      <c r="Z363" s="10">
        <f t="shared" si="62"/>
        <v>30.242643199999996</v>
      </c>
      <c r="AA363" s="10">
        <f t="shared" si="63"/>
        <v>38.883398399999997</v>
      </c>
      <c r="AB363" s="10">
        <f t="shared" si="64"/>
        <v>43.203775999999998</v>
      </c>
      <c r="AC363" s="10">
        <f t="shared" si="65"/>
        <v>64.805663999999993</v>
      </c>
    </row>
    <row r="364" spans="1:29" x14ac:dyDescent="0.25">
      <c r="A364">
        <v>416718</v>
      </c>
      <c r="B364" t="s">
        <v>53</v>
      </c>
      <c r="C364" s="10">
        <v>16.91</v>
      </c>
      <c r="D364" s="10">
        <v>15.94</v>
      </c>
      <c r="E364" s="10">
        <v>0</v>
      </c>
      <c r="F364">
        <v>26</v>
      </c>
      <c r="G364" t="s">
        <v>15</v>
      </c>
      <c r="H364" s="11">
        <v>45985</v>
      </c>
      <c r="I364" t="s">
        <v>21</v>
      </c>
      <c r="J364" s="12">
        <v>5</v>
      </c>
      <c r="K364" s="3">
        <v>202.55</v>
      </c>
      <c r="L364" s="3">
        <f t="shared" si="55"/>
        <v>40.510000000000005</v>
      </c>
      <c r="M364" s="13"/>
      <c r="N364">
        <f>_xlfn.XLOOKUP(G364,'Tarievensheet per persoon'!AE:AE,'Tarievensheet per persoon'!AF:AF)</f>
        <v>1.7024999999999999</v>
      </c>
      <c r="O364">
        <f>_xlfn.XLOOKUP(G364,AE:AE,'Tarievensheet per persoon'!AG:AG)</f>
        <v>1.5642</v>
      </c>
      <c r="P364">
        <f>_xlfn.XLOOKUP(G364,AE:AE,'Tarievensheet per persoon'!AH:AH)</f>
        <v>1.3552</v>
      </c>
      <c r="Q364">
        <f>_xlfn.XLOOKUP(G364,AE:AE,'Tarievensheet per persoon'!AI:AI)</f>
        <v>1.3552</v>
      </c>
      <c r="R364">
        <v>0</v>
      </c>
      <c r="S364" s="14">
        <v>2.99</v>
      </c>
      <c r="T364" s="10">
        <f t="shared" si="56"/>
        <v>31.779274999999998</v>
      </c>
      <c r="U364" s="10">
        <f t="shared" si="57"/>
        <v>40.507980259999997</v>
      </c>
      <c r="V364" s="10">
        <f t="shared" si="58"/>
        <v>41.036992699999999</v>
      </c>
      <c r="W364" s="10">
        <f t="shared" si="59"/>
        <v>52.939772599999998</v>
      </c>
      <c r="X364" s="10">
        <f t="shared" si="60"/>
        <v>58.229896999999994</v>
      </c>
      <c r="Y364" s="10">
        <f t="shared" si="61"/>
        <v>84.680519000000004</v>
      </c>
      <c r="Z364" s="10">
        <f t="shared" si="62"/>
        <v>30.242643199999996</v>
      </c>
      <c r="AA364" s="10">
        <f t="shared" si="63"/>
        <v>38.883398399999997</v>
      </c>
      <c r="AB364" s="10">
        <f t="shared" si="64"/>
        <v>43.203775999999998</v>
      </c>
      <c r="AC364" s="10">
        <f t="shared" si="65"/>
        <v>64.805663999999993</v>
      </c>
    </row>
    <row r="365" spans="1:29" x14ac:dyDescent="0.25">
      <c r="A365">
        <v>416718</v>
      </c>
      <c r="B365" t="s">
        <v>53</v>
      </c>
      <c r="C365" s="10">
        <v>16.91</v>
      </c>
      <c r="D365" s="10">
        <v>15.94</v>
      </c>
      <c r="E365" s="10">
        <v>0</v>
      </c>
      <c r="F365">
        <v>26</v>
      </c>
      <c r="G365" t="s">
        <v>15</v>
      </c>
      <c r="H365" s="11">
        <v>45986</v>
      </c>
      <c r="I365" t="s">
        <v>13</v>
      </c>
      <c r="J365" s="12">
        <v>2.5</v>
      </c>
      <c r="K365" s="3">
        <v>79.45</v>
      </c>
      <c r="L365" s="3">
        <f t="shared" si="55"/>
        <v>31.78</v>
      </c>
      <c r="M365" s="13"/>
      <c r="N365">
        <f>_xlfn.XLOOKUP(G365,'Tarievensheet per persoon'!AE:AE,'Tarievensheet per persoon'!AF:AF)</f>
        <v>1.7024999999999999</v>
      </c>
      <c r="O365">
        <f>_xlfn.XLOOKUP(G365,AE:AE,'Tarievensheet per persoon'!AG:AG)</f>
        <v>1.5642</v>
      </c>
      <c r="P365">
        <f>_xlfn.XLOOKUP(G365,AE:AE,'Tarievensheet per persoon'!AH:AH)</f>
        <v>1.3552</v>
      </c>
      <c r="Q365">
        <f>_xlfn.XLOOKUP(G365,AE:AE,'Tarievensheet per persoon'!AI:AI)</f>
        <v>1.3552</v>
      </c>
      <c r="R365">
        <v>0</v>
      </c>
      <c r="S365" s="14">
        <v>2.99</v>
      </c>
      <c r="T365" s="10">
        <f t="shared" si="56"/>
        <v>31.779274999999998</v>
      </c>
      <c r="U365" s="10">
        <f t="shared" si="57"/>
        <v>40.507980259999997</v>
      </c>
      <c r="V365" s="10">
        <f t="shared" si="58"/>
        <v>41.036992699999999</v>
      </c>
      <c r="W365" s="10">
        <f t="shared" si="59"/>
        <v>52.939772599999998</v>
      </c>
      <c r="X365" s="10">
        <f t="shared" si="60"/>
        <v>58.229896999999994</v>
      </c>
      <c r="Y365" s="10">
        <f t="shared" si="61"/>
        <v>84.680519000000004</v>
      </c>
      <c r="Z365" s="10">
        <f t="shared" si="62"/>
        <v>30.242643199999996</v>
      </c>
      <c r="AA365" s="10">
        <f t="shared" si="63"/>
        <v>38.883398399999997</v>
      </c>
      <c r="AB365" s="10">
        <f t="shared" si="64"/>
        <v>43.203775999999998</v>
      </c>
      <c r="AC365" s="10">
        <f t="shared" si="65"/>
        <v>64.805663999999993</v>
      </c>
    </row>
    <row r="366" spans="1:29" x14ac:dyDescent="0.25">
      <c r="A366">
        <v>416718</v>
      </c>
      <c r="B366" t="s">
        <v>53</v>
      </c>
      <c r="C366" s="10">
        <v>16.91</v>
      </c>
      <c r="D366" s="10">
        <v>15.94</v>
      </c>
      <c r="E366" s="10">
        <v>0</v>
      </c>
      <c r="F366">
        <v>26</v>
      </c>
      <c r="G366" t="s">
        <v>15</v>
      </c>
      <c r="H366" s="11">
        <v>45986</v>
      </c>
      <c r="I366" t="s">
        <v>21</v>
      </c>
      <c r="J366" s="12">
        <v>5.5</v>
      </c>
      <c r="K366" s="3">
        <v>222.81</v>
      </c>
      <c r="L366" s="3">
        <f t="shared" si="55"/>
        <v>40.510909090909088</v>
      </c>
      <c r="M366" s="13"/>
      <c r="N366">
        <f>_xlfn.XLOOKUP(G366,'Tarievensheet per persoon'!AE:AE,'Tarievensheet per persoon'!AF:AF)</f>
        <v>1.7024999999999999</v>
      </c>
      <c r="O366">
        <f>_xlfn.XLOOKUP(G366,AE:AE,'Tarievensheet per persoon'!AG:AG)</f>
        <v>1.5642</v>
      </c>
      <c r="P366">
        <f>_xlfn.XLOOKUP(G366,AE:AE,'Tarievensheet per persoon'!AH:AH)</f>
        <v>1.3552</v>
      </c>
      <c r="Q366">
        <f>_xlfn.XLOOKUP(G366,AE:AE,'Tarievensheet per persoon'!AI:AI)</f>
        <v>1.3552</v>
      </c>
      <c r="R366">
        <v>0</v>
      </c>
      <c r="S366" s="14">
        <v>2.99</v>
      </c>
      <c r="T366" s="10">
        <f t="shared" si="56"/>
        <v>31.779274999999998</v>
      </c>
      <c r="U366" s="10">
        <f t="shared" si="57"/>
        <v>40.507980259999997</v>
      </c>
      <c r="V366" s="10">
        <f t="shared" si="58"/>
        <v>41.036992699999999</v>
      </c>
      <c r="W366" s="10">
        <f t="shared" si="59"/>
        <v>52.939772599999998</v>
      </c>
      <c r="X366" s="10">
        <f t="shared" si="60"/>
        <v>58.229896999999994</v>
      </c>
      <c r="Y366" s="10">
        <f t="shared" si="61"/>
        <v>84.680519000000004</v>
      </c>
      <c r="Z366" s="10">
        <f t="shared" si="62"/>
        <v>30.242643199999996</v>
      </c>
      <c r="AA366" s="10">
        <f t="shared" si="63"/>
        <v>38.883398399999997</v>
      </c>
      <c r="AB366" s="10">
        <f t="shared" si="64"/>
        <v>43.203775999999998</v>
      </c>
      <c r="AC366" s="10">
        <f t="shared" si="65"/>
        <v>64.805663999999993</v>
      </c>
    </row>
    <row r="367" spans="1:29" x14ac:dyDescent="0.25">
      <c r="A367">
        <v>416718</v>
      </c>
      <c r="B367" t="s">
        <v>53</v>
      </c>
      <c r="C367" s="10">
        <v>16.91</v>
      </c>
      <c r="D367" s="10">
        <v>15.94</v>
      </c>
      <c r="E367" s="10">
        <v>0</v>
      </c>
      <c r="F367">
        <v>26</v>
      </c>
      <c r="G367" t="s">
        <v>15</v>
      </c>
      <c r="H367" s="11">
        <v>45986</v>
      </c>
      <c r="I367" t="s">
        <v>22</v>
      </c>
      <c r="J367" s="12">
        <v>0.75</v>
      </c>
      <c r="K367" s="3">
        <v>30.78</v>
      </c>
      <c r="L367" s="3">
        <f t="shared" si="55"/>
        <v>41.04</v>
      </c>
      <c r="M367" s="13"/>
      <c r="N367">
        <f>_xlfn.XLOOKUP(G367,'Tarievensheet per persoon'!AE:AE,'Tarievensheet per persoon'!AF:AF)</f>
        <v>1.7024999999999999</v>
      </c>
      <c r="O367">
        <f>_xlfn.XLOOKUP(G367,AE:AE,'Tarievensheet per persoon'!AG:AG)</f>
        <v>1.5642</v>
      </c>
      <c r="P367">
        <f>_xlfn.XLOOKUP(G367,AE:AE,'Tarievensheet per persoon'!AH:AH)</f>
        <v>1.3552</v>
      </c>
      <c r="Q367">
        <f>_xlfn.XLOOKUP(G367,AE:AE,'Tarievensheet per persoon'!AI:AI)</f>
        <v>1.3552</v>
      </c>
      <c r="R367">
        <v>0</v>
      </c>
      <c r="S367" s="14">
        <v>2.99</v>
      </c>
      <c r="T367" s="10">
        <f t="shared" si="56"/>
        <v>31.779274999999998</v>
      </c>
      <c r="U367" s="10">
        <f t="shared" si="57"/>
        <v>40.507980259999997</v>
      </c>
      <c r="V367" s="10">
        <f t="shared" si="58"/>
        <v>41.036992699999999</v>
      </c>
      <c r="W367" s="10">
        <f t="shared" si="59"/>
        <v>52.939772599999998</v>
      </c>
      <c r="X367" s="10">
        <f t="shared" si="60"/>
        <v>58.229896999999994</v>
      </c>
      <c r="Y367" s="10">
        <f t="shared" si="61"/>
        <v>84.680519000000004</v>
      </c>
      <c r="Z367" s="10">
        <f t="shared" si="62"/>
        <v>30.242643199999996</v>
      </c>
      <c r="AA367" s="10">
        <f t="shared" si="63"/>
        <v>38.883398399999997</v>
      </c>
      <c r="AB367" s="10">
        <f t="shared" si="64"/>
        <v>43.203775999999998</v>
      </c>
      <c r="AC367" s="10">
        <f t="shared" si="65"/>
        <v>64.805663999999993</v>
      </c>
    </row>
    <row r="368" spans="1:29" x14ac:dyDescent="0.25">
      <c r="A368">
        <v>416718</v>
      </c>
      <c r="B368" t="s">
        <v>53</v>
      </c>
      <c r="C368" s="10">
        <v>16.91</v>
      </c>
      <c r="D368" s="10">
        <v>15.94</v>
      </c>
      <c r="E368" s="10">
        <v>0</v>
      </c>
      <c r="F368">
        <v>26</v>
      </c>
      <c r="G368" t="s">
        <v>15</v>
      </c>
      <c r="H368" s="11">
        <v>45987</v>
      </c>
      <c r="I368" t="s">
        <v>13</v>
      </c>
      <c r="J368" s="12">
        <v>2.75</v>
      </c>
      <c r="K368" s="3">
        <v>87.4</v>
      </c>
      <c r="L368" s="3">
        <f t="shared" si="55"/>
        <v>31.781818181818185</v>
      </c>
      <c r="M368" s="13"/>
      <c r="N368">
        <f>_xlfn.XLOOKUP(G368,'Tarievensheet per persoon'!AE:AE,'Tarievensheet per persoon'!AF:AF)</f>
        <v>1.7024999999999999</v>
      </c>
      <c r="O368">
        <f>_xlfn.XLOOKUP(G368,AE:AE,'Tarievensheet per persoon'!AG:AG)</f>
        <v>1.5642</v>
      </c>
      <c r="P368">
        <f>_xlfn.XLOOKUP(G368,AE:AE,'Tarievensheet per persoon'!AH:AH)</f>
        <v>1.3552</v>
      </c>
      <c r="Q368">
        <f>_xlfn.XLOOKUP(G368,AE:AE,'Tarievensheet per persoon'!AI:AI)</f>
        <v>1.3552</v>
      </c>
      <c r="R368">
        <v>0</v>
      </c>
      <c r="S368" s="14">
        <v>2.99</v>
      </c>
      <c r="T368" s="10">
        <f t="shared" si="56"/>
        <v>31.779274999999998</v>
      </c>
      <c r="U368" s="10">
        <f t="shared" si="57"/>
        <v>40.507980259999997</v>
      </c>
      <c r="V368" s="10">
        <f t="shared" si="58"/>
        <v>41.036992699999999</v>
      </c>
      <c r="W368" s="10">
        <f t="shared" si="59"/>
        <v>52.939772599999998</v>
      </c>
      <c r="X368" s="10">
        <f t="shared" si="60"/>
        <v>58.229896999999994</v>
      </c>
      <c r="Y368" s="10">
        <f t="shared" si="61"/>
        <v>84.680519000000004</v>
      </c>
      <c r="Z368" s="10">
        <f t="shared" si="62"/>
        <v>30.242643199999996</v>
      </c>
      <c r="AA368" s="10">
        <f t="shared" si="63"/>
        <v>38.883398399999997</v>
      </c>
      <c r="AB368" s="10">
        <f t="shared" si="64"/>
        <v>43.203775999999998</v>
      </c>
      <c r="AC368" s="10">
        <f t="shared" si="65"/>
        <v>64.805663999999993</v>
      </c>
    </row>
    <row r="369" spans="1:29" x14ac:dyDescent="0.25">
      <c r="A369">
        <v>416718</v>
      </c>
      <c r="B369" t="s">
        <v>53</v>
      </c>
      <c r="C369" s="10">
        <v>16.91</v>
      </c>
      <c r="D369" s="10">
        <v>15.94</v>
      </c>
      <c r="E369" s="10">
        <v>0</v>
      </c>
      <c r="F369">
        <v>26</v>
      </c>
      <c r="G369" t="s">
        <v>15</v>
      </c>
      <c r="H369" s="11">
        <v>45987</v>
      </c>
      <c r="I369" t="s">
        <v>21</v>
      </c>
      <c r="J369" s="12">
        <v>5.25</v>
      </c>
      <c r="K369" s="3">
        <v>212.68</v>
      </c>
      <c r="L369" s="3">
        <f t="shared" si="55"/>
        <v>40.51047619047619</v>
      </c>
      <c r="M369" s="13"/>
      <c r="N369">
        <f>_xlfn.XLOOKUP(G369,'Tarievensheet per persoon'!AE:AE,'Tarievensheet per persoon'!AF:AF)</f>
        <v>1.7024999999999999</v>
      </c>
      <c r="O369">
        <f>_xlfn.XLOOKUP(G369,AE:AE,'Tarievensheet per persoon'!AG:AG)</f>
        <v>1.5642</v>
      </c>
      <c r="P369">
        <f>_xlfn.XLOOKUP(G369,AE:AE,'Tarievensheet per persoon'!AH:AH)</f>
        <v>1.3552</v>
      </c>
      <c r="Q369">
        <f>_xlfn.XLOOKUP(G369,AE:AE,'Tarievensheet per persoon'!AI:AI)</f>
        <v>1.3552</v>
      </c>
      <c r="R369">
        <v>0</v>
      </c>
      <c r="S369" s="14">
        <v>2.99</v>
      </c>
      <c r="T369" s="10">
        <f t="shared" si="56"/>
        <v>31.779274999999998</v>
      </c>
      <c r="U369" s="10">
        <f t="shared" si="57"/>
        <v>40.507980259999997</v>
      </c>
      <c r="V369" s="10">
        <f t="shared" si="58"/>
        <v>41.036992699999999</v>
      </c>
      <c r="W369" s="10">
        <f t="shared" si="59"/>
        <v>52.939772599999998</v>
      </c>
      <c r="X369" s="10">
        <f t="shared" si="60"/>
        <v>58.229896999999994</v>
      </c>
      <c r="Y369" s="10">
        <f t="shared" si="61"/>
        <v>84.680519000000004</v>
      </c>
      <c r="Z369" s="10">
        <f t="shared" si="62"/>
        <v>30.242643199999996</v>
      </c>
      <c r="AA369" s="10">
        <f t="shared" si="63"/>
        <v>38.883398399999997</v>
      </c>
      <c r="AB369" s="10">
        <f t="shared" si="64"/>
        <v>43.203775999999998</v>
      </c>
      <c r="AC369" s="10">
        <f t="shared" si="65"/>
        <v>64.805663999999993</v>
      </c>
    </row>
    <row r="370" spans="1:29" x14ac:dyDescent="0.25">
      <c r="A370">
        <v>416718</v>
      </c>
      <c r="B370" t="s">
        <v>53</v>
      </c>
      <c r="C370" s="10">
        <v>16.91</v>
      </c>
      <c r="D370" s="10">
        <v>15.94</v>
      </c>
      <c r="E370" s="10">
        <v>0</v>
      </c>
      <c r="F370">
        <v>26</v>
      </c>
      <c r="G370" t="s">
        <v>15</v>
      </c>
      <c r="H370" s="11">
        <v>45987</v>
      </c>
      <c r="I370" t="s">
        <v>22</v>
      </c>
      <c r="J370" s="12">
        <v>0.5</v>
      </c>
      <c r="K370" s="3">
        <v>20.52</v>
      </c>
      <c r="L370" s="3">
        <f t="shared" si="55"/>
        <v>41.04</v>
      </c>
      <c r="M370" s="13"/>
      <c r="N370">
        <f>_xlfn.XLOOKUP(G370,'Tarievensheet per persoon'!AE:AE,'Tarievensheet per persoon'!AF:AF)</f>
        <v>1.7024999999999999</v>
      </c>
      <c r="O370">
        <f>_xlfn.XLOOKUP(G370,AE:AE,'Tarievensheet per persoon'!AG:AG)</f>
        <v>1.5642</v>
      </c>
      <c r="P370">
        <f>_xlfn.XLOOKUP(G370,AE:AE,'Tarievensheet per persoon'!AH:AH)</f>
        <v>1.3552</v>
      </c>
      <c r="Q370">
        <f>_xlfn.XLOOKUP(G370,AE:AE,'Tarievensheet per persoon'!AI:AI)</f>
        <v>1.3552</v>
      </c>
      <c r="R370">
        <v>0</v>
      </c>
      <c r="S370" s="14">
        <v>2.99</v>
      </c>
      <c r="T370" s="10">
        <f t="shared" si="56"/>
        <v>31.779274999999998</v>
      </c>
      <c r="U370" s="10">
        <f t="shared" si="57"/>
        <v>40.507980259999997</v>
      </c>
      <c r="V370" s="10">
        <f t="shared" si="58"/>
        <v>41.036992699999999</v>
      </c>
      <c r="W370" s="10">
        <f t="shared" si="59"/>
        <v>52.939772599999998</v>
      </c>
      <c r="X370" s="10">
        <f t="shared" si="60"/>
        <v>58.229896999999994</v>
      </c>
      <c r="Y370" s="10">
        <f t="shared" si="61"/>
        <v>84.680519000000004</v>
      </c>
      <c r="Z370" s="10">
        <f t="shared" si="62"/>
        <v>30.242643199999996</v>
      </c>
      <c r="AA370" s="10">
        <f t="shared" si="63"/>
        <v>38.883398399999997</v>
      </c>
      <c r="AB370" s="10">
        <f t="shared" si="64"/>
        <v>43.203775999999998</v>
      </c>
      <c r="AC370" s="10">
        <f t="shared" si="65"/>
        <v>64.805663999999993</v>
      </c>
    </row>
    <row r="371" spans="1:29" x14ac:dyDescent="0.25">
      <c r="A371">
        <v>416718</v>
      </c>
      <c r="B371" t="s">
        <v>53</v>
      </c>
      <c r="C371" s="10">
        <v>16.91</v>
      </c>
      <c r="D371" s="10">
        <v>15.94</v>
      </c>
      <c r="E371" s="10">
        <v>0</v>
      </c>
      <c r="F371">
        <v>26</v>
      </c>
      <c r="G371" t="s">
        <v>15</v>
      </c>
      <c r="H371" s="11">
        <v>45988</v>
      </c>
      <c r="I371" t="s">
        <v>13</v>
      </c>
      <c r="J371" s="12">
        <v>2.75</v>
      </c>
      <c r="K371" s="3">
        <v>87.4</v>
      </c>
      <c r="L371" s="3">
        <f t="shared" si="55"/>
        <v>31.781818181818185</v>
      </c>
      <c r="M371" s="13"/>
      <c r="N371">
        <f>_xlfn.XLOOKUP(G371,'Tarievensheet per persoon'!AE:AE,'Tarievensheet per persoon'!AF:AF)</f>
        <v>1.7024999999999999</v>
      </c>
      <c r="O371">
        <f>_xlfn.XLOOKUP(G371,AE:AE,'Tarievensheet per persoon'!AG:AG)</f>
        <v>1.5642</v>
      </c>
      <c r="P371">
        <f>_xlfn.XLOOKUP(G371,AE:AE,'Tarievensheet per persoon'!AH:AH)</f>
        <v>1.3552</v>
      </c>
      <c r="Q371">
        <f>_xlfn.XLOOKUP(G371,AE:AE,'Tarievensheet per persoon'!AI:AI)</f>
        <v>1.3552</v>
      </c>
      <c r="R371">
        <v>0</v>
      </c>
      <c r="S371" s="14">
        <v>2.99</v>
      </c>
      <c r="T371" s="10">
        <f t="shared" si="56"/>
        <v>31.779274999999998</v>
      </c>
      <c r="U371" s="10">
        <f t="shared" si="57"/>
        <v>40.507980259999997</v>
      </c>
      <c r="V371" s="10">
        <f t="shared" si="58"/>
        <v>41.036992699999999</v>
      </c>
      <c r="W371" s="10">
        <f t="shared" si="59"/>
        <v>52.939772599999998</v>
      </c>
      <c r="X371" s="10">
        <f t="shared" si="60"/>
        <v>58.229896999999994</v>
      </c>
      <c r="Y371" s="10">
        <f t="shared" si="61"/>
        <v>84.680519000000004</v>
      </c>
      <c r="Z371" s="10">
        <f t="shared" si="62"/>
        <v>30.242643199999996</v>
      </c>
      <c r="AA371" s="10">
        <f t="shared" si="63"/>
        <v>38.883398399999997</v>
      </c>
      <c r="AB371" s="10">
        <f t="shared" si="64"/>
        <v>43.203775999999998</v>
      </c>
      <c r="AC371" s="10">
        <f t="shared" si="65"/>
        <v>64.805663999999993</v>
      </c>
    </row>
    <row r="372" spans="1:29" x14ac:dyDescent="0.25">
      <c r="A372">
        <v>416718</v>
      </c>
      <c r="B372" t="s">
        <v>53</v>
      </c>
      <c r="C372" s="10">
        <v>16.91</v>
      </c>
      <c r="D372" s="10">
        <v>15.94</v>
      </c>
      <c r="E372" s="10">
        <v>0</v>
      </c>
      <c r="F372">
        <v>26</v>
      </c>
      <c r="G372" t="s">
        <v>15</v>
      </c>
      <c r="H372" s="11">
        <v>45988</v>
      </c>
      <c r="I372" t="s">
        <v>21</v>
      </c>
      <c r="J372" s="12">
        <v>5.25</v>
      </c>
      <c r="K372" s="3">
        <v>212.68</v>
      </c>
      <c r="L372" s="3">
        <f t="shared" si="55"/>
        <v>40.51047619047619</v>
      </c>
      <c r="M372" s="13"/>
      <c r="N372">
        <f>_xlfn.XLOOKUP(G372,'Tarievensheet per persoon'!AE:AE,'Tarievensheet per persoon'!AF:AF)</f>
        <v>1.7024999999999999</v>
      </c>
      <c r="O372">
        <f>_xlfn.XLOOKUP(G372,AE:AE,'Tarievensheet per persoon'!AG:AG)</f>
        <v>1.5642</v>
      </c>
      <c r="P372">
        <f>_xlfn.XLOOKUP(G372,AE:AE,'Tarievensheet per persoon'!AH:AH)</f>
        <v>1.3552</v>
      </c>
      <c r="Q372">
        <f>_xlfn.XLOOKUP(G372,AE:AE,'Tarievensheet per persoon'!AI:AI)</f>
        <v>1.3552</v>
      </c>
      <c r="R372">
        <v>0</v>
      </c>
      <c r="S372" s="14">
        <v>2.99</v>
      </c>
      <c r="T372" s="10">
        <f t="shared" si="56"/>
        <v>31.779274999999998</v>
      </c>
      <c r="U372" s="10">
        <f t="shared" si="57"/>
        <v>40.507980259999997</v>
      </c>
      <c r="V372" s="10">
        <f t="shared" si="58"/>
        <v>41.036992699999999</v>
      </c>
      <c r="W372" s="10">
        <f t="shared" si="59"/>
        <v>52.939772599999998</v>
      </c>
      <c r="X372" s="10">
        <f t="shared" si="60"/>
        <v>58.229896999999994</v>
      </c>
      <c r="Y372" s="10">
        <f t="shared" si="61"/>
        <v>84.680519000000004</v>
      </c>
      <c r="Z372" s="10">
        <f t="shared" si="62"/>
        <v>30.242643199999996</v>
      </c>
      <c r="AA372" s="10">
        <f t="shared" si="63"/>
        <v>38.883398399999997</v>
      </c>
      <c r="AB372" s="10">
        <f t="shared" si="64"/>
        <v>43.203775999999998</v>
      </c>
      <c r="AC372" s="10">
        <f t="shared" si="65"/>
        <v>64.805663999999993</v>
      </c>
    </row>
    <row r="373" spans="1:29" x14ac:dyDescent="0.25">
      <c r="A373">
        <v>416718</v>
      </c>
      <c r="B373" t="s">
        <v>53</v>
      </c>
      <c r="C373" s="10">
        <v>16.91</v>
      </c>
      <c r="D373" s="10">
        <v>15.94</v>
      </c>
      <c r="E373" s="10">
        <v>0</v>
      </c>
      <c r="F373">
        <v>26</v>
      </c>
      <c r="G373" t="s">
        <v>15</v>
      </c>
      <c r="H373" s="11">
        <v>45988</v>
      </c>
      <c r="I373" t="s">
        <v>22</v>
      </c>
      <c r="J373" s="12">
        <v>0.5</v>
      </c>
      <c r="K373" s="3">
        <v>20.52</v>
      </c>
      <c r="L373" s="3">
        <f t="shared" si="55"/>
        <v>41.04</v>
      </c>
      <c r="M373" s="13"/>
      <c r="N373">
        <f>_xlfn.XLOOKUP(G373,'Tarievensheet per persoon'!AE:AE,'Tarievensheet per persoon'!AF:AF)</f>
        <v>1.7024999999999999</v>
      </c>
      <c r="O373">
        <f>_xlfn.XLOOKUP(G373,AE:AE,'Tarievensheet per persoon'!AG:AG)</f>
        <v>1.5642</v>
      </c>
      <c r="P373">
        <f>_xlfn.XLOOKUP(G373,AE:AE,'Tarievensheet per persoon'!AH:AH)</f>
        <v>1.3552</v>
      </c>
      <c r="Q373">
        <f>_xlfn.XLOOKUP(G373,AE:AE,'Tarievensheet per persoon'!AI:AI)</f>
        <v>1.3552</v>
      </c>
      <c r="R373">
        <v>0</v>
      </c>
      <c r="S373" s="14">
        <v>2.99</v>
      </c>
      <c r="T373" s="10">
        <f t="shared" si="56"/>
        <v>31.779274999999998</v>
      </c>
      <c r="U373" s="10">
        <f t="shared" si="57"/>
        <v>40.507980259999997</v>
      </c>
      <c r="V373" s="10">
        <f t="shared" si="58"/>
        <v>41.036992699999999</v>
      </c>
      <c r="W373" s="10">
        <f t="shared" si="59"/>
        <v>52.939772599999998</v>
      </c>
      <c r="X373" s="10">
        <f t="shared" si="60"/>
        <v>58.229896999999994</v>
      </c>
      <c r="Y373" s="10">
        <f t="shared" si="61"/>
        <v>84.680519000000004</v>
      </c>
      <c r="Z373" s="10">
        <f t="shared" si="62"/>
        <v>30.242643199999996</v>
      </c>
      <c r="AA373" s="10">
        <f t="shared" si="63"/>
        <v>38.883398399999997</v>
      </c>
      <c r="AB373" s="10">
        <f t="shared" si="64"/>
        <v>43.203775999999998</v>
      </c>
      <c r="AC373" s="10">
        <f t="shared" si="65"/>
        <v>64.805663999999993</v>
      </c>
    </row>
    <row r="374" spans="1:29" x14ac:dyDescent="0.25">
      <c r="A374">
        <v>416718</v>
      </c>
      <c r="B374" t="s">
        <v>53</v>
      </c>
      <c r="C374" s="10">
        <v>16.91</v>
      </c>
      <c r="D374" s="10">
        <v>15.94</v>
      </c>
      <c r="E374" s="10">
        <v>0</v>
      </c>
      <c r="F374">
        <v>26</v>
      </c>
      <c r="G374" t="s">
        <v>15</v>
      </c>
      <c r="H374" s="11">
        <v>45989</v>
      </c>
      <c r="I374" t="s">
        <v>13</v>
      </c>
      <c r="J374" s="12">
        <v>2.5</v>
      </c>
      <c r="K374" s="3">
        <v>79.45</v>
      </c>
      <c r="L374" s="3">
        <f t="shared" si="55"/>
        <v>31.78</v>
      </c>
      <c r="M374" s="13"/>
      <c r="N374">
        <f>_xlfn.XLOOKUP(G374,'Tarievensheet per persoon'!AE:AE,'Tarievensheet per persoon'!AF:AF)</f>
        <v>1.7024999999999999</v>
      </c>
      <c r="O374">
        <f>_xlfn.XLOOKUP(G374,AE:AE,'Tarievensheet per persoon'!AG:AG)</f>
        <v>1.5642</v>
      </c>
      <c r="P374">
        <f>_xlfn.XLOOKUP(G374,AE:AE,'Tarievensheet per persoon'!AH:AH)</f>
        <v>1.3552</v>
      </c>
      <c r="Q374">
        <f>_xlfn.XLOOKUP(G374,AE:AE,'Tarievensheet per persoon'!AI:AI)</f>
        <v>1.3552</v>
      </c>
      <c r="R374">
        <v>0</v>
      </c>
      <c r="S374" s="14">
        <v>2.99</v>
      </c>
      <c r="T374" s="10">
        <f t="shared" si="56"/>
        <v>31.779274999999998</v>
      </c>
      <c r="U374" s="10">
        <f t="shared" si="57"/>
        <v>40.507980259999997</v>
      </c>
      <c r="V374" s="10">
        <f t="shared" si="58"/>
        <v>41.036992699999999</v>
      </c>
      <c r="W374" s="10">
        <f t="shared" si="59"/>
        <v>52.939772599999998</v>
      </c>
      <c r="X374" s="10">
        <f t="shared" si="60"/>
        <v>58.229896999999994</v>
      </c>
      <c r="Y374" s="10">
        <f t="shared" si="61"/>
        <v>84.680519000000004</v>
      </c>
      <c r="Z374" s="10">
        <f t="shared" si="62"/>
        <v>30.242643199999996</v>
      </c>
      <c r="AA374" s="10">
        <f t="shared" si="63"/>
        <v>38.883398399999997</v>
      </c>
      <c r="AB374" s="10">
        <f t="shared" si="64"/>
        <v>43.203775999999998</v>
      </c>
      <c r="AC374" s="10">
        <f t="shared" si="65"/>
        <v>64.805663999999993</v>
      </c>
    </row>
    <row r="375" spans="1:29" x14ac:dyDescent="0.25">
      <c r="A375">
        <v>416718</v>
      </c>
      <c r="B375" t="s">
        <v>53</v>
      </c>
      <c r="C375" s="10">
        <v>16.91</v>
      </c>
      <c r="D375" s="10">
        <v>15.94</v>
      </c>
      <c r="E375" s="10">
        <v>0</v>
      </c>
      <c r="F375">
        <v>26</v>
      </c>
      <c r="G375" t="s">
        <v>15</v>
      </c>
      <c r="H375" s="11">
        <v>45989</v>
      </c>
      <c r="I375" t="s">
        <v>21</v>
      </c>
      <c r="J375" s="12">
        <v>4.5</v>
      </c>
      <c r="K375" s="3">
        <v>182.3</v>
      </c>
      <c r="L375" s="3">
        <f t="shared" si="55"/>
        <v>40.511111111111113</v>
      </c>
      <c r="M375" s="13"/>
      <c r="N375">
        <f>_xlfn.XLOOKUP(G375,'Tarievensheet per persoon'!AE:AE,'Tarievensheet per persoon'!AF:AF)</f>
        <v>1.7024999999999999</v>
      </c>
      <c r="O375">
        <f>_xlfn.XLOOKUP(G375,AE:AE,'Tarievensheet per persoon'!AG:AG)</f>
        <v>1.5642</v>
      </c>
      <c r="P375">
        <f>_xlfn.XLOOKUP(G375,AE:AE,'Tarievensheet per persoon'!AH:AH)</f>
        <v>1.3552</v>
      </c>
      <c r="Q375">
        <f>_xlfn.XLOOKUP(G375,AE:AE,'Tarievensheet per persoon'!AI:AI)</f>
        <v>1.3552</v>
      </c>
      <c r="R375">
        <v>0</v>
      </c>
      <c r="S375" s="14">
        <v>2.99</v>
      </c>
      <c r="T375" s="10">
        <f t="shared" si="56"/>
        <v>31.779274999999998</v>
      </c>
      <c r="U375" s="10">
        <f t="shared" si="57"/>
        <v>40.507980259999997</v>
      </c>
      <c r="V375" s="10">
        <f t="shared" si="58"/>
        <v>41.036992699999999</v>
      </c>
      <c r="W375" s="10">
        <f t="shared" si="59"/>
        <v>52.939772599999998</v>
      </c>
      <c r="X375" s="10">
        <f t="shared" si="60"/>
        <v>58.229896999999994</v>
      </c>
      <c r="Y375" s="10">
        <f t="shared" si="61"/>
        <v>84.680519000000004</v>
      </c>
      <c r="Z375" s="10">
        <f t="shared" si="62"/>
        <v>30.242643199999996</v>
      </c>
      <c r="AA375" s="10">
        <f t="shared" si="63"/>
        <v>38.883398399999997</v>
      </c>
      <c r="AB375" s="10">
        <f t="shared" si="64"/>
        <v>43.203775999999998</v>
      </c>
      <c r="AC375" s="10">
        <f t="shared" si="65"/>
        <v>64.805663999999993</v>
      </c>
    </row>
    <row r="376" spans="1:29" x14ac:dyDescent="0.25">
      <c r="A376">
        <v>420508</v>
      </c>
      <c r="B376" t="s">
        <v>54</v>
      </c>
      <c r="C376" s="10">
        <v>16.91</v>
      </c>
      <c r="D376" s="10">
        <v>15.94</v>
      </c>
      <c r="E376" s="10">
        <v>0</v>
      </c>
      <c r="F376">
        <v>54</v>
      </c>
      <c r="G376" t="s">
        <v>19</v>
      </c>
      <c r="H376" s="11">
        <v>45985</v>
      </c>
      <c r="I376" t="s">
        <v>13</v>
      </c>
      <c r="J376" s="12">
        <v>2.5</v>
      </c>
      <c r="K376" s="3">
        <v>79.63</v>
      </c>
      <c r="L376" s="3">
        <f t="shared" si="55"/>
        <v>31.851999999999997</v>
      </c>
      <c r="M376" s="13"/>
      <c r="N376">
        <f>_xlfn.XLOOKUP(G376,'Tarievensheet per persoon'!AE:AE,'Tarievensheet per persoon'!AF:AF)</f>
        <v>1.7068000000000001</v>
      </c>
      <c r="O376">
        <f>_xlfn.XLOOKUP(G376,AE:AE,'Tarievensheet per persoon'!AG:AG)</f>
        <v>1.5528</v>
      </c>
      <c r="P376">
        <f>_xlfn.XLOOKUP(G376,AE:AE,'Tarievensheet per persoon'!AH:AH)</f>
        <v>1.3391999999999999</v>
      </c>
      <c r="Q376">
        <f>_xlfn.XLOOKUP(G376,AE:AE,'Tarievensheet per persoon'!AI:AI)</f>
        <v>1.3391999999999999</v>
      </c>
      <c r="R376">
        <v>0</v>
      </c>
      <c r="S376" s="14">
        <v>2.99</v>
      </c>
      <c r="T376" s="10">
        <f t="shared" si="56"/>
        <v>31.851987999999999</v>
      </c>
      <c r="U376" s="10">
        <f t="shared" si="57"/>
        <v>40.517077839999999</v>
      </c>
      <c r="V376" s="10">
        <f t="shared" si="58"/>
        <v>41.042234800000003</v>
      </c>
      <c r="W376" s="10">
        <f t="shared" si="59"/>
        <v>52.858266399999998</v>
      </c>
      <c r="X376" s="10">
        <f t="shared" si="60"/>
        <v>58.109836000000001</v>
      </c>
      <c r="Y376" s="10">
        <f t="shared" si="61"/>
        <v>84.367683999999997</v>
      </c>
      <c r="Z376" s="10">
        <f t="shared" si="62"/>
        <v>29.885587199999996</v>
      </c>
      <c r="AA376" s="10">
        <f t="shared" si="63"/>
        <v>38.424326399999998</v>
      </c>
      <c r="AB376" s="10">
        <f t="shared" si="64"/>
        <v>42.693695999999996</v>
      </c>
      <c r="AC376" s="10">
        <f t="shared" si="65"/>
        <v>64.040543999999997</v>
      </c>
    </row>
    <row r="377" spans="1:29" x14ac:dyDescent="0.25">
      <c r="A377">
        <v>420508</v>
      </c>
      <c r="B377" t="s">
        <v>54</v>
      </c>
      <c r="C377" s="10">
        <v>16.91</v>
      </c>
      <c r="D377" s="10">
        <v>15.94</v>
      </c>
      <c r="E377" s="10">
        <v>0</v>
      </c>
      <c r="F377">
        <v>54</v>
      </c>
      <c r="G377" t="s">
        <v>19</v>
      </c>
      <c r="H377" s="11">
        <v>45985</v>
      </c>
      <c r="I377" t="s">
        <v>21</v>
      </c>
      <c r="J377" s="12">
        <v>4.25</v>
      </c>
      <c r="K377" s="3">
        <v>172.21</v>
      </c>
      <c r="L377" s="3">
        <f t="shared" si="55"/>
        <v>40.520000000000003</v>
      </c>
      <c r="M377" s="13"/>
      <c r="N377">
        <f>_xlfn.XLOOKUP(G377,'Tarievensheet per persoon'!AE:AE,'Tarievensheet per persoon'!AF:AF)</f>
        <v>1.7068000000000001</v>
      </c>
      <c r="O377">
        <f>_xlfn.XLOOKUP(G377,AE:AE,'Tarievensheet per persoon'!AG:AG)</f>
        <v>1.5528</v>
      </c>
      <c r="P377">
        <f>_xlfn.XLOOKUP(G377,AE:AE,'Tarievensheet per persoon'!AH:AH)</f>
        <v>1.3391999999999999</v>
      </c>
      <c r="Q377">
        <f>_xlfn.XLOOKUP(G377,AE:AE,'Tarievensheet per persoon'!AI:AI)</f>
        <v>1.3391999999999999</v>
      </c>
      <c r="R377">
        <v>0</v>
      </c>
      <c r="S377" s="14">
        <v>2.99</v>
      </c>
      <c r="T377" s="10">
        <f t="shared" si="56"/>
        <v>31.851987999999999</v>
      </c>
      <c r="U377" s="10">
        <f t="shared" si="57"/>
        <v>40.517077839999999</v>
      </c>
      <c r="V377" s="10">
        <f t="shared" si="58"/>
        <v>41.042234800000003</v>
      </c>
      <c r="W377" s="10">
        <f t="shared" si="59"/>
        <v>52.858266399999998</v>
      </c>
      <c r="X377" s="10">
        <f t="shared" si="60"/>
        <v>58.109836000000001</v>
      </c>
      <c r="Y377" s="10">
        <f t="shared" si="61"/>
        <v>84.367683999999997</v>
      </c>
      <c r="Z377" s="10">
        <f t="shared" si="62"/>
        <v>29.885587199999996</v>
      </c>
      <c r="AA377" s="10">
        <f t="shared" si="63"/>
        <v>38.424326399999998</v>
      </c>
      <c r="AB377" s="10">
        <f t="shared" si="64"/>
        <v>42.693695999999996</v>
      </c>
      <c r="AC377" s="10">
        <f t="shared" si="65"/>
        <v>64.040543999999997</v>
      </c>
    </row>
    <row r="378" spans="1:29" x14ac:dyDescent="0.25">
      <c r="A378">
        <v>420508</v>
      </c>
      <c r="B378" t="s">
        <v>54</v>
      </c>
      <c r="C378" s="10">
        <v>16.91</v>
      </c>
      <c r="D378" s="10">
        <v>15.94</v>
      </c>
      <c r="E378" s="10">
        <v>0</v>
      </c>
      <c r="F378">
        <v>54</v>
      </c>
      <c r="G378" t="s">
        <v>19</v>
      </c>
      <c r="H378" s="11">
        <v>45986</v>
      </c>
      <c r="I378" t="s">
        <v>13</v>
      </c>
      <c r="J378" s="12">
        <v>2.75</v>
      </c>
      <c r="K378" s="3">
        <v>87.59</v>
      </c>
      <c r="L378" s="3">
        <f t="shared" si="55"/>
        <v>31.850909090909092</v>
      </c>
      <c r="M378" s="13"/>
      <c r="N378">
        <f>_xlfn.XLOOKUP(G378,'Tarievensheet per persoon'!AE:AE,'Tarievensheet per persoon'!AF:AF)</f>
        <v>1.7068000000000001</v>
      </c>
      <c r="O378">
        <f>_xlfn.XLOOKUP(G378,AE:AE,'Tarievensheet per persoon'!AG:AG)</f>
        <v>1.5528</v>
      </c>
      <c r="P378">
        <f>_xlfn.XLOOKUP(G378,AE:AE,'Tarievensheet per persoon'!AH:AH)</f>
        <v>1.3391999999999999</v>
      </c>
      <c r="Q378">
        <f>_xlfn.XLOOKUP(G378,AE:AE,'Tarievensheet per persoon'!AI:AI)</f>
        <v>1.3391999999999999</v>
      </c>
      <c r="R378">
        <v>0</v>
      </c>
      <c r="S378" s="14">
        <v>2.99</v>
      </c>
      <c r="T378" s="10">
        <f t="shared" si="56"/>
        <v>31.851987999999999</v>
      </c>
      <c r="U378" s="10">
        <f t="shared" si="57"/>
        <v>40.517077839999999</v>
      </c>
      <c r="V378" s="10">
        <f t="shared" si="58"/>
        <v>41.042234800000003</v>
      </c>
      <c r="W378" s="10">
        <f t="shared" si="59"/>
        <v>52.858266399999998</v>
      </c>
      <c r="X378" s="10">
        <f t="shared" si="60"/>
        <v>58.109836000000001</v>
      </c>
      <c r="Y378" s="10">
        <f t="shared" si="61"/>
        <v>84.367683999999997</v>
      </c>
      <c r="Z378" s="10">
        <f t="shared" si="62"/>
        <v>29.885587199999996</v>
      </c>
      <c r="AA378" s="10">
        <f t="shared" si="63"/>
        <v>38.424326399999998</v>
      </c>
      <c r="AB378" s="10">
        <f t="shared" si="64"/>
        <v>42.693695999999996</v>
      </c>
      <c r="AC378" s="10">
        <f t="shared" si="65"/>
        <v>64.040543999999997</v>
      </c>
    </row>
    <row r="379" spans="1:29" x14ac:dyDescent="0.25">
      <c r="A379">
        <v>420508</v>
      </c>
      <c r="B379" t="s">
        <v>54</v>
      </c>
      <c r="C379" s="10">
        <v>16.91</v>
      </c>
      <c r="D379" s="10">
        <v>15.94</v>
      </c>
      <c r="E379" s="10">
        <v>0</v>
      </c>
      <c r="F379">
        <v>54</v>
      </c>
      <c r="G379" t="s">
        <v>19</v>
      </c>
      <c r="H379" s="11">
        <v>45986</v>
      </c>
      <c r="I379" t="s">
        <v>21</v>
      </c>
      <c r="J379" s="12">
        <v>3.75</v>
      </c>
      <c r="K379" s="3">
        <v>151.94999999999999</v>
      </c>
      <c r="L379" s="3">
        <f t="shared" si="55"/>
        <v>40.519999999999996</v>
      </c>
      <c r="M379" s="13"/>
      <c r="N379">
        <f>_xlfn.XLOOKUP(G379,'Tarievensheet per persoon'!AE:AE,'Tarievensheet per persoon'!AF:AF)</f>
        <v>1.7068000000000001</v>
      </c>
      <c r="O379">
        <f>_xlfn.XLOOKUP(G379,AE:AE,'Tarievensheet per persoon'!AG:AG)</f>
        <v>1.5528</v>
      </c>
      <c r="P379">
        <f>_xlfn.XLOOKUP(G379,AE:AE,'Tarievensheet per persoon'!AH:AH)</f>
        <v>1.3391999999999999</v>
      </c>
      <c r="Q379">
        <f>_xlfn.XLOOKUP(G379,AE:AE,'Tarievensheet per persoon'!AI:AI)</f>
        <v>1.3391999999999999</v>
      </c>
      <c r="R379">
        <v>0</v>
      </c>
      <c r="S379" s="14">
        <v>2.99</v>
      </c>
      <c r="T379" s="10">
        <f t="shared" si="56"/>
        <v>31.851987999999999</v>
      </c>
      <c r="U379" s="10">
        <f t="shared" si="57"/>
        <v>40.517077839999999</v>
      </c>
      <c r="V379" s="10">
        <f t="shared" si="58"/>
        <v>41.042234800000003</v>
      </c>
      <c r="W379" s="10">
        <f t="shared" si="59"/>
        <v>52.858266399999998</v>
      </c>
      <c r="X379" s="10">
        <f t="shared" si="60"/>
        <v>58.109836000000001</v>
      </c>
      <c r="Y379" s="10">
        <f t="shared" si="61"/>
        <v>84.367683999999997</v>
      </c>
      <c r="Z379" s="10">
        <f t="shared" si="62"/>
        <v>29.885587199999996</v>
      </c>
      <c r="AA379" s="10">
        <f t="shared" si="63"/>
        <v>38.424326399999998</v>
      </c>
      <c r="AB379" s="10">
        <f t="shared" si="64"/>
        <v>42.693695999999996</v>
      </c>
      <c r="AC379" s="10">
        <f t="shared" si="65"/>
        <v>64.040543999999997</v>
      </c>
    </row>
    <row r="380" spans="1:29" x14ac:dyDescent="0.25">
      <c r="A380">
        <v>420508</v>
      </c>
      <c r="B380" t="s">
        <v>54</v>
      </c>
      <c r="C380" s="10">
        <v>16.91</v>
      </c>
      <c r="D380" s="10">
        <v>15.94</v>
      </c>
      <c r="E380" s="10">
        <v>0</v>
      </c>
      <c r="F380">
        <v>54</v>
      </c>
      <c r="G380" t="s">
        <v>19</v>
      </c>
      <c r="H380" s="11">
        <v>45987</v>
      </c>
      <c r="I380" t="s">
        <v>13</v>
      </c>
      <c r="J380" s="12">
        <v>2.25</v>
      </c>
      <c r="K380" s="3">
        <v>71.66</v>
      </c>
      <c r="L380" s="3">
        <f t="shared" si="55"/>
        <v>31.848888888888887</v>
      </c>
      <c r="M380" s="13"/>
      <c r="N380">
        <f>_xlfn.XLOOKUP(G380,'Tarievensheet per persoon'!AE:AE,'Tarievensheet per persoon'!AF:AF)</f>
        <v>1.7068000000000001</v>
      </c>
      <c r="O380">
        <f>_xlfn.XLOOKUP(G380,AE:AE,'Tarievensheet per persoon'!AG:AG)</f>
        <v>1.5528</v>
      </c>
      <c r="P380">
        <f>_xlfn.XLOOKUP(G380,AE:AE,'Tarievensheet per persoon'!AH:AH)</f>
        <v>1.3391999999999999</v>
      </c>
      <c r="Q380">
        <f>_xlfn.XLOOKUP(G380,AE:AE,'Tarievensheet per persoon'!AI:AI)</f>
        <v>1.3391999999999999</v>
      </c>
      <c r="R380">
        <v>0</v>
      </c>
      <c r="S380" s="14">
        <v>2.99</v>
      </c>
      <c r="T380" s="10">
        <f t="shared" si="56"/>
        <v>31.851987999999999</v>
      </c>
      <c r="U380" s="10">
        <f t="shared" si="57"/>
        <v>40.517077839999999</v>
      </c>
      <c r="V380" s="10">
        <f t="shared" si="58"/>
        <v>41.042234800000003</v>
      </c>
      <c r="W380" s="10">
        <f t="shared" si="59"/>
        <v>52.858266399999998</v>
      </c>
      <c r="X380" s="10">
        <f t="shared" si="60"/>
        <v>58.109836000000001</v>
      </c>
      <c r="Y380" s="10">
        <f t="shared" si="61"/>
        <v>84.367683999999997</v>
      </c>
      <c r="Z380" s="10">
        <f t="shared" si="62"/>
        <v>29.885587199999996</v>
      </c>
      <c r="AA380" s="10">
        <f t="shared" si="63"/>
        <v>38.424326399999998</v>
      </c>
      <c r="AB380" s="10">
        <f t="shared" si="64"/>
        <v>42.693695999999996</v>
      </c>
      <c r="AC380" s="10">
        <f t="shared" si="65"/>
        <v>64.040543999999997</v>
      </c>
    </row>
    <row r="381" spans="1:29" x14ac:dyDescent="0.25">
      <c r="A381">
        <v>420508</v>
      </c>
      <c r="B381" t="s">
        <v>54</v>
      </c>
      <c r="C381" s="10">
        <v>16.91</v>
      </c>
      <c r="D381" s="10">
        <v>15.94</v>
      </c>
      <c r="E381" s="10">
        <v>0</v>
      </c>
      <c r="F381">
        <v>54</v>
      </c>
      <c r="G381" t="s">
        <v>19</v>
      </c>
      <c r="H381" s="11">
        <v>45987</v>
      </c>
      <c r="I381" t="s">
        <v>21</v>
      </c>
      <c r="J381" s="12">
        <v>3.75</v>
      </c>
      <c r="K381" s="3">
        <v>151.94999999999999</v>
      </c>
      <c r="L381" s="3">
        <f t="shared" si="55"/>
        <v>40.519999999999996</v>
      </c>
      <c r="M381" s="13"/>
      <c r="N381">
        <f>_xlfn.XLOOKUP(G381,'Tarievensheet per persoon'!AE:AE,'Tarievensheet per persoon'!AF:AF)</f>
        <v>1.7068000000000001</v>
      </c>
      <c r="O381">
        <f>_xlfn.XLOOKUP(G381,AE:AE,'Tarievensheet per persoon'!AG:AG)</f>
        <v>1.5528</v>
      </c>
      <c r="P381">
        <f>_xlfn.XLOOKUP(G381,AE:AE,'Tarievensheet per persoon'!AH:AH)</f>
        <v>1.3391999999999999</v>
      </c>
      <c r="Q381">
        <f>_xlfn.XLOOKUP(G381,AE:AE,'Tarievensheet per persoon'!AI:AI)</f>
        <v>1.3391999999999999</v>
      </c>
      <c r="R381">
        <v>0</v>
      </c>
      <c r="S381" s="14">
        <v>2.99</v>
      </c>
      <c r="T381" s="10">
        <f t="shared" si="56"/>
        <v>31.851987999999999</v>
      </c>
      <c r="U381" s="10">
        <f t="shared" si="57"/>
        <v>40.517077839999999</v>
      </c>
      <c r="V381" s="10">
        <f t="shared" si="58"/>
        <v>41.042234800000003</v>
      </c>
      <c r="W381" s="10">
        <f t="shared" si="59"/>
        <v>52.858266399999998</v>
      </c>
      <c r="X381" s="10">
        <f t="shared" si="60"/>
        <v>58.109836000000001</v>
      </c>
      <c r="Y381" s="10">
        <f t="shared" si="61"/>
        <v>84.367683999999997</v>
      </c>
      <c r="Z381" s="10">
        <f t="shared" si="62"/>
        <v>29.885587199999996</v>
      </c>
      <c r="AA381" s="10">
        <f t="shared" si="63"/>
        <v>38.424326399999998</v>
      </c>
      <c r="AB381" s="10">
        <f t="shared" si="64"/>
        <v>42.693695999999996</v>
      </c>
      <c r="AC381" s="10">
        <f t="shared" si="65"/>
        <v>64.040543999999997</v>
      </c>
    </row>
    <row r="382" spans="1:29" x14ac:dyDescent="0.25">
      <c r="A382">
        <v>420508</v>
      </c>
      <c r="B382" t="s">
        <v>54</v>
      </c>
      <c r="C382" s="10">
        <v>16.91</v>
      </c>
      <c r="D382" s="10">
        <v>15.94</v>
      </c>
      <c r="E382" s="10">
        <v>0</v>
      </c>
      <c r="F382">
        <v>54</v>
      </c>
      <c r="G382" t="s">
        <v>19</v>
      </c>
      <c r="H382" s="11">
        <v>45988</v>
      </c>
      <c r="I382" t="s">
        <v>13</v>
      </c>
      <c r="J382" s="12">
        <v>2</v>
      </c>
      <c r="K382" s="3">
        <v>63.7</v>
      </c>
      <c r="L382" s="3">
        <f t="shared" si="55"/>
        <v>31.85</v>
      </c>
      <c r="M382" s="13"/>
      <c r="N382">
        <f>_xlfn.XLOOKUP(G382,'Tarievensheet per persoon'!AE:AE,'Tarievensheet per persoon'!AF:AF)</f>
        <v>1.7068000000000001</v>
      </c>
      <c r="O382">
        <f>_xlfn.XLOOKUP(G382,AE:AE,'Tarievensheet per persoon'!AG:AG)</f>
        <v>1.5528</v>
      </c>
      <c r="P382">
        <f>_xlfn.XLOOKUP(G382,AE:AE,'Tarievensheet per persoon'!AH:AH)</f>
        <v>1.3391999999999999</v>
      </c>
      <c r="Q382">
        <f>_xlfn.XLOOKUP(G382,AE:AE,'Tarievensheet per persoon'!AI:AI)</f>
        <v>1.3391999999999999</v>
      </c>
      <c r="R382">
        <v>0</v>
      </c>
      <c r="S382" s="14">
        <v>2.99</v>
      </c>
      <c r="T382" s="10">
        <f t="shared" si="56"/>
        <v>31.851987999999999</v>
      </c>
      <c r="U382" s="10">
        <f t="shared" si="57"/>
        <v>40.517077839999999</v>
      </c>
      <c r="V382" s="10">
        <f t="shared" si="58"/>
        <v>41.042234800000003</v>
      </c>
      <c r="W382" s="10">
        <f t="shared" si="59"/>
        <v>52.858266399999998</v>
      </c>
      <c r="X382" s="10">
        <f t="shared" si="60"/>
        <v>58.109836000000001</v>
      </c>
      <c r="Y382" s="10">
        <f t="shared" si="61"/>
        <v>84.367683999999997</v>
      </c>
      <c r="Z382" s="10">
        <f t="shared" si="62"/>
        <v>29.885587199999996</v>
      </c>
      <c r="AA382" s="10">
        <f t="shared" si="63"/>
        <v>38.424326399999998</v>
      </c>
      <c r="AB382" s="10">
        <f t="shared" si="64"/>
        <v>42.693695999999996</v>
      </c>
      <c r="AC382" s="10">
        <f t="shared" si="65"/>
        <v>64.040543999999997</v>
      </c>
    </row>
    <row r="383" spans="1:29" x14ac:dyDescent="0.25">
      <c r="A383">
        <v>420508</v>
      </c>
      <c r="B383" t="s">
        <v>54</v>
      </c>
      <c r="C383" s="10">
        <v>16.91</v>
      </c>
      <c r="D383" s="10">
        <v>15.94</v>
      </c>
      <c r="E383" s="10">
        <v>0</v>
      </c>
      <c r="F383">
        <v>54</v>
      </c>
      <c r="G383" t="s">
        <v>19</v>
      </c>
      <c r="H383" s="11">
        <v>45988</v>
      </c>
      <c r="I383" t="s">
        <v>21</v>
      </c>
      <c r="J383" s="12">
        <v>3.75</v>
      </c>
      <c r="K383" s="3">
        <v>151.94999999999999</v>
      </c>
      <c r="L383" s="3">
        <f t="shared" si="55"/>
        <v>40.519999999999996</v>
      </c>
      <c r="M383" s="13"/>
      <c r="N383">
        <f>_xlfn.XLOOKUP(G383,'Tarievensheet per persoon'!AE:AE,'Tarievensheet per persoon'!AF:AF)</f>
        <v>1.7068000000000001</v>
      </c>
      <c r="O383">
        <f>_xlfn.XLOOKUP(G383,AE:AE,'Tarievensheet per persoon'!AG:AG)</f>
        <v>1.5528</v>
      </c>
      <c r="P383">
        <f>_xlfn.XLOOKUP(G383,AE:AE,'Tarievensheet per persoon'!AH:AH)</f>
        <v>1.3391999999999999</v>
      </c>
      <c r="Q383">
        <f>_xlfn.XLOOKUP(G383,AE:AE,'Tarievensheet per persoon'!AI:AI)</f>
        <v>1.3391999999999999</v>
      </c>
      <c r="R383">
        <v>0</v>
      </c>
      <c r="S383" s="14">
        <v>2.99</v>
      </c>
      <c r="T383" s="10">
        <f t="shared" si="56"/>
        <v>31.851987999999999</v>
      </c>
      <c r="U383" s="10">
        <f t="shared" si="57"/>
        <v>40.517077839999999</v>
      </c>
      <c r="V383" s="10">
        <f t="shared" si="58"/>
        <v>41.042234800000003</v>
      </c>
      <c r="W383" s="10">
        <f t="shared" si="59"/>
        <v>52.858266399999998</v>
      </c>
      <c r="X383" s="10">
        <f t="shared" si="60"/>
        <v>58.109836000000001</v>
      </c>
      <c r="Y383" s="10">
        <f t="shared" si="61"/>
        <v>84.367683999999997</v>
      </c>
      <c r="Z383" s="10">
        <f t="shared" si="62"/>
        <v>29.885587199999996</v>
      </c>
      <c r="AA383" s="10">
        <f t="shared" si="63"/>
        <v>38.424326399999998</v>
      </c>
      <c r="AB383" s="10">
        <f t="shared" si="64"/>
        <v>42.693695999999996</v>
      </c>
      <c r="AC383" s="10">
        <f t="shared" si="65"/>
        <v>64.040543999999997</v>
      </c>
    </row>
    <row r="384" spans="1:29" x14ac:dyDescent="0.25">
      <c r="A384">
        <v>421063</v>
      </c>
      <c r="B384" t="s">
        <v>55</v>
      </c>
      <c r="C384" s="10">
        <v>16.55</v>
      </c>
      <c r="D384" s="10">
        <v>15.59</v>
      </c>
      <c r="E384" s="10">
        <v>0</v>
      </c>
      <c r="F384">
        <v>71</v>
      </c>
      <c r="G384" t="s">
        <v>19</v>
      </c>
      <c r="H384" s="11">
        <v>45985</v>
      </c>
      <c r="I384" t="s">
        <v>13</v>
      </c>
      <c r="J384" s="12">
        <v>8</v>
      </c>
      <c r="K384" s="3">
        <v>249.92</v>
      </c>
      <c r="L384" s="3">
        <f t="shared" si="55"/>
        <v>31.24</v>
      </c>
      <c r="M384" s="13"/>
      <c r="N384">
        <f>_xlfn.XLOOKUP(G384,'Tarievensheet per persoon'!AE:AE,'Tarievensheet per persoon'!AF:AF)</f>
        <v>1.7068000000000001</v>
      </c>
      <c r="O384">
        <f>_xlfn.XLOOKUP(G384,AE:AE,'Tarievensheet per persoon'!AG:AG)</f>
        <v>1.5528</v>
      </c>
      <c r="P384">
        <f>_xlfn.XLOOKUP(G384,AE:AE,'Tarievensheet per persoon'!AH:AH)</f>
        <v>1.3391999999999999</v>
      </c>
      <c r="Q384">
        <f>_xlfn.XLOOKUP(G384,AE:AE,'Tarievensheet per persoon'!AI:AI)</f>
        <v>1.3391999999999999</v>
      </c>
      <c r="R384">
        <v>0</v>
      </c>
      <c r="S384" s="14">
        <v>2.99</v>
      </c>
      <c r="T384" s="10">
        <f t="shared" si="56"/>
        <v>31.237540000000003</v>
      </c>
      <c r="U384" s="10">
        <f t="shared" si="57"/>
        <v>39.718157200000007</v>
      </c>
      <c r="V384" s="10">
        <f t="shared" si="58"/>
        <v>40.232134000000002</v>
      </c>
      <c r="W384" s="10">
        <f t="shared" si="59"/>
        <v>51.79661200000001</v>
      </c>
      <c r="X384" s="10">
        <f t="shared" si="60"/>
        <v>56.93638</v>
      </c>
      <c r="Y384" s="10">
        <f t="shared" si="61"/>
        <v>82.635220000000004</v>
      </c>
      <c r="Z384" s="10">
        <f t="shared" si="62"/>
        <v>29.229379199999993</v>
      </c>
      <c r="AA384" s="10">
        <f t="shared" si="63"/>
        <v>37.580630399999997</v>
      </c>
      <c r="AB384" s="10">
        <f t="shared" si="64"/>
        <v>41.756256</v>
      </c>
      <c r="AC384" s="10">
        <f t="shared" si="65"/>
        <v>62.63438399999999</v>
      </c>
    </row>
    <row r="385" spans="1:29" x14ac:dyDescent="0.25">
      <c r="A385">
        <v>421063</v>
      </c>
      <c r="B385" t="s">
        <v>55</v>
      </c>
      <c r="C385" s="10">
        <v>16.55</v>
      </c>
      <c r="D385" s="10">
        <v>15.59</v>
      </c>
      <c r="E385" s="10">
        <v>0</v>
      </c>
      <c r="F385">
        <v>71</v>
      </c>
      <c r="G385" t="s">
        <v>19</v>
      </c>
      <c r="H385" s="11">
        <v>45986</v>
      </c>
      <c r="I385" t="s">
        <v>13</v>
      </c>
      <c r="J385" s="12">
        <v>8</v>
      </c>
      <c r="K385" s="3">
        <v>249.92</v>
      </c>
      <c r="L385" s="3">
        <f t="shared" si="55"/>
        <v>31.24</v>
      </c>
      <c r="M385" s="13"/>
      <c r="N385">
        <f>_xlfn.XLOOKUP(G385,'Tarievensheet per persoon'!AE:AE,'Tarievensheet per persoon'!AF:AF)</f>
        <v>1.7068000000000001</v>
      </c>
      <c r="O385">
        <f>_xlfn.XLOOKUP(G385,AE:AE,'Tarievensheet per persoon'!AG:AG)</f>
        <v>1.5528</v>
      </c>
      <c r="P385">
        <f>_xlfn.XLOOKUP(G385,AE:AE,'Tarievensheet per persoon'!AH:AH)</f>
        <v>1.3391999999999999</v>
      </c>
      <c r="Q385">
        <f>_xlfn.XLOOKUP(G385,AE:AE,'Tarievensheet per persoon'!AI:AI)</f>
        <v>1.3391999999999999</v>
      </c>
      <c r="R385">
        <v>0</v>
      </c>
      <c r="S385" s="14">
        <v>2.99</v>
      </c>
      <c r="T385" s="10">
        <f t="shared" si="56"/>
        <v>31.237540000000003</v>
      </c>
      <c r="U385" s="10">
        <f t="shared" si="57"/>
        <v>39.718157200000007</v>
      </c>
      <c r="V385" s="10">
        <f t="shared" si="58"/>
        <v>40.232134000000002</v>
      </c>
      <c r="W385" s="10">
        <f t="shared" si="59"/>
        <v>51.79661200000001</v>
      </c>
      <c r="X385" s="10">
        <f t="shared" si="60"/>
        <v>56.93638</v>
      </c>
      <c r="Y385" s="10">
        <f t="shared" si="61"/>
        <v>82.635220000000004</v>
      </c>
      <c r="Z385" s="10">
        <f t="shared" si="62"/>
        <v>29.229379199999993</v>
      </c>
      <c r="AA385" s="10">
        <f t="shared" si="63"/>
        <v>37.580630399999997</v>
      </c>
      <c r="AB385" s="10">
        <f t="shared" si="64"/>
        <v>41.756256</v>
      </c>
      <c r="AC385" s="10">
        <f t="shared" si="65"/>
        <v>62.63438399999999</v>
      </c>
    </row>
    <row r="386" spans="1:29" x14ac:dyDescent="0.25">
      <c r="A386">
        <v>421063</v>
      </c>
      <c r="B386" t="s">
        <v>55</v>
      </c>
      <c r="C386" s="10">
        <v>16.55</v>
      </c>
      <c r="D386" s="10">
        <v>15.59</v>
      </c>
      <c r="E386" s="10">
        <v>0</v>
      </c>
      <c r="F386">
        <v>71</v>
      </c>
      <c r="G386" t="s">
        <v>19</v>
      </c>
      <c r="H386" s="11">
        <v>45987</v>
      </c>
      <c r="I386" t="s">
        <v>13</v>
      </c>
      <c r="J386" s="12">
        <v>8</v>
      </c>
      <c r="K386" s="3">
        <v>249.92</v>
      </c>
      <c r="L386" s="3">
        <f t="shared" si="55"/>
        <v>31.24</v>
      </c>
      <c r="M386" s="13"/>
      <c r="N386">
        <f>_xlfn.XLOOKUP(G386,'Tarievensheet per persoon'!AE:AE,'Tarievensheet per persoon'!AF:AF)</f>
        <v>1.7068000000000001</v>
      </c>
      <c r="O386">
        <f>_xlfn.XLOOKUP(G386,AE:AE,'Tarievensheet per persoon'!AG:AG)</f>
        <v>1.5528</v>
      </c>
      <c r="P386">
        <f>_xlfn.XLOOKUP(G386,AE:AE,'Tarievensheet per persoon'!AH:AH)</f>
        <v>1.3391999999999999</v>
      </c>
      <c r="Q386">
        <f>_xlfn.XLOOKUP(G386,AE:AE,'Tarievensheet per persoon'!AI:AI)</f>
        <v>1.3391999999999999</v>
      </c>
      <c r="R386">
        <v>0</v>
      </c>
      <c r="S386" s="14">
        <v>2.99</v>
      </c>
      <c r="T386" s="10">
        <f t="shared" si="56"/>
        <v>31.237540000000003</v>
      </c>
      <c r="U386" s="10">
        <f t="shared" si="57"/>
        <v>39.718157200000007</v>
      </c>
      <c r="V386" s="10">
        <f t="shared" si="58"/>
        <v>40.232134000000002</v>
      </c>
      <c r="W386" s="10">
        <f t="shared" si="59"/>
        <v>51.79661200000001</v>
      </c>
      <c r="X386" s="10">
        <f t="shared" si="60"/>
        <v>56.93638</v>
      </c>
      <c r="Y386" s="10">
        <f t="shared" si="61"/>
        <v>82.635220000000004</v>
      </c>
      <c r="Z386" s="10">
        <f t="shared" si="62"/>
        <v>29.229379199999993</v>
      </c>
      <c r="AA386" s="10">
        <f t="shared" si="63"/>
        <v>37.580630399999997</v>
      </c>
      <c r="AB386" s="10">
        <f t="shared" si="64"/>
        <v>41.756256</v>
      </c>
      <c r="AC386" s="10">
        <f t="shared" si="65"/>
        <v>62.63438399999999</v>
      </c>
    </row>
    <row r="387" spans="1:29" x14ac:dyDescent="0.25">
      <c r="A387">
        <v>421063</v>
      </c>
      <c r="B387" t="s">
        <v>55</v>
      </c>
      <c r="C387" s="10">
        <v>16.55</v>
      </c>
      <c r="D387" s="10">
        <v>15.59</v>
      </c>
      <c r="E387" s="10">
        <v>0</v>
      </c>
      <c r="F387">
        <v>71</v>
      </c>
      <c r="G387" t="s">
        <v>19</v>
      </c>
      <c r="H387" s="11">
        <v>45988</v>
      </c>
      <c r="I387" t="s">
        <v>13</v>
      </c>
      <c r="J387" s="12">
        <v>8</v>
      </c>
      <c r="K387" s="3">
        <v>249.92</v>
      </c>
      <c r="L387" s="3">
        <f t="shared" ref="L387:L450" si="66">K387/J387</f>
        <v>31.24</v>
      </c>
      <c r="M387" s="13"/>
      <c r="N387">
        <f>_xlfn.XLOOKUP(G387,'Tarievensheet per persoon'!AE:AE,'Tarievensheet per persoon'!AF:AF)</f>
        <v>1.7068000000000001</v>
      </c>
      <c r="O387">
        <f>_xlfn.XLOOKUP(G387,AE:AE,'Tarievensheet per persoon'!AG:AG)</f>
        <v>1.5528</v>
      </c>
      <c r="P387">
        <f>_xlfn.XLOOKUP(G387,AE:AE,'Tarievensheet per persoon'!AH:AH)</f>
        <v>1.3391999999999999</v>
      </c>
      <c r="Q387">
        <f>_xlfn.XLOOKUP(G387,AE:AE,'Tarievensheet per persoon'!AI:AI)</f>
        <v>1.3391999999999999</v>
      </c>
      <c r="R387">
        <v>0</v>
      </c>
      <c r="S387" s="14">
        <v>2.99</v>
      </c>
      <c r="T387" s="10">
        <f t="shared" ref="T387:T450" si="67">C387*N387+C387*Q387*R387+S387+(E387*O387)</f>
        <v>31.237540000000003</v>
      </c>
      <c r="U387" s="10">
        <f t="shared" ref="U387:U450" si="68">T387+C387*(U$1-1)*O387</f>
        <v>39.718157200000007</v>
      </c>
      <c r="V387" s="10">
        <f t="shared" ref="V387:V450" si="69">T387+C387*(V$1-1)*O387</f>
        <v>40.232134000000002</v>
      </c>
      <c r="W387" s="10">
        <f t="shared" ref="W387:W450" si="70">T387+C387*(W$1-1)*O387</f>
        <v>51.79661200000001</v>
      </c>
      <c r="X387" s="10">
        <f t="shared" ref="X387:X450" si="71">T387+C387*(X$1-1)*O387</f>
        <v>56.93638</v>
      </c>
      <c r="Y387" s="10">
        <f t="shared" ref="Y387:Y450" si="72">T387+C387*(Y$1-1)*O387</f>
        <v>82.635220000000004</v>
      </c>
      <c r="Z387" s="10">
        <f t="shared" ref="Z387:Z450" si="73">D387*Z$1*P387</f>
        <v>29.229379199999993</v>
      </c>
      <c r="AA387" s="10">
        <f t="shared" ref="AA387:AA450" si="74">D387*AA$1*P387</f>
        <v>37.580630399999997</v>
      </c>
      <c r="AB387" s="10">
        <f t="shared" ref="AB387:AB450" si="75">D387*AB$1*P387</f>
        <v>41.756256</v>
      </c>
      <c r="AC387" s="10">
        <f t="shared" ref="AC387:AC450" si="76">D387*AC$1*P387</f>
        <v>62.63438399999999</v>
      </c>
    </row>
    <row r="388" spans="1:29" x14ac:dyDescent="0.25">
      <c r="A388">
        <v>421063</v>
      </c>
      <c r="B388" t="s">
        <v>55</v>
      </c>
      <c r="C388" s="10">
        <v>16.55</v>
      </c>
      <c r="D388" s="10">
        <v>15.59</v>
      </c>
      <c r="E388" s="10">
        <v>0</v>
      </c>
      <c r="F388">
        <v>71</v>
      </c>
      <c r="G388" t="s">
        <v>19</v>
      </c>
      <c r="H388" s="11">
        <v>45989</v>
      </c>
      <c r="I388" t="s">
        <v>13</v>
      </c>
      <c r="J388" s="12">
        <v>8</v>
      </c>
      <c r="K388" s="3">
        <v>249.92</v>
      </c>
      <c r="L388" s="3">
        <f t="shared" si="66"/>
        <v>31.24</v>
      </c>
      <c r="M388" s="13"/>
      <c r="N388">
        <f>_xlfn.XLOOKUP(G388,'Tarievensheet per persoon'!AE:AE,'Tarievensheet per persoon'!AF:AF)</f>
        <v>1.7068000000000001</v>
      </c>
      <c r="O388">
        <f>_xlfn.XLOOKUP(G388,AE:AE,'Tarievensheet per persoon'!AG:AG)</f>
        <v>1.5528</v>
      </c>
      <c r="P388">
        <f>_xlfn.XLOOKUP(G388,AE:AE,'Tarievensheet per persoon'!AH:AH)</f>
        <v>1.3391999999999999</v>
      </c>
      <c r="Q388">
        <f>_xlfn.XLOOKUP(G388,AE:AE,'Tarievensheet per persoon'!AI:AI)</f>
        <v>1.3391999999999999</v>
      </c>
      <c r="R388">
        <v>0</v>
      </c>
      <c r="S388" s="14">
        <v>2.99</v>
      </c>
      <c r="T388" s="10">
        <f t="shared" si="67"/>
        <v>31.237540000000003</v>
      </c>
      <c r="U388" s="10">
        <f t="shared" si="68"/>
        <v>39.718157200000007</v>
      </c>
      <c r="V388" s="10">
        <f t="shared" si="69"/>
        <v>40.232134000000002</v>
      </c>
      <c r="W388" s="10">
        <f t="shared" si="70"/>
        <v>51.79661200000001</v>
      </c>
      <c r="X388" s="10">
        <f t="shared" si="71"/>
        <v>56.93638</v>
      </c>
      <c r="Y388" s="10">
        <f t="shared" si="72"/>
        <v>82.635220000000004</v>
      </c>
      <c r="Z388" s="10">
        <f t="shared" si="73"/>
        <v>29.229379199999993</v>
      </c>
      <c r="AA388" s="10">
        <f t="shared" si="74"/>
        <v>37.580630399999997</v>
      </c>
      <c r="AB388" s="10">
        <f t="shared" si="75"/>
        <v>41.756256</v>
      </c>
      <c r="AC388" s="10">
        <f t="shared" si="76"/>
        <v>62.63438399999999</v>
      </c>
    </row>
    <row r="389" spans="1:29" x14ac:dyDescent="0.25">
      <c r="A389">
        <v>421714</v>
      </c>
      <c r="B389" t="s">
        <v>57</v>
      </c>
      <c r="C389" s="10">
        <v>15.89</v>
      </c>
      <c r="D389" s="10">
        <v>14.98</v>
      </c>
      <c r="E389" s="10">
        <v>0</v>
      </c>
      <c r="F389">
        <v>63</v>
      </c>
      <c r="G389" t="s">
        <v>19</v>
      </c>
      <c r="H389" s="11">
        <v>45985</v>
      </c>
      <c r="I389" t="s">
        <v>13</v>
      </c>
      <c r="J389" s="12">
        <v>2.5</v>
      </c>
      <c r="K389" s="3">
        <v>75.28</v>
      </c>
      <c r="L389" s="3">
        <f t="shared" si="66"/>
        <v>30.112000000000002</v>
      </c>
      <c r="M389" s="13"/>
      <c r="N389">
        <f>_xlfn.XLOOKUP(G389,'Tarievensheet per persoon'!AE:AE,'Tarievensheet per persoon'!AF:AF)</f>
        <v>1.7068000000000001</v>
      </c>
      <c r="O389">
        <f>_xlfn.XLOOKUP(G389,AE:AE,'Tarievensheet per persoon'!AG:AG)</f>
        <v>1.5528</v>
      </c>
      <c r="P389">
        <f>_xlfn.XLOOKUP(G389,AE:AE,'Tarievensheet per persoon'!AH:AH)</f>
        <v>1.3391999999999999</v>
      </c>
      <c r="Q389">
        <f>_xlfn.XLOOKUP(G389,AE:AE,'Tarievensheet per persoon'!AI:AI)</f>
        <v>1.3391999999999999</v>
      </c>
      <c r="R389">
        <v>0</v>
      </c>
      <c r="S389" s="14">
        <v>2.99</v>
      </c>
      <c r="T389" s="10">
        <f t="shared" si="67"/>
        <v>30.111052000000001</v>
      </c>
      <c r="U389" s="10">
        <f t="shared" si="68"/>
        <v>38.253469360000004</v>
      </c>
      <c r="V389" s="10">
        <f t="shared" si="69"/>
        <v>38.746949200000003</v>
      </c>
      <c r="W389" s="10">
        <f t="shared" si="70"/>
        <v>49.850245600000001</v>
      </c>
      <c r="X389" s="10">
        <f t="shared" si="71"/>
        <v>54.785043999999999</v>
      </c>
      <c r="Y389" s="10">
        <f t="shared" si="72"/>
        <v>79.459035999999998</v>
      </c>
      <c r="Z389" s="10">
        <f t="shared" si="73"/>
        <v>28.085702399999995</v>
      </c>
      <c r="AA389" s="10">
        <f t="shared" si="74"/>
        <v>36.110188800000003</v>
      </c>
      <c r="AB389" s="10">
        <f t="shared" si="75"/>
        <v>40.122431999999996</v>
      </c>
      <c r="AC389" s="10">
        <f t="shared" si="76"/>
        <v>60.183647999999998</v>
      </c>
    </row>
    <row r="390" spans="1:29" x14ac:dyDescent="0.25">
      <c r="A390">
        <v>421714</v>
      </c>
      <c r="B390" t="s">
        <v>57</v>
      </c>
      <c r="C390" s="10">
        <v>15.89</v>
      </c>
      <c r="D390" s="10">
        <v>14.98</v>
      </c>
      <c r="E390" s="10">
        <v>0</v>
      </c>
      <c r="F390">
        <v>63</v>
      </c>
      <c r="G390" t="s">
        <v>19</v>
      </c>
      <c r="H390" s="11">
        <v>45985</v>
      </c>
      <c r="I390" t="s">
        <v>21</v>
      </c>
      <c r="J390" s="12">
        <v>5</v>
      </c>
      <c r="K390" s="3">
        <v>191.25</v>
      </c>
      <c r="L390" s="3">
        <f t="shared" si="66"/>
        <v>38.25</v>
      </c>
      <c r="M390" s="13"/>
      <c r="N390">
        <f>_xlfn.XLOOKUP(G390,'Tarievensheet per persoon'!AE:AE,'Tarievensheet per persoon'!AF:AF)</f>
        <v>1.7068000000000001</v>
      </c>
      <c r="O390">
        <f>_xlfn.XLOOKUP(G390,AE:AE,'Tarievensheet per persoon'!AG:AG)</f>
        <v>1.5528</v>
      </c>
      <c r="P390">
        <f>_xlfn.XLOOKUP(G390,AE:AE,'Tarievensheet per persoon'!AH:AH)</f>
        <v>1.3391999999999999</v>
      </c>
      <c r="Q390">
        <f>_xlfn.XLOOKUP(G390,AE:AE,'Tarievensheet per persoon'!AI:AI)</f>
        <v>1.3391999999999999</v>
      </c>
      <c r="R390">
        <v>0</v>
      </c>
      <c r="S390" s="14">
        <v>2.99</v>
      </c>
      <c r="T390" s="10">
        <f t="shared" si="67"/>
        <v>30.111052000000001</v>
      </c>
      <c r="U390" s="10">
        <f t="shared" si="68"/>
        <v>38.253469360000004</v>
      </c>
      <c r="V390" s="10">
        <f t="shared" si="69"/>
        <v>38.746949200000003</v>
      </c>
      <c r="W390" s="10">
        <f t="shared" si="70"/>
        <v>49.850245600000001</v>
      </c>
      <c r="X390" s="10">
        <f t="shared" si="71"/>
        <v>54.785043999999999</v>
      </c>
      <c r="Y390" s="10">
        <f t="shared" si="72"/>
        <v>79.459035999999998</v>
      </c>
      <c r="Z390" s="10">
        <f t="shared" si="73"/>
        <v>28.085702399999995</v>
      </c>
      <c r="AA390" s="10">
        <f t="shared" si="74"/>
        <v>36.110188800000003</v>
      </c>
      <c r="AB390" s="10">
        <f t="shared" si="75"/>
        <v>40.122431999999996</v>
      </c>
      <c r="AC390" s="10">
        <f t="shared" si="76"/>
        <v>60.183647999999998</v>
      </c>
    </row>
    <row r="391" spans="1:29" x14ac:dyDescent="0.25">
      <c r="A391">
        <v>421714</v>
      </c>
      <c r="B391" t="s">
        <v>57</v>
      </c>
      <c r="C391" s="10">
        <v>15.89</v>
      </c>
      <c r="D391" s="10">
        <v>14.98</v>
      </c>
      <c r="E391" s="10">
        <v>0</v>
      </c>
      <c r="F391">
        <v>63</v>
      </c>
      <c r="G391" t="s">
        <v>19</v>
      </c>
      <c r="H391" s="11">
        <v>45986</v>
      </c>
      <c r="I391" t="s">
        <v>13</v>
      </c>
      <c r="J391" s="12">
        <v>2.5</v>
      </c>
      <c r="K391" s="3">
        <v>75.28</v>
      </c>
      <c r="L391" s="3">
        <f t="shared" si="66"/>
        <v>30.112000000000002</v>
      </c>
      <c r="M391" s="13"/>
      <c r="N391">
        <f>_xlfn.XLOOKUP(G391,'Tarievensheet per persoon'!AE:AE,'Tarievensheet per persoon'!AF:AF)</f>
        <v>1.7068000000000001</v>
      </c>
      <c r="O391">
        <f>_xlfn.XLOOKUP(G391,AE:AE,'Tarievensheet per persoon'!AG:AG)</f>
        <v>1.5528</v>
      </c>
      <c r="P391">
        <f>_xlfn.XLOOKUP(G391,AE:AE,'Tarievensheet per persoon'!AH:AH)</f>
        <v>1.3391999999999999</v>
      </c>
      <c r="Q391">
        <f>_xlfn.XLOOKUP(G391,AE:AE,'Tarievensheet per persoon'!AI:AI)</f>
        <v>1.3391999999999999</v>
      </c>
      <c r="R391">
        <v>0</v>
      </c>
      <c r="S391" s="14">
        <v>2.99</v>
      </c>
      <c r="T391" s="10">
        <f t="shared" si="67"/>
        <v>30.111052000000001</v>
      </c>
      <c r="U391" s="10">
        <f t="shared" si="68"/>
        <v>38.253469360000004</v>
      </c>
      <c r="V391" s="10">
        <f t="shared" si="69"/>
        <v>38.746949200000003</v>
      </c>
      <c r="W391" s="10">
        <f t="shared" si="70"/>
        <v>49.850245600000001</v>
      </c>
      <c r="X391" s="10">
        <f t="shared" si="71"/>
        <v>54.785043999999999</v>
      </c>
      <c r="Y391" s="10">
        <f t="shared" si="72"/>
        <v>79.459035999999998</v>
      </c>
      <c r="Z391" s="10">
        <f t="shared" si="73"/>
        <v>28.085702399999995</v>
      </c>
      <c r="AA391" s="10">
        <f t="shared" si="74"/>
        <v>36.110188800000003</v>
      </c>
      <c r="AB391" s="10">
        <f t="shared" si="75"/>
        <v>40.122431999999996</v>
      </c>
      <c r="AC391" s="10">
        <f t="shared" si="76"/>
        <v>60.183647999999998</v>
      </c>
    </row>
    <row r="392" spans="1:29" x14ac:dyDescent="0.25">
      <c r="A392">
        <v>421714</v>
      </c>
      <c r="B392" t="s">
        <v>57</v>
      </c>
      <c r="C392" s="10">
        <v>15.89</v>
      </c>
      <c r="D392" s="10">
        <v>14.98</v>
      </c>
      <c r="E392" s="10">
        <v>0</v>
      </c>
      <c r="F392">
        <v>63</v>
      </c>
      <c r="G392" t="s">
        <v>19</v>
      </c>
      <c r="H392" s="11">
        <v>45986</v>
      </c>
      <c r="I392" t="s">
        <v>21</v>
      </c>
      <c r="J392" s="12">
        <v>5.25</v>
      </c>
      <c r="K392" s="3">
        <v>200.81</v>
      </c>
      <c r="L392" s="3">
        <f t="shared" si="66"/>
        <v>38.249523809523808</v>
      </c>
      <c r="M392" s="13"/>
      <c r="N392">
        <f>_xlfn.XLOOKUP(G392,'Tarievensheet per persoon'!AE:AE,'Tarievensheet per persoon'!AF:AF)</f>
        <v>1.7068000000000001</v>
      </c>
      <c r="O392">
        <f>_xlfn.XLOOKUP(G392,AE:AE,'Tarievensheet per persoon'!AG:AG)</f>
        <v>1.5528</v>
      </c>
      <c r="P392">
        <f>_xlfn.XLOOKUP(G392,AE:AE,'Tarievensheet per persoon'!AH:AH)</f>
        <v>1.3391999999999999</v>
      </c>
      <c r="Q392">
        <f>_xlfn.XLOOKUP(G392,AE:AE,'Tarievensheet per persoon'!AI:AI)</f>
        <v>1.3391999999999999</v>
      </c>
      <c r="R392">
        <v>0</v>
      </c>
      <c r="S392" s="14">
        <v>2.99</v>
      </c>
      <c r="T392" s="10">
        <f t="shared" si="67"/>
        <v>30.111052000000001</v>
      </c>
      <c r="U392" s="10">
        <f t="shared" si="68"/>
        <v>38.253469360000004</v>
      </c>
      <c r="V392" s="10">
        <f t="shared" si="69"/>
        <v>38.746949200000003</v>
      </c>
      <c r="W392" s="10">
        <f t="shared" si="70"/>
        <v>49.850245600000001</v>
      </c>
      <c r="X392" s="10">
        <f t="shared" si="71"/>
        <v>54.785043999999999</v>
      </c>
      <c r="Y392" s="10">
        <f t="shared" si="72"/>
        <v>79.459035999999998</v>
      </c>
      <c r="Z392" s="10">
        <f t="shared" si="73"/>
        <v>28.085702399999995</v>
      </c>
      <c r="AA392" s="10">
        <f t="shared" si="74"/>
        <v>36.110188800000003</v>
      </c>
      <c r="AB392" s="10">
        <f t="shared" si="75"/>
        <v>40.122431999999996</v>
      </c>
      <c r="AC392" s="10">
        <f t="shared" si="76"/>
        <v>60.183647999999998</v>
      </c>
    </row>
    <row r="393" spans="1:29" x14ac:dyDescent="0.25">
      <c r="A393">
        <v>421714</v>
      </c>
      <c r="B393" t="s">
        <v>57</v>
      </c>
      <c r="C393" s="10">
        <v>15.89</v>
      </c>
      <c r="D393" s="10">
        <v>14.98</v>
      </c>
      <c r="E393" s="10">
        <v>0</v>
      </c>
      <c r="F393">
        <v>63</v>
      </c>
      <c r="G393" t="s">
        <v>19</v>
      </c>
      <c r="H393" s="11">
        <v>45987</v>
      </c>
      <c r="I393" t="s">
        <v>13</v>
      </c>
      <c r="J393" s="12">
        <v>1.75</v>
      </c>
      <c r="K393" s="3">
        <v>52.69</v>
      </c>
      <c r="L393" s="3">
        <f t="shared" si="66"/>
        <v>30.108571428571427</v>
      </c>
      <c r="M393" s="13"/>
      <c r="N393">
        <f>_xlfn.XLOOKUP(G393,'Tarievensheet per persoon'!AE:AE,'Tarievensheet per persoon'!AF:AF)</f>
        <v>1.7068000000000001</v>
      </c>
      <c r="O393">
        <f>_xlfn.XLOOKUP(G393,AE:AE,'Tarievensheet per persoon'!AG:AG)</f>
        <v>1.5528</v>
      </c>
      <c r="P393">
        <f>_xlfn.XLOOKUP(G393,AE:AE,'Tarievensheet per persoon'!AH:AH)</f>
        <v>1.3391999999999999</v>
      </c>
      <c r="Q393">
        <f>_xlfn.XLOOKUP(G393,AE:AE,'Tarievensheet per persoon'!AI:AI)</f>
        <v>1.3391999999999999</v>
      </c>
      <c r="R393">
        <v>0</v>
      </c>
      <c r="S393" s="14">
        <v>2.99</v>
      </c>
      <c r="T393" s="10">
        <f t="shared" si="67"/>
        <v>30.111052000000001</v>
      </c>
      <c r="U393" s="10">
        <f t="shared" si="68"/>
        <v>38.253469360000004</v>
      </c>
      <c r="V393" s="10">
        <f t="shared" si="69"/>
        <v>38.746949200000003</v>
      </c>
      <c r="W393" s="10">
        <f t="shared" si="70"/>
        <v>49.850245600000001</v>
      </c>
      <c r="X393" s="10">
        <f t="shared" si="71"/>
        <v>54.785043999999999</v>
      </c>
      <c r="Y393" s="10">
        <f t="shared" si="72"/>
        <v>79.459035999999998</v>
      </c>
      <c r="Z393" s="10">
        <f t="shared" si="73"/>
        <v>28.085702399999995</v>
      </c>
      <c r="AA393" s="10">
        <f t="shared" si="74"/>
        <v>36.110188800000003</v>
      </c>
      <c r="AB393" s="10">
        <f t="shared" si="75"/>
        <v>40.122431999999996</v>
      </c>
      <c r="AC393" s="10">
        <f t="shared" si="76"/>
        <v>60.183647999999998</v>
      </c>
    </row>
    <row r="394" spans="1:29" x14ac:dyDescent="0.25">
      <c r="A394">
        <v>421714</v>
      </c>
      <c r="B394" t="s">
        <v>57</v>
      </c>
      <c r="C394" s="10">
        <v>15.89</v>
      </c>
      <c r="D394" s="10">
        <v>14.98</v>
      </c>
      <c r="E394" s="10">
        <v>0</v>
      </c>
      <c r="F394">
        <v>63</v>
      </c>
      <c r="G394" t="s">
        <v>19</v>
      </c>
      <c r="H394" s="11">
        <v>45987</v>
      </c>
      <c r="I394" t="s">
        <v>21</v>
      </c>
      <c r="J394" s="12">
        <v>5.25</v>
      </c>
      <c r="K394" s="3">
        <v>200.81</v>
      </c>
      <c r="L394" s="3">
        <f t="shared" si="66"/>
        <v>38.249523809523808</v>
      </c>
      <c r="M394" s="13"/>
      <c r="N394">
        <f>_xlfn.XLOOKUP(G394,'Tarievensheet per persoon'!AE:AE,'Tarievensheet per persoon'!AF:AF)</f>
        <v>1.7068000000000001</v>
      </c>
      <c r="O394">
        <f>_xlfn.XLOOKUP(G394,AE:AE,'Tarievensheet per persoon'!AG:AG)</f>
        <v>1.5528</v>
      </c>
      <c r="P394">
        <f>_xlfn.XLOOKUP(G394,AE:AE,'Tarievensheet per persoon'!AH:AH)</f>
        <v>1.3391999999999999</v>
      </c>
      <c r="Q394">
        <f>_xlfn.XLOOKUP(G394,AE:AE,'Tarievensheet per persoon'!AI:AI)</f>
        <v>1.3391999999999999</v>
      </c>
      <c r="R394">
        <v>0</v>
      </c>
      <c r="S394" s="14">
        <v>2.99</v>
      </c>
      <c r="T394" s="10">
        <f t="shared" si="67"/>
        <v>30.111052000000001</v>
      </c>
      <c r="U394" s="10">
        <f t="shared" si="68"/>
        <v>38.253469360000004</v>
      </c>
      <c r="V394" s="10">
        <f t="shared" si="69"/>
        <v>38.746949200000003</v>
      </c>
      <c r="W394" s="10">
        <f t="shared" si="70"/>
        <v>49.850245600000001</v>
      </c>
      <c r="X394" s="10">
        <f t="shared" si="71"/>
        <v>54.785043999999999</v>
      </c>
      <c r="Y394" s="10">
        <f t="shared" si="72"/>
        <v>79.459035999999998</v>
      </c>
      <c r="Z394" s="10">
        <f t="shared" si="73"/>
        <v>28.085702399999995</v>
      </c>
      <c r="AA394" s="10">
        <f t="shared" si="74"/>
        <v>36.110188800000003</v>
      </c>
      <c r="AB394" s="10">
        <f t="shared" si="75"/>
        <v>40.122431999999996</v>
      </c>
      <c r="AC394" s="10">
        <f t="shared" si="76"/>
        <v>60.183647999999998</v>
      </c>
    </row>
    <row r="395" spans="1:29" x14ac:dyDescent="0.25">
      <c r="A395">
        <v>421714</v>
      </c>
      <c r="B395" t="s">
        <v>57</v>
      </c>
      <c r="C395" s="10">
        <v>15.89</v>
      </c>
      <c r="D395" s="10">
        <v>14.98</v>
      </c>
      <c r="E395" s="10">
        <v>0</v>
      </c>
      <c r="F395">
        <v>63</v>
      </c>
      <c r="G395" t="s">
        <v>19</v>
      </c>
      <c r="H395" s="11">
        <v>45987</v>
      </c>
      <c r="I395" t="s">
        <v>22</v>
      </c>
      <c r="J395" s="12">
        <v>0.5</v>
      </c>
      <c r="K395" s="3">
        <v>19.37</v>
      </c>
      <c r="L395" s="3">
        <f t="shared" si="66"/>
        <v>38.74</v>
      </c>
      <c r="M395" s="13"/>
      <c r="N395">
        <f>_xlfn.XLOOKUP(G395,'Tarievensheet per persoon'!AE:AE,'Tarievensheet per persoon'!AF:AF)</f>
        <v>1.7068000000000001</v>
      </c>
      <c r="O395">
        <f>_xlfn.XLOOKUP(G395,AE:AE,'Tarievensheet per persoon'!AG:AG)</f>
        <v>1.5528</v>
      </c>
      <c r="P395">
        <f>_xlfn.XLOOKUP(G395,AE:AE,'Tarievensheet per persoon'!AH:AH)</f>
        <v>1.3391999999999999</v>
      </c>
      <c r="Q395">
        <f>_xlfn.XLOOKUP(G395,AE:AE,'Tarievensheet per persoon'!AI:AI)</f>
        <v>1.3391999999999999</v>
      </c>
      <c r="R395">
        <v>0</v>
      </c>
      <c r="S395" s="14">
        <v>2.99</v>
      </c>
      <c r="T395" s="10">
        <f t="shared" si="67"/>
        <v>30.111052000000001</v>
      </c>
      <c r="U395" s="10">
        <f t="shared" si="68"/>
        <v>38.253469360000004</v>
      </c>
      <c r="V395" s="10">
        <f t="shared" si="69"/>
        <v>38.746949200000003</v>
      </c>
      <c r="W395" s="10">
        <f t="shared" si="70"/>
        <v>49.850245600000001</v>
      </c>
      <c r="X395" s="10">
        <f t="shared" si="71"/>
        <v>54.785043999999999</v>
      </c>
      <c r="Y395" s="10">
        <f t="shared" si="72"/>
        <v>79.459035999999998</v>
      </c>
      <c r="Z395" s="10">
        <f t="shared" si="73"/>
        <v>28.085702399999995</v>
      </c>
      <c r="AA395" s="10">
        <f t="shared" si="74"/>
        <v>36.110188800000003</v>
      </c>
      <c r="AB395" s="10">
        <f t="shared" si="75"/>
        <v>40.122431999999996</v>
      </c>
      <c r="AC395" s="10">
        <f t="shared" si="76"/>
        <v>60.183647999999998</v>
      </c>
    </row>
    <row r="396" spans="1:29" x14ac:dyDescent="0.25">
      <c r="A396">
        <v>421714</v>
      </c>
      <c r="B396" t="s">
        <v>57</v>
      </c>
      <c r="C396" s="10">
        <v>15.89</v>
      </c>
      <c r="D396" s="10">
        <v>14.98</v>
      </c>
      <c r="E396" s="10">
        <v>0</v>
      </c>
      <c r="F396">
        <v>63</v>
      </c>
      <c r="G396" t="s">
        <v>19</v>
      </c>
      <c r="H396" s="11">
        <v>45988</v>
      </c>
      <c r="I396" t="s">
        <v>13</v>
      </c>
      <c r="J396" s="12">
        <v>2.25</v>
      </c>
      <c r="K396" s="3">
        <v>67.75</v>
      </c>
      <c r="L396" s="3">
        <f t="shared" si="66"/>
        <v>30.111111111111111</v>
      </c>
      <c r="M396" s="13"/>
      <c r="N396">
        <f>_xlfn.XLOOKUP(G396,'Tarievensheet per persoon'!AE:AE,'Tarievensheet per persoon'!AF:AF)</f>
        <v>1.7068000000000001</v>
      </c>
      <c r="O396">
        <f>_xlfn.XLOOKUP(G396,AE:AE,'Tarievensheet per persoon'!AG:AG)</f>
        <v>1.5528</v>
      </c>
      <c r="P396">
        <f>_xlfn.XLOOKUP(G396,AE:AE,'Tarievensheet per persoon'!AH:AH)</f>
        <v>1.3391999999999999</v>
      </c>
      <c r="Q396">
        <f>_xlfn.XLOOKUP(G396,AE:AE,'Tarievensheet per persoon'!AI:AI)</f>
        <v>1.3391999999999999</v>
      </c>
      <c r="R396">
        <v>0</v>
      </c>
      <c r="S396" s="14">
        <v>2.99</v>
      </c>
      <c r="T396" s="10">
        <f t="shared" si="67"/>
        <v>30.111052000000001</v>
      </c>
      <c r="U396" s="10">
        <f t="shared" si="68"/>
        <v>38.253469360000004</v>
      </c>
      <c r="V396" s="10">
        <f t="shared" si="69"/>
        <v>38.746949200000003</v>
      </c>
      <c r="W396" s="10">
        <f t="shared" si="70"/>
        <v>49.850245600000001</v>
      </c>
      <c r="X396" s="10">
        <f t="shared" si="71"/>
        <v>54.785043999999999</v>
      </c>
      <c r="Y396" s="10">
        <f t="shared" si="72"/>
        <v>79.459035999999998</v>
      </c>
      <c r="Z396" s="10">
        <f t="shared" si="73"/>
        <v>28.085702399999995</v>
      </c>
      <c r="AA396" s="10">
        <f t="shared" si="74"/>
        <v>36.110188800000003</v>
      </c>
      <c r="AB396" s="10">
        <f t="shared" si="75"/>
        <v>40.122431999999996</v>
      </c>
      <c r="AC396" s="10">
        <f t="shared" si="76"/>
        <v>60.183647999999998</v>
      </c>
    </row>
    <row r="397" spans="1:29" x14ac:dyDescent="0.25">
      <c r="A397">
        <v>421714</v>
      </c>
      <c r="B397" t="s">
        <v>57</v>
      </c>
      <c r="C397" s="10">
        <v>15.89</v>
      </c>
      <c r="D397" s="10">
        <v>14.98</v>
      </c>
      <c r="E397" s="10">
        <v>0</v>
      </c>
      <c r="F397">
        <v>63</v>
      </c>
      <c r="G397" t="s">
        <v>19</v>
      </c>
      <c r="H397" s="11">
        <v>45988</v>
      </c>
      <c r="I397" t="s">
        <v>21</v>
      </c>
      <c r="J397" s="12">
        <v>5.25</v>
      </c>
      <c r="K397" s="3">
        <v>200.81</v>
      </c>
      <c r="L397" s="3">
        <f t="shared" si="66"/>
        <v>38.249523809523808</v>
      </c>
      <c r="M397" s="13"/>
      <c r="N397">
        <f>_xlfn.XLOOKUP(G397,'Tarievensheet per persoon'!AE:AE,'Tarievensheet per persoon'!AF:AF)</f>
        <v>1.7068000000000001</v>
      </c>
      <c r="O397">
        <f>_xlfn.XLOOKUP(G397,AE:AE,'Tarievensheet per persoon'!AG:AG)</f>
        <v>1.5528</v>
      </c>
      <c r="P397">
        <f>_xlfn.XLOOKUP(G397,AE:AE,'Tarievensheet per persoon'!AH:AH)</f>
        <v>1.3391999999999999</v>
      </c>
      <c r="Q397">
        <f>_xlfn.XLOOKUP(G397,AE:AE,'Tarievensheet per persoon'!AI:AI)</f>
        <v>1.3391999999999999</v>
      </c>
      <c r="R397">
        <v>0</v>
      </c>
      <c r="S397" s="14">
        <v>2.99</v>
      </c>
      <c r="T397" s="10">
        <f t="shared" si="67"/>
        <v>30.111052000000001</v>
      </c>
      <c r="U397" s="10">
        <f t="shared" si="68"/>
        <v>38.253469360000004</v>
      </c>
      <c r="V397" s="10">
        <f t="shared" si="69"/>
        <v>38.746949200000003</v>
      </c>
      <c r="W397" s="10">
        <f t="shared" si="70"/>
        <v>49.850245600000001</v>
      </c>
      <c r="X397" s="10">
        <f t="shared" si="71"/>
        <v>54.785043999999999</v>
      </c>
      <c r="Y397" s="10">
        <f t="shared" si="72"/>
        <v>79.459035999999998</v>
      </c>
      <c r="Z397" s="10">
        <f t="shared" si="73"/>
        <v>28.085702399999995</v>
      </c>
      <c r="AA397" s="10">
        <f t="shared" si="74"/>
        <v>36.110188800000003</v>
      </c>
      <c r="AB397" s="10">
        <f t="shared" si="75"/>
        <v>40.122431999999996</v>
      </c>
      <c r="AC397" s="10">
        <f t="shared" si="76"/>
        <v>60.183647999999998</v>
      </c>
    </row>
    <row r="398" spans="1:29" x14ac:dyDescent="0.25">
      <c r="A398">
        <v>421714</v>
      </c>
      <c r="B398" t="s">
        <v>57</v>
      </c>
      <c r="C398" s="10">
        <v>15.89</v>
      </c>
      <c r="D398" s="10">
        <v>14.98</v>
      </c>
      <c r="E398" s="10">
        <v>0</v>
      </c>
      <c r="F398">
        <v>63</v>
      </c>
      <c r="G398" t="s">
        <v>19</v>
      </c>
      <c r="H398" s="11">
        <v>45989</v>
      </c>
      <c r="I398" t="s">
        <v>13</v>
      </c>
      <c r="J398" s="12">
        <v>2.25</v>
      </c>
      <c r="K398" s="3">
        <v>67.75</v>
      </c>
      <c r="L398" s="3">
        <f t="shared" si="66"/>
        <v>30.111111111111111</v>
      </c>
      <c r="M398" s="13"/>
      <c r="N398">
        <f>_xlfn.XLOOKUP(G398,'Tarievensheet per persoon'!AE:AE,'Tarievensheet per persoon'!AF:AF)</f>
        <v>1.7068000000000001</v>
      </c>
      <c r="O398">
        <f>_xlfn.XLOOKUP(G398,AE:AE,'Tarievensheet per persoon'!AG:AG)</f>
        <v>1.5528</v>
      </c>
      <c r="P398">
        <f>_xlfn.XLOOKUP(G398,AE:AE,'Tarievensheet per persoon'!AH:AH)</f>
        <v>1.3391999999999999</v>
      </c>
      <c r="Q398">
        <f>_xlfn.XLOOKUP(G398,AE:AE,'Tarievensheet per persoon'!AI:AI)</f>
        <v>1.3391999999999999</v>
      </c>
      <c r="R398">
        <v>0</v>
      </c>
      <c r="S398" s="14">
        <v>2.99</v>
      </c>
      <c r="T398" s="10">
        <f t="shared" si="67"/>
        <v>30.111052000000001</v>
      </c>
      <c r="U398" s="10">
        <f t="shared" si="68"/>
        <v>38.253469360000004</v>
      </c>
      <c r="V398" s="10">
        <f t="shared" si="69"/>
        <v>38.746949200000003</v>
      </c>
      <c r="W398" s="10">
        <f t="shared" si="70"/>
        <v>49.850245600000001</v>
      </c>
      <c r="X398" s="10">
        <f t="shared" si="71"/>
        <v>54.785043999999999</v>
      </c>
      <c r="Y398" s="10">
        <f t="shared" si="72"/>
        <v>79.459035999999998</v>
      </c>
      <c r="Z398" s="10">
        <f t="shared" si="73"/>
        <v>28.085702399999995</v>
      </c>
      <c r="AA398" s="10">
        <f t="shared" si="74"/>
        <v>36.110188800000003</v>
      </c>
      <c r="AB398" s="10">
        <f t="shared" si="75"/>
        <v>40.122431999999996</v>
      </c>
      <c r="AC398" s="10">
        <f t="shared" si="76"/>
        <v>60.183647999999998</v>
      </c>
    </row>
    <row r="399" spans="1:29" x14ac:dyDescent="0.25">
      <c r="A399">
        <v>421714</v>
      </c>
      <c r="B399" t="s">
        <v>57</v>
      </c>
      <c r="C399" s="10">
        <v>15.89</v>
      </c>
      <c r="D399" s="10">
        <v>14.98</v>
      </c>
      <c r="E399" s="10">
        <v>0</v>
      </c>
      <c r="F399">
        <v>63</v>
      </c>
      <c r="G399" t="s">
        <v>19</v>
      </c>
      <c r="H399" s="11">
        <v>45989</v>
      </c>
      <c r="I399" t="s">
        <v>21</v>
      </c>
      <c r="J399" s="12">
        <v>4.5</v>
      </c>
      <c r="K399" s="3">
        <v>172.13</v>
      </c>
      <c r="L399" s="3">
        <f t="shared" si="66"/>
        <v>38.251111111111108</v>
      </c>
      <c r="M399" s="13"/>
      <c r="N399">
        <f>_xlfn.XLOOKUP(G399,'Tarievensheet per persoon'!AE:AE,'Tarievensheet per persoon'!AF:AF)</f>
        <v>1.7068000000000001</v>
      </c>
      <c r="O399">
        <f>_xlfn.XLOOKUP(G399,AE:AE,'Tarievensheet per persoon'!AG:AG)</f>
        <v>1.5528</v>
      </c>
      <c r="P399">
        <f>_xlfn.XLOOKUP(G399,AE:AE,'Tarievensheet per persoon'!AH:AH)</f>
        <v>1.3391999999999999</v>
      </c>
      <c r="Q399">
        <f>_xlfn.XLOOKUP(G399,AE:AE,'Tarievensheet per persoon'!AI:AI)</f>
        <v>1.3391999999999999</v>
      </c>
      <c r="R399">
        <v>0</v>
      </c>
      <c r="S399" s="14">
        <v>2.99</v>
      </c>
      <c r="T399" s="10">
        <f t="shared" si="67"/>
        <v>30.111052000000001</v>
      </c>
      <c r="U399" s="10">
        <f t="shared" si="68"/>
        <v>38.253469360000004</v>
      </c>
      <c r="V399" s="10">
        <f t="shared" si="69"/>
        <v>38.746949200000003</v>
      </c>
      <c r="W399" s="10">
        <f t="shared" si="70"/>
        <v>49.850245600000001</v>
      </c>
      <c r="X399" s="10">
        <f t="shared" si="71"/>
        <v>54.785043999999999</v>
      </c>
      <c r="Y399" s="10">
        <f t="shared" si="72"/>
        <v>79.459035999999998</v>
      </c>
      <c r="Z399" s="10">
        <f t="shared" si="73"/>
        <v>28.085702399999995</v>
      </c>
      <c r="AA399" s="10">
        <f t="shared" si="74"/>
        <v>36.110188800000003</v>
      </c>
      <c r="AB399" s="10">
        <f t="shared" si="75"/>
        <v>40.122431999999996</v>
      </c>
      <c r="AC399" s="10">
        <f t="shared" si="76"/>
        <v>60.183647999999998</v>
      </c>
    </row>
    <row r="400" spans="1:29" x14ac:dyDescent="0.25">
      <c r="A400">
        <v>422226</v>
      </c>
      <c r="B400" t="s">
        <v>116</v>
      </c>
      <c r="C400" s="10">
        <v>15.89</v>
      </c>
      <c r="D400" s="10">
        <v>14.98</v>
      </c>
      <c r="E400" s="10">
        <v>0</v>
      </c>
      <c r="F400">
        <v>71</v>
      </c>
      <c r="G400" t="s">
        <v>19</v>
      </c>
      <c r="H400" s="11">
        <v>45985</v>
      </c>
      <c r="I400" t="s">
        <v>13</v>
      </c>
      <c r="J400" s="12">
        <v>9.5</v>
      </c>
      <c r="K400" s="3">
        <v>286.05</v>
      </c>
      <c r="L400" s="3">
        <f t="shared" si="66"/>
        <v>30.110526315789475</v>
      </c>
      <c r="M400" s="13"/>
      <c r="N400">
        <f>_xlfn.XLOOKUP(G400,'Tarievensheet per persoon'!AE:AE,'Tarievensheet per persoon'!AF:AF)</f>
        <v>1.7068000000000001</v>
      </c>
      <c r="O400">
        <f>_xlfn.XLOOKUP(G400,AE:AE,'Tarievensheet per persoon'!AG:AG)</f>
        <v>1.5528</v>
      </c>
      <c r="P400">
        <f>_xlfn.XLOOKUP(G400,AE:AE,'Tarievensheet per persoon'!AH:AH)</f>
        <v>1.3391999999999999</v>
      </c>
      <c r="Q400">
        <f>_xlfn.XLOOKUP(G400,AE:AE,'Tarievensheet per persoon'!AI:AI)</f>
        <v>1.3391999999999999</v>
      </c>
      <c r="R400">
        <v>0</v>
      </c>
      <c r="S400" s="14">
        <v>2.99</v>
      </c>
      <c r="T400" s="10">
        <f t="shared" si="67"/>
        <v>30.111052000000001</v>
      </c>
      <c r="U400" s="10">
        <f t="shared" si="68"/>
        <v>38.253469360000004</v>
      </c>
      <c r="V400" s="10">
        <f t="shared" si="69"/>
        <v>38.746949200000003</v>
      </c>
      <c r="W400" s="10">
        <f t="shared" si="70"/>
        <v>49.850245600000001</v>
      </c>
      <c r="X400" s="10">
        <f t="shared" si="71"/>
        <v>54.785043999999999</v>
      </c>
      <c r="Y400" s="10">
        <f t="shared" si="72"/>
        <v>79.459035999999998</v>
      </c>
      <c r="Z400" s="10">
        <f t="shared" si="73"/>
        <v>28.085702399999995</v>
      </c>
      <c r="AA400" s="10">
        <f t="shared" si="74"/>
        <v>36.110188800000003</v>
      </c>
      <c r="AB400" s="10">
        <f t="shared" si="75"/>
        <v>40.122431999999996</v>
      </c>
      <c r="AC400" s="10">
        <f t="shared" si="76"/>
        <v>60.183647999999998</v>
      </c>
    </row>
    <row r="401" spans="1:29" x14ac:dyDescent="0.25">
      <c r="A401">
        <v>422226</v>
      </c>
      <c r="B401" t="s">
        <v>116</v>
      </c>
      <c r="C401" s="10">
        <v>15.89</v>
      </c>
      <c r="D401" s="10">
        <v>14.98</v>
      </c>
      <c r="E401" s="10">
        <v>0</v>
      </c>
      <c r="F401">
        <v>71</v>
      </c>
      <c r="G401" t="s">
        <v>19</v>
      </c>
      <c r="H401" s="11">
        <v>45986</v>
      </c>
      <c r="I401" t="s">
        <v>13</v>
      </c>
      <c r="J401" s="12">
        <v>9</v>
      </c>
      <c r="K401" s="3">
        <v>270.99</v>
      </c>
      <c r="L401" s="3">
        <f t="shared" si="66"/>
        <v>30.11</v>
      </c>
      <c r="M401" s="13"/>
      <c r="N401">
        <f>_xlfn.XLOOKUP(G401,'Tarievensheet per persoon'!AE:AE,'Tarievensheet per persoon'!AF:AF)</f>
        <v>1.7068000000000001</v>
      </c>
      <c r="O401">
        <f>_xlfn.XLOOKUP(G401,AE:AE,'Tarievensheet per persoon'!AG:AG)</f>
        <v>1.5528</v>
      </c>
      <c r="P401">
        <f>_xlfn.XLOOKUP(G401,AE:AE,'Tarievensheet per persoon'!AH:AH)</f>
        <v>1.3391999999999999</v>
      </c>
      <c r="Q401">
        <f>_xlfn.XLOOKUP(G401,AE:AE,'Tarievensheet per persoon'!AI:AI)</f>
        <v>1.3391999999999999</v>
      </c>
      <c r="R401">
        <v>0</v>
      </c>
      <c r="S401" s="14">
        <v>2.99</v>
      </c>
      <c r="T401" s="10">
        <f t="shared" si="67"/>
        <v>30.111052000000001</v>
      </c>
      <c r="U401" s="10">
        <f t="shared" si="68"/>
        <v>38.253469360000004</v>
      </c>
      <c r="V401" s="10">
        <f t="shared" si="69"/>
        <v>38.746949200000003</v>
      </c>
      <c r="W401" s="10">
        <f t="shared" si="70"/>
        <v>49.850245600000001</v>
      </c>
      <c r="X401" s="10">
        <f t="shared" si="71"/>
        <v>54.785043999999999</v>
      </c>
      <c r="Y401" s="10">
        <f t="shared" si="72"/>
        <v>79.459035999999998</v>
      </c>
      <c r="Z401" s="10">
        <f t="shared" si="73"/>
        <v>28.085702399999995</v>
      </c>
      <c r="AA401" s="10">
        <f t="shared" si="74"/>
        <v>36.110188800000003</v>
      </c>
      <c r="AB401" s="10">
        <f t="shared" si="75"/>
        <v>40.122431999999996</v>
      </c>
      <c r="AC401" s="10">
        <f t="shared" si="76"/>
        <v>60.183647999999998</v>
      </c>
    </row>
    <row r="402" spans="1:29" x14ac:dyDescent="0.25">
      <c r="A402">
        <v>422226</v>
      </c>
      <c r="B402" t="s">
        <v>116</v>
      </c>
      <c r="C402" s="10">
        <v>15.89</v>
      </c>
      <c r="D402" s="10">
        <v>14.98</v>
      </c>
      <c r="E402" s="10">
        <v>0</v>
      </c>
      <c r="F402">
        <v>71</v>
      </c>
      <c r="G402" t="s">
        <v>19</v>
      </c>
      <c r="H402" s="11">
        <v>45987</v>
      </c>
      <c r="I402" t="s">
        <v>13</v>
      </c>
      <c r="J402" s="12">
        <v>9</v>
      </c>
      <c r="K402" s="3">
        <v>270.99</v>
      </c>
      <c r="L402" s="3">
        <f t="shared" si="66"/>
        <v>30.11</v>
      </c>
      <c r="M402" s="13"/>
      <c r="N402">
        <f>_xlfn.XLOOKUP(G402,'Tarievensheet per persoon'!AE:AE,'Tarievensheet per persoon'!AF:AF)</f>
        <v>1.7068000000000001</v>
      </c>
      <c r="O402">
        <f>_xlfn.XLOOKUP(G402,AE:AE,'Tarievensheet per persoon'!AG:AG)</f>
        <v>1.5528</v>
      </c>
      <c r="P402">
        <f>_xlfn.XLOOKUP(G402,AE:AE,'Tarievensheet per persoon'!AH:AH)</f>
        <v>1.3391999999999999</v>
      </c>
      <c r="Q402">
        <f>_xlfn.XLOOKUP(G402,AE:AE,'Tarievensheet per persoon'!AI:AI)</f>
        <v>1.3391999999999999</v>
      </c>
      <c r="R402">
        <v>0</v>
      </c>
      <c r="S402" s="14">
        <v>2.99</v>
      </c>
      <c r="T402" s="10">
        <f t="shared" si="67"/>
        <v>30.111052000000001</v>
      </c>
      <c r="U402" s="10">
        <f t="shared" si="68"/>
        <v>38.253469360000004</v>
      </c>
      <c r="V402" s="10">
        <f t="shared" si="69"/>
        <v>38.746949200000003</v>
      </c>
      <c r="W402" s="10">
        <f t="shared" si="70"/>
        <v>49.850245600000001</v>
      </c>
      <c r="X402" s="10">
        <f t="shared" si="71"/>
        <v>54.785043999999999</v>
      </c>
      <c r="Y402" s="10">
        <f t="shared" si="72"/>
        <v>79.459035999999998</v>
      </c>
      <c r="Z402" s="10">
        <f t="shared" si="73"/>
        <v>28.085702399999995</v>
      </c>
      <c r="AA402" s="10">
        <f t="shared" si="74"/>
        <v>36.110188800000003</v>
      </c>
      <c r="AB402" s="10">
        <f t="shared" si="75"/>
        <v>40.122431999999996</v>
      </c>
      <c r="AC402" s="10">
        <f t="shared" si="76"/>
        <v>60.183647999999998</v>
      </c>
    </row>
    <row r="403" spans="1:29" x14ac:dyDescent="0.25">
      <c r="A403">
        <v>422226</v>
      </c>
      <c r="B403" t="s">
        <v>116</v>
      </c>
      <c r="C403" s="10">
        <v>15.89</v>
      </c>
      <c r="D403" s="10">
        <v>14.98</v>
      </c>
      <c r="E403" s="10">
        <v>0</v>
      </c>
      <c r="F403">
        <v>71</v>
      </c>
      <c r="G403" t="s">
        <v>19</v>
      </c>
      <c r="H403" s="11">
        <v>45988</v>
      </c>
      <c r="I403" t="s">
        <v>13</v>
      </c>
      <c r="J403" s="12">
        <v>3.5</v>
      </c>
      <c r="K403" s="3">
        <v>105.39</v>
      </c>
      <c r="L403" s="3">
        <f t="shared" si="66"/>
        <v>30.111428571428572</v>
      </c>
      <c r="M403" s="13"/>
      <c r="N403">
        <f>_xlfn.XLOOKUP(G403,'Tarievensheet per persoon'!AE:AE,'Tarievensheet per persoon'!AF:AF)</f>
        <v>1.7068000000000001</v>
      </c>
      <c r="O403">
        <f>_xlfn.XLOOKUP(G403,AE:AE,'Tarievensheet per persoon'!AG:AG)</f>
        <v>1.5528</v>
      </c>
      <c r="P403">
        <f>_xlfn.XLOOKUP(G403,AE:AE,'Tarievensheet per persoon'!AH:AH)</f>
        <v>1.3391999999999999</v>
      </c>
      <c r="Q403">
        <f>_xlfn.XLOOKUP(G403,AE:AE,'Tarievensheet per persoon'!AI:AI)</f>
        <v>1.3391999999999999</v>
      </c>
      <c r="R403">
        <v>0</v>
      </c>
      <c r="S403" s="14">
        <v>2.99</v>
      </c>
      <c r="T403" s="10">
        <f t="shared" si="67"/>
        <v>30.111052000000001</v>
      </c>
      <c r="U403" s="10">
        <f t="shared" si="68"/>
        <v>38.253469360000004</v>
      </c>
      <c r="V403" s="10">
        <f t="shared" si="69"/>
        <v>38.746949200000003</v>
      </c>
      <c r="W403" s="10">
        <f t="shared" si="70"/>
        <v>49.850245600000001</v>
      </c>
      <c r="X403" s="10">
        <f t="shared" si="71"/>
        <v>54.785043999999999</v>
      </c>
      <c r="Y403" s="10">
        <f t="shared" si="72"/>
        <v>79.459035999999998</v>
      </c>
      <c r="Z403" s="10">
        <f t="shared" si="73"/>
        <v>28.085702399999995</v>
      </c>
      <c r="AA403" s="10">
        <f t="shared" si="74"/>
        <v>36.110188800000003</v>
      </c>
      <c r="AB403" s="10">
        <f t="shared" si="75"/>
        <v>40.122431999999996</v>
      </c>
      <c r="AC403" s="10">
        <f t="shared" si="76"/>
        <v>60.183647999999998</v>
      </c>
    </row>
    <row r="404" spans="1:29" x14ac:dyDescent="0.25">
      <c r="A404">
        <v>422226</v>
      </c>
      <c r="B404" t="s">
        <v>116</v>
      </c>
      <c r="C404" s="10">
        <v>15.89</v>
      </c>
      <c r="D404" s="10">
        <v>14.98</v>
      </c>
      <c r="E404" s="10">
        <v>0</v>
      </c>
      <c r="F404">
        <v>71</v>
      </c>
      <c r="G404" t="s">
        <v>19</v>
      </c>
      <c r="H404" s="11">
        <v>45988</v>
      </c>
      <c r="I404" t="s">
        <v>23</v>
      </c>
      <c r="J404" s="12">
        <v>5.5</v>
      </c>
      <c r="K404" s="3">
        <v>154.44</v>
      </c>
      <c r="L404" s="3">
        <f t="shared" si="66"/>
        <v>28.08</v>
      </c>
      <c r="M404" s="13"/>
      <c r="N404">
        <f>_xlfn.XLOOKUP(G404,'Tarievensheet per persoon'!AE:AE,'Tarievensheet per persoon'!AF:AF)</f>
        <v>1.7068000000000001</v>
      </c>
      <c r="O404">
        <f>_xlfn.XLOOKUP(G404,AE:AE,'Tarievensheet per persoon'!AG:AG)</f>
        <v>1.5528</v>
      </c>
      <c r="P404">
        <f>_xlfn.XLOOKUP(G404,AE:AE,'Tarievensheet per persoon'!AH:AH)</f>
        <v>1.3391999999999999</v>
      </c>
      <c r="Q404">
        <f>_xlfn.XLOOKUP(G404,AE:AE,'Tarievensheet per persoon'!AI:AI)</f>
        <v>1.3391999999999999</v>
      </c>
      <c r="R404">
        <v>0</v>
      </c>
      <c r="S404" s="14">
        <v>2.99</v>
      </c>
      <c r="T404" s="10">
        <f t="shared" si="67"/>
        <v>30.111052000000001</v>
      </c>
      <c r="U404" s="10">
        <f t="shared" si="68"/>
        <v>38.253469360000004</v>
      </c>
      <c r="V404" s="10">
        <f t="shared" si="69"/>
        <v>38.746949200000003</v>
      </c>
      <c r="W404" s="10">
        <f t="shared" si="70"/>
        <v>49.850245600000001</v>
      </c>
      <c r="X404" s="10">
        <f t="shared" si="71"/>
        <v>54.785043999999999</v>
      </c>
      <c r="Y404" s="10">
        <f t="shared" si="72"/>
        <v>79.459035999999998</v>
      </c>
      <c r="Z404" s="10">
        <f t="shared" si="73"/>
        <v>28.085702399999995</v>
      </c>
      <c r="AA404" s="10">
        <f t="shared" si="74"/>
        <v>36.110188800000003</v>
      </c>
      <c r="AB404" s="10">
        <f t="shared" si="75"/>
        <v>40.122431999999996</v>
      </c>
      <c r="AC404" s="10">
        <f t="shared" si="76"/>
        <v>60.183647999999998</v>
      </c>
    </row>
    <row r="405" spans="1:29" x14ac:dyDescent="0.25">
      <c r="A405">
        <v>422226</v>
      </c>
      <c r="B405" t="s">
        <v>116</v>
      </c>
      <c r="C405" s="10">
        <v>15.89</v>
      </c>
      <c r="D405" s="10">
        <v>14.98</v>
      </c>
      <c r="E405" s="10">
        <v>0</v>
      </c>
      <c r="F405">
        <v>71</v>
      </c>
      <c r="G405" t="s">
        <v>19</v>
      </c>
      <c r="H405" s="11">
        <v>45989</v>
      </c>
      <c r="I405" t="s">
        <v>13</v>
      </c>
      <c r="J405" s="12">
        <v>9</v>
      </c>
      <c r="K405" s="3">
        <v>270.99</v>
      </c>
      <c r="L405" s="3">
        <f t="shared" si="66"/>
        <v>30.11</v>
      </c>
      <c r="M405" s="13"/>
      <c r="N405">
        <f>_xlfn.XLOOKUP(G405,'Tarievensheet per persoon'!AE:AE,'Tarievensheet per persoon'!AF:AF)</f>
        <v>1.7068000000000001</v>
      </c>
      <c r="O405">
        <f>_xlfn.XLOOKUP(G405,AE:AE,'Tarievensheet per persoon'!AG:AG)</f>
        <v>1.5528</v>
      </c>
      <c r="P405">
        <f>_xlfn.XLOOKUP(G405,AE:AE,'Tarievensheet per persoon'!AH:AH)</f>
        <v>1.3391999999999999</v>
      </c>
      <c r="Q405">
        <f>_xlfn.XLOOKUP(G405,AE:AE,'Tarievensheet per persoon'!AI:AI)</f>
        <v>1.3391999999999999</v>
      </c>
      <c r="R405">
        <v>0</v>
      </c>
      <c r="S405" s="14">
        <v>2.99</v>
      </c>
      <c r="T405" s="10">
        <f t="shared" si="67"/>
        <v>30.111052000000001</v>
      </c>
      <c r="U405" s="10">
        <f t="shared" si="68"/>
        <v>38.253469360000004</v>
      </c>
      <c r="V405" s="10">
        <f t="shared" si="69"/>
        <v>38.746949200000003</v>
      </c>
      <c r="W405" s="10">
        <f t="shared" si="70"/>
        <v>49.850245600000001</v>
      </c>
      <c r="X405" s="10">
        <f t="shared" si="71"/>
        <v>54.785043999999999</v>
      </c>
      <c r="Y405" s="10">
        <f t="shared" si="72"/>
        <v>79.459035999999998</v>
      </c>
      <c r="Z405" s="10">
        <f t="shared" si="73"/>
        <v>28.085702399999995</v>
      </c>
      <c r="AA405" s="10">
        <f t="shared" si="74"/>
        <v>36.110188800000003</v>
      </c>
      <c r="AB405" s="10">
        <f t="shared" si="75"/>
        <v>40.122431999999996</v>
      </c>
      <c r="AC405" s="10">
        <f t="shared" si="76"/>
        <v>60.183647999999998</v>
      </c>
    </row>
    <row r="406" spans="1:29" x14ac:dyDescent="0.25">
      <c r="A406">
        <v>422228</v>
      </c>
      <c r="B406" t="s">
        <v>58</v>
      </c>
      <c r="C406" s="10">
        <v>15.89</v>
      </c>
      <c r="D406" s="10">
        <v>14.98</v>
      </c>
      <c r="E406" s="10">
        <v>0</v>
      </c>
      <c r="F406">
        <v>69</v>
      </c>
      <c r="G406" t="s">
        <v>19</v>
      </c>
      <c r="H406" s="11">
        <v>45985</v>
      </c>
      <c r="I406" t="s">
        <v>13</v>
      </c>
      <c r="J406" s="12">
        <v>8</v>
      </c>
      <c r="K406" s="3">
        <v>240.88</v>
      </c>
      <c r="L406" s="3">
        <f t="shared" si="66"/>
        <v>30.11</v>
      </c>
      <c r="M406" s="13"/>
      <c r="N406">
        <f>_xlfn.XLOOKUP(G406,'Tarievensheet per persoon'!AE:AE,'Tarievensheet per persoon'!AF:AF)</f>
        <v>1.7068000000000001</v>
      </c>
      <c r="O406">
        <f>_xlfn.XLOOKUP(G406,AE:AE,'Tarievensheet per persoon'!AG:AG)</f>
        <v>1.5528</v>
      </c>
      <c r="P406">
        <f>_xlfn.XLOOKUP(G406,AE:AE,'Tarievensheet per persoon'!AH:AH)</f>
        <v>1.3391999999999999</v>
      </c>
      <c r="Q406">
        <f>_xlfn.XLOOKUP(G406,AE:AE,'Tarievensheet per persoon'!AI:AI)</f>
        <v>1.3391999999999999</v>
      </c>
      <c r="R406">
        <v>0</v>
      </c>
      <c r="S406" s="14">
        <v>2.99</v>
      </c>
      <c r="T406" s="10">
        <f t="shared" si="67"/>
        <v>30.111052000000001</v>
      </c>
      <c r="U406" s="10">
        <f t="shared" si="68"/>
        <v>38.253469360000004</v>
      </c>
      <c r="V406" s="10">
        <f t="shared" si="69"/>
        <v>38.746949200000003</v>
      </c>
      <c r="W406" s="10">
        <f t="shared" si="70"/>
        <v>49.850245600000001</v>
      </c>
      <c r="X406" s="10">
        <f t="shared" si="71"/>
        <v>54.785043999999999</v>
      </c>
      <c r="Y406" s="10">
        <f t="shared" si="72"/>
        <v>79.459035999999998</v>
      </c>
      <c r="Z406" s="10">
        <f t="shared" si="73"/>
        <v>28.085702399999995</v>
      </c>
      <c r="AA406" s="10">
        <f t="shared" si="74"/>
        <v>36.110188800000003</v>
      </c>
      <c r="AB406" s="10">
        <f t="shared" si="75"/>
        <v>40.122431999999996</v>
      </c>
      <c r="AC406" s="10">
        <f t="shared" si="76"/>
        <v>60.183647999999998</v>
      </c>
    </row>
    <row r="407" spans="1:29" x14ac:dyDescent="0.25">
      <c r="A407">
        <v>422228</v>
      </c>
      <c r="B407" t="s">
        <v>58</v>
      </c>
      <c r="C407" s="10">
        <v>15.89</v>
      </c>
      <c r="D407" s="10">
        <v>14.98</v>
      </c>
      <c r="E407" s="10">
        <v>0</v>
      </c>
      <c r="F407">
        <v>69</v>
      </c>
      <c r="G407" t="s">
        <v>19</v>
      </c>
      <c r="H407" s="11">
        <v>45987</v>
      </c>
      <c r="I407" t="s">
        <v>13</v>
      </c>
      <c r="J407" s="12">
        <v>8</v>
      </c>
      <c r="K407" s="3">
        <v>240.88</v>
      </c>
      <c r="L407" s="3">
        <f t="shared" si="66"/>
        <v>30.11</v>
      </c>
      <c r="M407" s="13"/>
      <c r="N407">
        <f>_xlfn.XLOOKUP(G407,'Tarievensheet per persoon'!AE:AE,'Tarievensheet per persoon'!AF:AF)</f>
        <v>1.7068000000000001</v>
      </c>
      <c r="O407">
        <f>_xlfn.XLOOKUP(G407,AE:AE,'Tarievensheet per persoon'!AG:AG)</f>
        <v>1.5528</v>
      </c>
      <c r="P407">
        <f>_xlfn.XLOOKUP(G407,AE:AE,'Tarievensheet per persoon'!AH:AH)</f>
        <v>1.3391999999999999</v>
      </c>
      <c r="Q407">
        <f>_xlfn.XLOOKUP(G407,AE:AE,'Tarievensheet per persoon'!AI:AI)</f>
        <v>1.3391999999999999</v>
      </c>
      <c r="R407">
        <v>0</v>
      </c>
      <c r="S407" s="14">
        <v>2.99</v>
      </c>
      <c r="T407" s="10">
        <f t="shared" si="67"/>
        <v>30.111052000000001</v>
      </c>
      <c r="U407" s="10">
        <f t="shared" si="68"/>
        <v>38.253469360000004</v>
      </c>
      <c r="V407" s="10">
        <f t="shared" si="69"/>
        <v>38.746949200000003</v>
      </c>
      <c r="W407" s="10">
        <f t="shared" si="70"/>
        <v>49.850245600000001</v>
      </c>
      <c r="X407" s="10">
        <f t="shared" si="71"/>
        <v>54.785043999999999</v>
      </c>
      <c r="Y407" s="10">
        <f t="shared" si="72"/>
        <v>79.459035999999998</v>
      </c>
      <c r="Z407" s="10">
        <f t="shared" si="73"/>
        <v>28.085702399999995</v>
      </c>
      <c r="AA407" s="10">
        <f t="shared" si="74"/>
        <v>36.110188800000003</v>
      </c>
      <c r="AB407" s="10">
        <f t="shared" si="75"/>
        <v>40.122431999999996</v>
      </c>
      <c r="AC407" s="10">
        <f t="shared" si="76"/>
        <v>60.183647999999998</v>
      </c>
    </row>
    <row r="408" spans="1:29" x14ac:dyDescent="0.25">
      <c r="A408">
        <v>422228</v>
      </c>
      <c r="B408" t="s">
        <v>58</v>
      </c>
      <c r="C408" s="10">
        <v>15.89</v>
      </c>
      <c r="D408" s="10">
        <v>14.98</v>
      </c>
      <c r="E408" s="10">
        <v>0</v>
      </c>
      <c r="F408">
        <v>69</v>
      </c>
      <c r="G408" t="s">
        <v>19</v>
      </c>
      <c r="H408" s="11">
        <v>45988</v>
      </c>
      <c r="I408" t="s">
        <v>13</v>
      </c>
      <c r="J408" s="12">
        <v>8</v>
      </c>
      <c r="K408" s="3">
        <v>240.88</v>
      </c>
      <c r="L408" s="3">
        <f t="shared" si="66"/>
        <v>30.11</v>
      </c>
      <c r="M408" s="13"/>
      <c r="N408">
        <f>_xlfn.XLOOKUP(G408,'Tarievensheet per persoon'!AE:AE,'Tarievensheet per persoon'!AF:AF)</f>
        <v>1.7068000000000001</v>
      </c>
      <c r="O408">
        <f>_xlfn.XLOOKUP(G408,AE:AE,'Tarievensheet per persoon'!AG:AG)</f>
        <v>1.5528</v>
      </c>
      <c r="P408">
        <f>_xlfn.XLOOKUP(G408,AE:AE,'Tarievensheet per persoon'!AH:AH)</f>
        <v>1.3391999999999999</v>
      </c>
      <c r="Q408">
        <f>_xlfn.XLOOKUP(G408,AE:AE,'Tarievensheet per persoon'!AI:AI)</f>
        <v>1.3391999999999999</v>
      </c>
      <c r="R408">
        <v>0</v>
      </c>
      <c r="S408" s="14">
        <v>2.99</v>
      </c>
      <c r="T408" s="10">
        <f t="shared" si="67"/>
        <v>30.111052000000001</v>
      </c>
      <c r="U408" s="10">
        <f t="shared" si="68"/>
        <v>38.253469360000004</v>
      </c>
      <c r="V408" s="10">
        <f t="shared" si="69"/>
        <v>38.746949200000003</v>
      </c>
      <c r="W408" s="10">
        <f t="shared" si="70"/>
        <v>49.850245600000001</v>
      </c>
      <c r="X408" s="10">
        <f t="shared" si="71"/>
        <v>54.785043999999999</v>
      </c>
      <c r="Y408" s="10">
        <f t="shared" si="72"/>
        <v>79.459035999999998</v>
      </c>
      <c r="Z408" s="10">
        <f t="shared" si="73"/>
        <v>28.085702399999995</v>
      </c>
      <c r="AA408" s="10">
        <f t="shared" si="74"/>
        <v>36.110188800000003</v>
      </c>
      <c r="AB408" s="10">
        <f t="shared" si="75"/>
        <v>40.122431999999996</v>
      </c>
      <c r="AC408" s="10">
        <f t="shared" si="76"/>
        <v>60.183647999999998</v>
      </c>
    </row>
    <row r="409" spans="1:29" x14ac:dyDescent="0.25">
      <c r="A409">
        <v>422228</v>
      </c>
      <c r="B409" t="s">
        <v>58</v>
      </c>
      <c r="C409" s="10">
        <v>15.89</v>
      </c>
      <c r="D409" s="10">
        <v>14.98</v>
      </c>
      <c r="E409" s="10">
        <v>0</v>
      </c>
      <c r="F409">
        <v>69</v>
      </c>
      <c r="G409" t="s">
        <v>19</v>
      </c>
      <c r="H409" s="11">
        <v>45989</v>
      </c>
      <c r="I409" t="s">
        <v>13</v>
      </c>
      <c r="J409" s="12">
        <v>7.5</v>
      </c>
      <c r="K409" s="3">
        <v>225.83</v>
      </c>
      <c r="L409" s="3">
        <f t="shared" si="66"/>
        <v>30.110666666666667</v>
      </c>
      <c r="M409" s="13"/>
      <c r="N409">
        <f>_xlfn.XLOOKUP(G409,'Tarievensheet per persoon'!AE:AE,'Tarievensheet per persoon'!AF:AF)</f>
        <v>1.7068000000000001</v>
      </c>
      <c r="O409">
        <f>_xlfn.XLOOKUP(G409,AE:AE,'Tarievensheet per persoon'!AG:AG)</f>
        <v>1.5528</v>
      </c>
      <c r="P409">
        <f>_xlfn.XLOOKUP(G409,AE:AE,'Tarievensheet per persoon'!AH:AH)</f>
        <v>1.3391999999999999</v>
      </c>
      <c r="Q409">
        <f>_xlfn.XLOOKUP(G409,AE:AE,'Tarievensheet per persoon'!AI:AI)</f>
        <v>1.3391999999999999</v>
      </c>
      <c r="R409">
        <v>0</v>
      </c>
      <c r="S409" s="14">
        <v>2.99</v>
      </c>
      <c r="T409" s="10">
        <f t="shared" si="67"/>
        <v>30.111052000000001</v>
      </c>
      <c r="U409" s="10">
        <f t="shared" si="68"/>
        <v>38.253469360000004</v>
      </c>
      <c r="V409" s="10">
        <f t="shared" si="69"/>
        <v>38.746949200000003</v>
      </c>
      <c r="W409" s="10">
        <f t="shared" si="70"/>
        <v>49.850245600000001</v>
      </c>
      <c r="X409" s="10">
        <f t="shared" si="71"/>
        <v>54.785043999999999</v>
      </c>
      <c r="Y409" s="10">
        <f t="shared" si="72"/>
        <v>79.459035999999998</v>
      </c>
      <c r="Z409" s="10">
        <f t="shared" si="73"/>
        <v>28.085702399999995</v>
      </c>
      <c r="AA409" s="10">
        <f t="shared" si="74"/>
        <v>36.110188800000003</v>
      </c>
      <c r="AB409" s="10">
        <f t="shared" si="75"/>
        <v>40.122431999999996</v>
      </c>
      <c r="AC409" s="10">
        <f t="shared" si="76"/>
        <v>60.183647999999998</v>
      </c>
    </row>
    <row r="410" spans="1:29" x14ac:dyDescent="0.25">
      <c r="A410">
        <v>422725</v>
      </c>
      <c r="B410" t="s">
        <v>59</v>
      </c>
      <c r="C410" s="10">
        <v>16.91</v>
      </c>
      <c r="D410" s="10">
        <v>15.94</v>
      </c>
      <c r="E410" s="10">
        <v>0</v>
      </c>
      <c r="F410">
        <v>68</v>
      </c>
      <c r="G410" t="s">
        <v>19</v>
      </c>
      <c r="H410" s="11">
        <v>45985</v>
      </c>
      <c r="I410" t="s">
        <v>13</v>
      </c>
      <c r="J410" s="12">
        <v>7</v>
      </c>
      <c r="K410" s="3">
        <v>222.95</v>
      </c>
      <c r="L410" s="3">
        <f t="shared" si="66"/>
        <v>31.849999999999998</v>
      </c>
      <c r="M410" s="13"/>
      <c r="N410">
        <f>_xlfn.XLOOKUP(G410,'Tarievensheet per persoon'!AE:AE,'Tarievensheet per persoon'!AF:AF)</f>
        <v>1.7068000000000001</v>
      </c>
      <c r="O410">
        <f>_xlfn.XLOOKUP(G410,AE:AE,'Tarievensheet per persoon'!AG:AG)</f>
        <v>1.5528</v>
      </c>
      <c r="P410">
        <f>_xlfn.XLOOKUP(G410,AE:AE,'Tarievensheet per persoon'!AH:AH)</f>
        <v>1.3391999999999999</v>
      </c>
      <c r="Q410">
        <f>_xlfn.XLOOKUP(G410,AE:AE,'Tarievensheet per persoon'!AI:AI)</f>
        <v>1.3391999999999999</v>
      </c>
      <c r="R410">
        <v>0</v>
      </c>
      <c r="S410" s="14">
        <v>2.99</v>
      </c>
      <c r="T410" s="10">
        <f t="shared" si="67"/>
        <v>31.851987999999999</v>
      </c>
      <c r="U410" s="10">
        <f t="shared" si="68"/>
        <v>40.517077839999999</v>
      </c>
      <c r="V410" s="10">
        <f t="shared" si="69"/>
        <v>41.042234800000003</v>
      </c>
      <c r="W410" s="10">
        <f t="shared" si="70"/>
        <v>52.858266399999998</v>
      </c>
      <c r="X410" s="10">
        <f t="shared" si="71"/>
        <v>58.109836000000001</v>
      </c>
      <c r="Y410" s="10">
        <f t="shared" si="72"/>
        <v>84.367683999999997</v>
      </c>
      <c r="Z410" s="10">
        <f t="shared" si="73"/>
        <v>29.885587199999996</v>
      </c>
      <c r="AA410" s="10">
        <f t="shared" si="74"/>
        <v>38.424326399999998</v>
      </c>
      <c r="AB410" s="10">
        <f t="shared" si="75"/>
        <v>42.693695999999996</v>
      </c>
      <c r="AC410" s="10">
        <f t="shared" si="76"/>
        <v>64.040543999999997</v>
      </c>
    </row>
    <row r="411" spans="1:29" x14ac:dyDescent="0.25">
      <c r="A411">
        <v>422725</v>
      </c>
      <c r="B411" t="s">
        <v>59</v>
      </c>
      <c r="C411" s="10">
        <v>16.91</v>
      </c>
      <c r="D411" s="10">
        <v>15.94</v>
      </c>
      <c r="E411" s="10">
        <v>0</v>
      </c>
      <c r="F411">
        <v>68</v>
      </c>
      <c r="G411" t="s">
        <v>19</v>
      </c>
      <c r="H411" s="11">
        <v>45985</v>
      </c>
      <c r="I411" t="s">
        <v>22</v>
      </c>
      <c r="J411" s="12">
        <v>1</v>
      </c>
      <c r="K411" s="3">
        <v>41.04</v>
      </c>
      <c r="L411" s="3">
        <f t="shared" si="66"/>
        <v>41.04</v>
      </c>
      <c r="M411" s="13"/>
      <c r="N411">
        <f>_xlfn.XLOOKUP(G411,'Tarievensheet per persoon'!AE:AE,'Tarievensheet per persoon'!AF:AF)</f>
        <v>1.7068000000000001</v>
      </c>
      <c r="O411">
        <f>_xlfn.XLOOKUP(G411,AE:AE,'Tarievensheet per persoon'!AG:AG)</f>
        <v>1.5528</v>
      </c>
      <c r="P411">
        <f>_xlfn.XLOOKUP(G411,AE:AE,'Tarievensheet per persoon'!AH:AH)</f>
        <v>1.3391999999999999</v>
      </c>
      <c r="Q411">
        <f>_xlfn.XLOOKUP(G411,AE:AE,'Tarievensheet per persoon'!AI:AI)</f>
        <v>1.3391999999999999</v>
      </c>
      <c r="R411">
        <v>0</v>
      </c>
      <c r="S411" s="14">
        <v>2.99</v>
      </c>
      <c r="T411" s="10">
        <f t="shared" si="67"/>
        <v>31.851987999999999</v>
      </c>
      <c r="U411" s="10">
        <f t="shared" si="68"/>
        <v>40.517077839999999</v>
      </c>
      <c r="V411" s="10">
        <f t="shared" si="69"/>
        <v>41.042234800000003</v>
      </c>
      <c r="W411" s="10">
        <f t="shared" si="70"/>
        <v>52.858266399999998</v>
      </c>
      <c r="X411" s="10">
        <f t="shared" si="71"/>
        <v>58.109836000000001</v>
      </c>
      <c r="Y411" s="10">
        <f t="shared" si="72"/>
        <v>84.367683999999997</v>
      </c>
      <c r="Z411" s="10">
        <f t="shared" si="73"/>
        <v>29.885587199999996</v>
      </c>
      <c r="AA411" s="10">
        <f t="shared" si="74"/>
        <v>38.424326399999998</v>
      </c>
      <c r="AB411" s="10">
        <f t="shared" si="75"/>
        <v>42.693695999999996</v>
      </c>
      <c r="AC411" s="10">
        <f t="shared" si="76"/>
        <v>64.040543999999997</v>
      </c>
    </row>
    <row r="412" spans="1:29" x14ac:dyDescent="0.25">
      <c r="A412">
        <v>422725</v>
      </c>
      <c r="B412" t="s">
        <v>59</v>
      </c>
      <c r="C412" s="10">
        <v>16.91</v>
      </c>
      <c r="D412" s="10">
        <v>15.94</v>
      </c>
      <c r="E412" s="10">
        <v>0</v>
      </c>
      <c r="F412">
        <v>68</v>
      </c>
      <c r="G412" t="s">
        <v>19</v>
      </c>
      <c r="H412" s="11">
        <v>45986</v>
      </c>
      <c r="I412" t="s">
        <v>13</v>
      </c>
      <c r="J412" s="12">
        <v>6.75</v>
      </c>
      <c r="K412" s="3">
        <v>214.99</v>
      </c>
      <c r="L412" s="3">
        <f t="shared" si="66"/>
        <v>31.850370370370371</v>
      </c>
      <c r="M412" s="13"/>
      <c r="N412">
        <f>_xlfn.XLOOKUP(G412,'Tarievensheet per persoon'!AE:AE,'Tarievensheet per persoon'!AF:AF)</f>
        <v>1.7068000000000001</v>
      </c>
      <c r="O412">
        <f>_xlfn.XLOOKUP(G412,AE:AE,'Tarievensheet per persoon'!AG:AG)</f>
        <v>1.5528</v>
      </c>
      <c r="P412">
        <f>_xlfn.XLOOKUP(G412,AE:AE,'Tarievensheet per persoon'!AH:AH)</f>
        <v>1.3391999999999999</v>
      </c>
      <c r="Q412">
        <f>_xlfn.XLOOKUP(G412,AE:AE,'Tarievensheet per persoon'!AI:AI)</f>
        <v>1.3391999999999999</v>
      </c>
      <c r="R412">
        <v>0</v>
      </c>
      <c r="S412" s="14">
        <v>2.99</v>
      </c>
      <c r="T412" s="10">
        <f t="shared" si="67"/>
        <v>31.851987999999999</v>
      </c>
      <c r="U412" s="10">
        <f t="shared" si="68"/>
        <v>40.517077839999999</v>
      </c>
      <c r="V412" s="10">
        <f t="shared" si="69"/>
        <v>41.042234800000003</v>
      </c>
      <c r="W412" s="10">
        <f t="shared" si="70"/>
        <v>52.858266399999998</v>
      </c>
      <c r="X412" s="10">
        <f t="shared" si="71"/>
        <v>58.109836000000001</v>
      </c>
      <c r="Y412" s="10">
        <f t="shared" si="72"/>
        <v>84.367683999999997</v>
      </c>
      <c r="Z412" s="10">
        <f t="shared" si="73"/>
        <v>29.885587199999996</v>
      </c>
      <c r="AA412" s="10">
        <f t="shared" si="74"/>
        <v>38.424326399999998</v>
      </c>
      <c r="AB412" s="10">
        <f t="shared" si="75"/>
        <v>42.693695999999996</v>
      </c>
      <c r="AC412" s="10">
        <f t="shared" si="76"/>
        <v>64.040543999999997</v>
      </c>
    </row>
    <row r="413" spans="1:29" x14ac:dyDescent="0.25">
      <c r="A413">
        <v>422725</v>
      </c>
      <c r="B413" t="s">
        <v>59</v>
      </c>
      <c r="C413" s="10">
        <v>16.91</v>
      </c>
      <c r="D413" s="10">
        <v>15.94</v>
      </c>
      <c r="E413" s="10">
        <v>0</v>
      </c>
      <c r="F413">
        <v>68</v>
      </c>
      <c r="G413" t="s">
        <v>19</v>
      </c>
      <c r="H413" s="11">
        <v>45986</v>
      </c>
      <c r="I413" t="s">
        <v>22</v>
      </c>
      <c r="J413" s="12">
        <v>1</v>
      </c>
      <c r="K413" s="3">
        <v>41.04</v>
      </c>
      <c r="L413" s="3">
        <f t="shared" si="66"/>
        <v>41.04</v>
      </c>
      <c r="M413" s="13"/>
      <c r="N413">
        <f>_xlfn.XLOOKUP(G413,'Tarievensheet per persoon'!AE:AE,'Tarievensheet per persoon'!AF:AF)</f>
        <v>1.7068000000000001</v>
      </c>
      <c r="O413">
        <f>_xlfn.XLOOKUP(G413,AE:AE,'Tarievensheet per persoon'!AG:AG)</f>
        <v>1.5528</v>
      </c>
      <c r="P413">
        <f>_xlfn.XLOOKUP(G413,AE:AE,'Tarievensheet per persoon'!AH:AH)</f>
        <v>1.3391999999999999</v>
      </c>
      <c r="Q413">
        <f>_xlfn.XLOOKUP(G413,AE:AE,'Tarievensheet per persoon'!AI:AI)</f>
        <v>1.3391999999999999</v>
      </c>
      <c r="R413">
        <v>0</v>
      </c>
      <c r="S413" s="14">
        <v>2.99</v>
      </c>
      <c r="T413" s="10">
        <f t="shared" si="67"/>
        <v>31.851987999999999</v>
      </c>
      <c r="U413" s="10">
        <f t="shared" si="68"/>
        <v>40.517077839999999</v>
      </c>
      <c r="V413" s="10">
        <f t="shared" si="69"/>
        <v>41.042234800000003</v>
      </c>
      <c r="W413" s="10">
        <f t="shared" si="70"/>
        <v>52.858266399999998</v>
      </c>
      <c r="X413" s="10">
        <f t="shared" si="71"/>
        <v>58.109836000000001</v>
      </c>
      <c r="Y413" s="10">
        <f t="shared" si="72"/>
        <v>84.367683999999997</v>
      </c>
      <c r="Z413" s="10">
        <f t="shared" si="73"/>
        <v>29.885587199999996</v>
      </c>
      <c r="AA413" s="10">
        <f t="shared" si="74"/>
        <v>38.424326399999998</v>
      </c>
      <c r="AB413" s="10">
        <f t="shared" si="75"/>
        <v>42.693695999999996</v>
      </c>
      <c r="AC413" s="10">
        <f t="shared" si="76"/>
        <v>64.040543999999997</v>
      </c>
    </row>
    <row r="414" spans="1:29" x14ac:dyDescent="0.25">
      <c r="A414">
        <v>422725</v>
      </c>
      <c r="B414" t="s">
        <v>59</v>
      </c>
      <c r="C414" s="10">
        <v>16.91</v>
      </c>
      <c r="D414" s="10">
        <v>15.94</v>
      </c>
      <c r="E414" s="10">
        <v>0</v>
      </c>
      <c r="F414">
        <v>68</v>
      </c>
      <c r="G414" t="s">
        <v>19</v>
      </c>
      <c r="H414" s="11">
        <v>45987</v>
      </c>
      <c r="I414" t="s">
        <v>13</v>
      </c>
      <c r="J414" s="12">
        <v>7</v>
      </c>
      <c r="K414" s="3">
        <v>222.95</v>
      </c>
      <c r="L414" s="3">
        <f t="shared" si="66"/>
        <v>31.849999999999998</v>
      </c>
      <c r="M414" s="13"/>
      <c r="N414">
        <f>_xlfn.XLOOKUP(G414,'Tarievensheet per persoon'!AE:AE,'Tarievensheet per persoon'!AF:AF)</f>
        <v>1.7068000000000001</v>
      </c>
      <c r="O414">
        <f>_xlfn.XLOOKUP(G414,AE:AE,'Tarievensheet per persoon'!AG:AG)</f>
        <v>1.5528</v>
      </c>
      <c r="P414">
        <f>_xlfn.XLOOKUP(G414,AE:AE,'Tarievensheet per persoon'!AH:AH)</f>
        <v>1.3391999999999999</v>
      </c>
      <c r="Q414">
        <f>_xlfn.XLOOKUP(G414,AE:AE,'Tarievensheet per persoon'!AI:AI)</f>
        <v>1.3391999999999999</v>
      </c>
      <c r="R414">
        <v>0</v>
      </c>
      <c r="S414" s="14">
        <v>2.99</v>
      </c>
      <c r="T414" s="10">
        <f t="shared" si="67"/>
        <v>31.851987999999999</v>
      </c>
      <c r="U414" s="10">
        <f t="shared" si="68"/>
        <v>40.517077839999999</v>
      </c>
      <c r="V414" s="10">
        <f t="shared" si="69"/>
        <v>41.042234800000003</v>
      </c>
      <c r="W414" s="10">
        <f t="shared" si="70"/>
        <v>52.858266399999998</v>
      </c>
      <c r="X414" s="10">
        <f t="shared" si="71"/>
        <v>58.109836000000001</v>
      </c>
      <c r="Y414" s="10">
        <f t="shared" si="72"/>
        <v>84.367683999999997</v>
      </c>
      <c r="Z414" s="10">
        <f t="shared" si="73"/>
        <v>29.885587199999996</v>
      </c>
      <c r="AA414" s="10">
        <f t="shared" si="74"/>
        <v>38.424326399999998</v>
      </c>
      <c r="AB414" s="10">
        <f t="shared" si="75"/>
        <v>42.693695999999996</v>
      </c>
      <c r="AC414" s="10">
        <f t="shared" si="76"/>
        <v>64.040543999999997</v>
      </c>
    </row>
    <row r="415" spans="1:29" x14ac:dyDescent="0.25">
      <c r="A415">
        <v>422725</v>
      </c>
      <c r="B415" t="s">
        <v>59</v>
      </c>
      <c r="C415" s="10">
        <v>16.91</v>
      </c>
      <c r="D415" s="10">
        <v>15.94</v>
      </c>
      <c r="E415" s="10">
        <v>0</v>
      </c>
      <c r="F415">
        <v>68</v>
      </c>
      <c r="G415" t="s">
        <v>19</v>
      </c>
      <c r="H415" s="11">
        <v>45987</v>
      </c>
      <c r="I415" t="s">
        <v>22</v>
      </c>
      <c r="J415" s="12">
        <v>1</v>
      </c>
      <c r="K415" s="3">
        <v>41.04</v>
      </c>
      <c r="L415" s="3">
        <f t="shared" si="66"/>
        <v>41.04</v>
      </c>
      <c r="M415" s="13"/>
      <c r="N415">
        <f>_xlfn.XLOOKUP(G415,'Tarievensheet per persoon'!AE:AE,'Tarievensheet per persoon'!AF:AF)</f>
        <v>1.7068000000000001</v>
      </c>
      <c r="O415">
        <f>_xlfn.XLOOKUP(G415,AE:AE,'Tarievensheet per persoon'!AG:AG)</f>
        <v>1.5528</v>
      </c>
      <c r="P415">
        <f>_xlfn.XLOOKUP(G415,AE:AE,'Tarievensheet per persoon'!AH:AH)</f>
        <v>1.3391999999999999</v>
      </c>
      <c r="Q415">
        <f>_xlfn.XLOOKUP(G415,AE:AE,'Tarievensheet per persoon'!AI:AI)</f>
        <v>1.3391999999999999</v>
      </c>
      <c r="R415">
        <v>0</v>
      </c>
      <c r="S415" s="14">
        <v>2.99</v>
      </c>
      <c r="T415" s="10">
        <f t="shared" si="67"/>
        <v>31.851987999999999</v>
      </c>
      <c r="U415" s="10">
        <f t="shared" si="68"/>
        <v>40.517077839999999</v>
      </c>
      <c r="V415" s="10">
        <f t="shared" si="69"/>
        <v>41.042234800000003</v>
      </c>
      <c r="W415" s="10">
        <f t="shared" si="70"/>
        <v>52.858266399999998</v>
      </c>
      <c r="X415" s="10">
        <f t="shared" si="71"/>
        <v>58.109836000000001</v>
      </c>
      <c r="Y415" s="10">
        <f t="shared" si="72"/>
        <v>84.367683999999997</v>
      </c>
      <c r="Z415" s="10">
        <f t="shared" si="73"/>
        <v>29.885587199999996</v>
      </c>
      <c r="AA415" s="10">
        <f t="shared" si="74"/>
        <v>38.424326399999998</v>
      </c>
      <c r="AB415" s="10">
        <f t="shared" si="75"/>
        <v>42.693695999999996</v>
      </c>
      <c r="AC415" s="10">
        <f t="shared" si="76"/>
        <v>64.040543999999997</v>
      </c>
    </row>
    <row r="416" spans="1:29" x14ac:dyDescent="0.25">
      <c r="A416">
        <v>422725</v>
      </c>
      <c r="B416" t="s">
        <v>59</v>
      </c>
      <c r="C416" s="10">
        <v>16.91</v>
      </c>
      <c r="D416" s="10">
        <v>15.94</v>
      </c>
      <c r="E416" s="10">
        <v>0</v>
      </c>
      <c r="F416">
        <v>68</v>
      </c>
      <c r="G416" t="s">
        <v>19</v>
      </c>
      <c r="H416" s="11">
        <v>45988</v>
      </c>
      <c r="I416" t="s">
        <v>13</v>
      </c>
      <c r="J416" s="12">
        <v>7</v>
      </c>
      <c r="K416" s="3">
        <v>222.95</v>
      </c>
      <c r="L416" s="3">
        <f t="shared" si="66"/>
        <v>31.849999999999998</v>
      </c>
      <c r="M416" s="13"/>
      <c r="N416">
        <f>_xlfn.XLOOKUP(G416,'Tarievensheet per persoon'!AE:AE,'Tarievensheet per persoon'!AF:AF)</f>
        <v>1.7068000000000001</v>
      </c>
      <c r="O416">
        <f>_xlfn.XLOOKUP(G416,AE:AE,'Tarievensheet per persoon'!AG:AG)</f>
        <v>1.5528</v>
      </c>
      <c r="P416">
        <f>_xlfn.XLOOKUP(G416,AE:AE,'Tarievensheet per persoon'!AH:AH)</f>
        <v>1.3391999999999999</v>
      </c>
      <c r="Q416">
        <f>_xlfn.XLOOKUP(G416,AE:AE,'Tarievensheet per persoon'!AI:AI)</f>
        <v>1.3391999999999999</v>
      </c>
      <c r="R416">
        <v>0</v>
      </c>
      <c r="S416" s="14">
        <v>2.99</v>
      </c>
      <c r="T416" s="10">
        <f t="shared" si="67"/>
        <v>31.851987999999999</v>
      </c>
      <c r="U416" s="10">
        <f t="shared" si="68"/>
        <v>40.517077839999999</v>
      </c>
      <c r="V416" s="10">
        <f t="shared" si="69"/>
        <v>41.042234800000003</v>
      </c>
      <c r="W416" s="10">
        <f t="shared" si="70"/>
        <v>52.858266399999998</v>
      </c>
      <c r="X416" s="10">
        <f t="shared" si="71"/>
        <v>58.109836000000001</v>
      </c>
      <c r="Y416" s="10">
        <f t="shared" si="72"/>
        <v>84.367683999999997</v>
      </c>
      <c r="Z416" s="10">
        <f t="shared" si="73"/>
        <v>29.885587199999996</v>
      </c>
      <c r="AA416" s="10">
        <f t="shared" si="74"/>
        <v>38.424326399999998</v>
      </c>
      <c r="AB416" s="10">
        <f t="shared" si="75"/>
        <v>42.693695999999996</v>
      </c>
      <c r="AC416" s="10">
        <f t="shared" si="76"/>
        <v>64.040543999999997</v>
      </c>
    </row>
    <row r="417" spans="1:29" x14ac:dyDescent="0.25">
      <c r="A417">
        <v>422725</v>
      </c>
      <c r="B417" t="s">
        <v>59</v>
      </c>
      <c r="C417" s="10">
        <v>16.91</v>
      </c>
      <c r="D417" s="10">
        <v>15.94</v>
      </c>
      <c r="E417" s="10">
        <v>0</v>
      </c>
      <c r="F417">
        <v>68</v>
      </c>
      <c r="G417" t="s">
        <v>19</v>
      </c>
      <c r="H417" s="11">
        <v>45988</v>
      </c>
      <c r="I417" t="s">
        <v>22</v>
      </c>
      <c r="J417" s="12">
        <v>1</v>
      </c>
      <c r="K417" s="3">
        <v>41.04</v>
      </c>
      <c r="L417" s="3">
        <f t="shared" si="66"/>
        <v>41.04</v>
      </c>
      <c r="M417" s="13"/>
      <c r="N417">
        <f>_xlfn.XLOOKUP(G417,'Tarievensheet per persoon'!AE:AE,'Tarievensheet per persoon'!AF:AF)</f>
        <v>1.7068000000000001</v>
      </c>
      <c r="O417">
        <f>_xlfn.XLOOKUP(G417,AE:AE,'Tarievensheet per persoon'!AG:AG)</f>
        <v>1.5528</v>
      </c>
      <c r="P417">
        <f>_xlfn.XLOOKUP(G417,AE:AE,'Tarievensheet per persoon'!AH:AH)</f>
        <v>1.3391999999999999</v>
      </c>
      <c r="Q417">
        <f>_xlfn.XLOOKUP(G417,AE:AE,'Tarievensheet per persoon'!AI:AI)</f>
        <v>1.3391999999999999</v>
      </c>
      <c r="R417">
        <v>0</v>
      </c>
      <c r="S417" s="14">
        <v>2.99</v>
      </c>
      <c r="T417" s="10">
        <f t="shared" si="67"/>
        <v>31.851987999999999</v>
      </c>
      <c r="U417" s="10">
        <f t="shared" si="68"/>
        <v>40.517077839999999</v>
      </c>
      <c r="V417" s="10">
        <f t="shared" si="69"/>
        <v>41.042234800000003</v>
      </c>
      <c r="W417" s="10">
        <f t="shared" si="70"/>
        <v>52.858266399999998</v>
      </c>
      <c r="X417" s="10">
        <f t="shared" si="71"/>
        <v>58.109836000000001</v>
      </c>
      <c r="Y417" s="10">
        <f t="shared" si="72"/>
        <v>84.367683999999997</v>
      </c>
      <c r="Z417" s="10">
        <f t="shared" si="73"/>
        <v>29.885587199999996</v>
      </c>
      <c r="AA417" s="10">
        <f t="shared" si="74"/>
        <v>38.424326399999998</v>
      </c>
      <c r="AB417" s="10">
        <f t="shared" si="75"/>
        <v>42.693695999999996</v>
      </c>
      <c r="AC417" s="10">
        <f t="shared" si="76"/>
        <v>64.040543999999997</v>
      </c>
    </row>
    <row r="418" spans="1:29" x14ac:dyDescent="0.25">
      <c r="A418">
        <v>422725</v>
      </c>
      <c r="B418" t="s">
        <v>59</v>
      </c>
      <c r="C418" s="10">
        <v>16.91</v>
      </c>
      <c r="D418" s="10">
        <v>15.94</v>
      </c>
      <c r="E418" s="10">
        <v>0</v>
      </c>
      <c r="F418">
        <v>68</v>
      </c>
      <c r="G418" t="s">
        <v>19</v>
      </c>
      <c r="H418" s="11">
        <v>45989</v>
      </c>
      <c r="I418" t="s">
        <v>13</v>
      </c>
      <c r="J418" s="12">
        <v>7</v>
      </c>
      <c r="K418" s="3">
        <v>222.95</v>
      </c>
      <c r="L418" s="3">
        <f t="shared" si="66"/>
        <v>31.849999999999998</v>
      </c>
      <c r="M418" s="13"/>
      <c r="N418">
        <f>_xlfn.XLOOKUP(G418,'Tarievensheet per persoon'!AE:AE,'Tarievensheet per persoon'!AF:AF)</f>
        <v>1.7068000000000001</v>
      </c>
      <c r="O418">
        <f>_xlfn.XLOOKUP(G418,AE:AE,'Tarievensheet per persoon'!AG:AG)</f>
        <v>1.5528</v>
      </c>
      <c r="P418">
        <f>_xlfn.XLOOKUP(G418,AE:AE,'Tarievensheet per persoon'!AH:AH)</f>
        <v>1.3391999999999999</v>
      </c>
      <c r="Q418">
        <f>_xlfn.XLOOKUP(G418,AE:AE,'Tarievensheet per persoon'!AI:AI)</f>
        <v>1.3391999999999999</v>
      </c>
      <c r="R418">
        <v>0</v>
      </c>
      <c r="S418" s="14">
        <v>2.99</v>
      </c>
      <c r="T418" s="10">
        <f t="shared" si="67"/>
        <v>31.851987999999999</v>
      </c>
      <c r="U418" s="10">
        <f t="shared" si="68"/>
        <v>40.517077839999999</v>
      </c>
      <c r="V418" s="10">
        <f t="shared" si="69"/>
        <v>41.042234800000003</v>
      </c>
      <c r="W418" s="10">
        <f t="shared" si="70"/>
        <v>52.858266399999998</v>
      </c>
      <c r="X418" s="10">
        <f t="shared" si="71"/>
        <v>58.109836000000001</v>
      </c>
      <c r="Y418" s="10">
        <f t="shared" si="72"/>
        <v>84.367683999999997</v>
      </c>
      <c r="Z418" s="10">
        <f t="shared" si="73"/>
        <v>29.885587199999996</v>
      </c>
      <c r="AA418" s="10">
        <f t="shared" si="74"/>
        <v>38.424326399999998</v>
      </c>
      <c r="AB418" s="10">
        <f t="shared" si="75"/>
        <v>42.693695999999996</v>
      </c>
      <c r="AC418" s="10">
        <f t="shared" si="76"/>
        <v>64.040543999999997</v>
      </c>
    </row>
    <row r="419" spans="1:29" x14ac:dyDescent="0.25">
      <c r="A419">
        <v>422725</v>
      </c>
      <c r="B419" t="s">
        <v>59</v>
      </c>
      <c r="C419" s="10">
        <v>16.91</v>
      </c>
      <c r="D419" s="10">
        <v>15.94</v>
      </c>
      <c r="E419" s="10">
        <v>0</v>
      </c>
      <c r="F419">
        <v>68</v>
      </c>
      <c r="G419" t="s">
        <v>19</v>
      </c>
      <c r="H419" s="11">
        <v>45989</v>
      </c>
      <c r="I419" t="s">
        <v>22</v>
      </c>
      <c r="J419" s="12">
        <v>0.5</v>
      </c>
      <c r="K419" s="3">
        <v>20.52</v>
      </c>
      <c r="L419" s="3">
        <f t="shared" si="66"/>
        <v>41.04</v>
      </c>
      <c r="M419" s="13"/>
      <c r="N419">
        <f>_xlfn.XLOOKUP(G419,'Tarievensheet per persoon'!AE:AE,'Tarievensheet per persoon'!AF:AF)</f>
        <v>1.7068000000000001</v>
      </c>
      <c r="O419">
        <f>_xlfn.XLOOKUP(G419,AE:AE,'Tarievensheet per persoon'!AG:AG)</f>
        <v>1.5528</v>
      </c>
      <c r="P419">
        <f>_xlfn.XLOOKUP(G419,AE:AE,'Tarievensheet per persoon'!AH:AH)</f>
        <v>1.3391999999999999</v>
      </c>
      <c r="Q419">
        <f>_xlfn.XLOOKUP(G419,AE:AE,'Tarievensheet per persoon'!AI:AI)</f>
        <v>1.3391999999999999</v>
      </c>
      <c r="R419">
        <v>0</v>
      </c>
      <c r="S419" s="14">
        <v>2.99</v>
      </c>
      <c r="T419" s="10">
        <f t="shared" si="67"/>
        <v>31.851987999999999</v>
      </c>
      <c r="U419" s="10">
        <f t="shared" si="68"/>
        <v>40.517077839999999</v>
      </c>
      <c r="V419" s="10">
        <f t="shared" si="69"/>
        <v>41.042234800000003</v>
      </c>
      <c r="W419" s="10">
        <f t="shared" si="70"/>
        <v>52.858266399999998</v>
      </c>
      <c r="X419" s="10">
        <f t="shared" si="71"/>
        <v>58.109836000000001</v>
      </c>
      <c r="Y419" s="10">
        <f t="shared" si="72"/>
        <v>84.367683999999997</v>
      </c>
      <c r="Z419" s="10">
        <f t="shared" si="73"/>
        <v>29.885587199999996</v>
      </c>
      <c r="AA419" s="10">
        <f t="shared" si="74"/>
        <v>38.424326399999998</v>
      </c>
      <c r="AB419" s="10">
        <f t="shared" si="75"/>
        <v>42.693695999999996</v>
      </c>
      <c r="AC419" s="10">
        <f t="shared" si="76"/>
        <v>64.040543999999997</v>
      </c>
    </row>
    <row r="420" spans="1:29" x14ac:dyDescent="0.25">
      <c r="A420">
        <v>423898</v>
      </c>
      <c r="B420" t="s">
        <v>60</v>
      </c>
      <c r="C420" s="10">
        <v>16.91</v>
      </c>
      <c r="D420" s="10">
        <v>15.94</v>
      </c>
      <c r="E420" s="10">
        <v>0</v>
      </c>
      <c r="F420">
        <v>64</v>
      </c>
      <c r="G420" t="s">
        <v>19</v>
      </c>
      <c r="H420" s="11">
        <v>45985</v>
      </c>
      <c r="I420" t="s">
        <v>13</v>
      </c>
      <c r="J420" s="12">
        <v>7</v>
      </c>
      <c r="K420" s="3">
        <v>222.95</v>
      </c>
      <c r="L420" s="3">
        <f t="shared" si="66"/>
        <v>31.849999999999998</v>
      </c>
      <c r="M420" s="13"/>
      <c r="N420">
        <f>_xlfn.XLOOKUP(G420,'Tarievensheet per persoon'!AE:AE,'Tarievensheet per persoon'!AF:AF)</f>
        <v>1.7068000000000001</v>
      </c>
      <c r="O420">
        <f>_xlfn.XLOOKUP(G420,AE:AE,'Tarievensheet per persoon'!AG:AG)</f>
        <v>1.5528</v>
      </c>
      <c r="P420">
        <f>_xlfn.XLOOKUP(G420,AE:AE,'Tarievensheet per persoon'!AH:AH)</f>
        <v>1.3391999999999999</v>
      </c>
      <c r="Q420">
        <f>_xlfn.XLOOKUP(G420,AE:AE,'Tarievensheet per persoon'!AI:AI)</f>
        <v>1.3391999999999999</v>
      </c>
      <c r="R420">
        <v>0</v>
      </c>
      <c r="S420" s="14">
        <v>2.99</v>
      </c>
      <c r="T420" s="10">
        <f t="shared" si="67"/>
        <v>31.851987999999999</v>
      </c>
      <c r="U420" s="10">
        <f t="shared" si="68"/>
        <v>40.517077839999999</v>
      </c>
      <c r="V420" s="10">
        <f t="shared" si="69"/>
        <v>41.042234800000003</v>
      </c>
      <c r="W420" s="10">
        <f t="shared" si="70"/>
        <v>52.858266399999998</v>
      </c>
      <c r="X420" s="10">
        <f t="shared" si="71"/>
        <v>58.109836000000001</v>
      </c>
      <c r="Y420" s="10">
        <f t="shared" si="72"/>
        <v>84.367683999999997</v>
      </c>
      <c r="Z420" s="10">
        <f t="shared" si="73"/>
        <v>29.885587199999996</v>
      </c>
      <c r="AA420" s="10">
        <f t="shared" si="74"/>
        <v>38.424326399999998</v>
      </c>
      <c r="AB420" s="10">
        <f t="shared" si="75"/>
        <v>42.693695999999996</v>
      </c>
      <c r="AC420" s="10">
        <f t="shared" si="76"/>
        <v>64.040543999999997</v>
      </c>
    </row>
    <row r="421" spans="1:29" x14ac:dyDescent="0.25">
      <c r="A421">
        <v>423898</v>
      </c>
      <c r="B421" t="s">
        <v>60</v>
      </c>
      <c r="C421" s="10">
        <v>16.91</v>
      </c>
      <c r="D421" s="10">
        <v>15.94</v>
      </c>
      <c r="E421" s="10">
        <v>0</v>
      </c>
      <c r="F421">
        <v>64</v>
      </c>
      <c r="G421" t="s">
        <v>19</v>
      </c>
      <c r="H421" s="11">
        <v>45985</v>
      </c>
      <c r="I421" t="s">
        <v>22</v>
      </c>
      <c r="J421" s="12">
        <v>1</v>
      </c>
      <c r="K421" s="3">
        <v>41.04</v>
      </c>
      <c r="L421" s="3">
        <f t="shared" si="66"/>
        <v>41.04</v>
      </c>
      <c r="M421" s="13"/>
      <c r="N421">
        <f>_xlfn.XLOOKUP(G421,'Tarievensheet per persoon'!AE:AE,'Tarievensheet per persoon'!AF:AF)</f>
        <v>1.7068000000000001</v>
      </c>
      <c r="O421">
        <f>_xlfn.XLOOKUP(G421,AE:AE,'Tarievensheet per persoon'!AG:AG)</f>
        <v>1.5528</v>
      </c>
      <c r="P421">
        <f>_xlfn.XLOOKUP(G421,AE:AE,'Tarievensheet per persoon'!AH:AH)</f>
        <v>1.3391999999999999</v>
      </c>
      <c r="Q421">
        <f>_xlfn.XLOOKUP(G421,AE:AE,'Tarievensheet per persoon'!AI:AI)</f>
        <v>1.3391999999999999</v>
      </c>
      <c r="R421">
        <v>0</v>
      </c>
      <c r="S421" s="14">
        <v>2.99</v>
      </c>
      <c r="T421" s="10">
        <f t="shared" si="67"/>
        <v>31.851987999999999</v>
      </c>
      <c r="U421" s="10">
        <f t="shared" si="68"/>
        <v>40.517077839999999</v>
      </c>
      <c r="V421" s="10">
        <f t="shared" si="69"/>
        <v>41.042234800000003</v>
      </c>
      <c r="W421" s="10">
        <f t="shared" si="70"/>
        <v>52.858266399999998</v>
      </c>
      <c r="X421" s="10">
        <f t="shared" si="71"/>
        <v>58.109836000000001</v>
      </c>
      <c r="Y421" s="10">
        <f t="shared" si="72"/>
        <v>84.367683999999997</v>
      </c>
      <c r="Z421" s="10">
        <f t="shared" si="73"/>
        <v>29.885587199999996</v>
      </c>
      <c r="AA421" s="10">
        <f t="shared" si="74"/>
        <v>38.424326399999998</v>
      </c>
      <c r="AB421" s="10">
        <f t="shared" si="75"/>
        <v>42.693695999999996</v>
      </c>
      <c r="AC421" s="10">
        <f t="shared" si="76"/>
        <v>64.040543999999997</v>
      </c>
    </row>
    <row r="422" spans="1:29" x14ac:dyDescent="0.25">
      <c r="A422">
        <v>423898</v>
      </c>
      <c r="B422" t="s">
        <v>60</v>
      </c>
      <c r="C422" s="10">
        <v>16.91</v>
      </c>
      <c r="D422" s="10">
        <v>15.94</v>
      </c>
      <c r="E422" s="10">
        <v>0</v>
      </c>
      <c r="F422">
        <v>64</v>
      </c>
      <c r="G422" t="s">
        <v>19</v>
      </c>
      <c r="H422" s="11">
        <v>45986</v>
      </c>
      <c r="I422" t="s">
        <v>13</v>
      </c>
      <c r="J422" s="12">
        <v>7</v>
      </c>
      <c r="K422" s="3">
        <v>222.95</v>
      </c>
      <c r="L422" s="3">
        <f t="shared" si="66"/>
        <v>31.849999999999998</v>
      </c>
      <c r="M422" s="13"/>
      <c r="N422">
        <f>_xlfn.XLOOKUP(G422,'Tarievensheet per persoon'!AE:AE,'Tarievensheet per persoon'!AF:AF)</f>
        <v>1.7068000000000001</v>
      </c>
      <c r="O422">
        <f>_xlfn.XLOOKUP(G422,AE:AE,'Tarievensheet per persoon'!AG:AG)</f>
        <v>1.5528</v>
      </c>
      <c r="P422">
        <f>_xlfn.XLOOKUP(G422,AE:AE,'Tarievensheet per persoon'!AH:AH)</f>
        <v>1.3391999999999999</v>
      </c>
      <c r="Q422">
        <f>_xlfn.XLOOKUP(G422,AE:AE,'Tarievensheet per persoon'!AI:AI)</f>
        <v>1.3391999999999999</v>
      </c>
      <c r="R422">
        <v>0</v>
      </c>
      <c r="S422" s="14">
        <v>2.99</v>
      </c>
      <c r="T422" s="10">
        <f t="shared" si="67"/>
        <v>31.851987999999999</v>
      </c>
      <c r="U422" s="10">
        <f t="shared" si="68"/>
        <v>40.517077839999999</v>
      </c>
      <c r="V422" s="10">
        <f t="shared" si="69"/>
        <v>41.042234800000003</v>
      </c>
      <c r="W422" s="10">
        <f t="shared" si="70"/>
        <v>52.858266399999998</v>
      </c>
      <c r="X422" s="10">
        <f t="shared" si="71"/>
        <v>58.109836000000001</v>
      </c>
      <c r="Y422" s="10">
        <f t="shared" si="72"/>
        <v>84.367683999999997</v>
      </c>
      <c r="Z422" s="10">
        <f t="shared" si="73"/>
        <v>29.885587199999996</v>
      </c>
      <c r="AA422" s="10">
        <f t="shared" si="74"/>
        <v>38.424326399999998</v>
      </c>
      <c r="AB422" s="10">
        <f t="shared" si="75"/>
        <v>42.693695999999996</v>
      </c>
      <c r="AC422" s="10">
        <f t="shared" si="76"/>
        <v>64.040543999999997</v>
      </c>
    </row>
    <row r="423" spans="1:29" x14ac:dyDescent="0.25">
      <c r="A423">
        <v>423898</v>
      </c>
      <c r="B423" t="s">
        <v>60</v>
      </c>
      <c r="C423" s="10">
        <v>16.91</v>
      </c>
      <c r="D423" s="10">
        <v>15.94</v>
      </c>
      <c r="E423" s="10">
        <v>0</v>
      </c>
      <c r="F423">
        <v>64</v>
      </c>
      <c r="G423" t="s">
        <v>19</v>
      </c>
      <c r="H423" s="11">
        <v>45986</v>
      </c>
      <c r="I423" t="s">
        <v>22</v>
      </c>
      <c r="J423" s="12">
        <v>1</v>
      </c>
      <c r="K423" s="3">
        <v>41.04</v>
      </c>
      <c r="L423" s="3">
        <f t="shared" si="66"/>
        <v>41.04</v>
      </c>
      <c r="M423" s="13"/>
      <c r="N423">
        <f>_xlfn.XLOOKUP(G423,'Tarievensheet per persoon'!AE:AE,'Tarievensheet per persoon'!AF:AF)</f>
        <v>1.7068000000000001</v>
      </c>
      <c r="O423">
        <f>_xlfn.XLOOKUP(G423,AE:AE,'Tarievensheet per persoon'!AG:AG)</f>
        <v>1.5528</v>
      </c>
      <c r="P423">
        <f>_xlfn.XLOOKUP(G423,AE:AE,'Tarievensheet per persoon'!AH:AH)</f>
        <v>1.3391999999999999</v>
      </c>
      <c r="Q423">
        <f>_xlfn.XLOOKUP(G423,AE:AE,'Tarievensheet per persoon'!AI:AI)</f>
        <v>1.3391999999999999</v>
      </c>
      <c r="R423">
        <v>0</v>
      </c>
      <c r="S423" s="14">
        <v>2.99</v>
      </c>
      <c r="T423" s="10">
        <f t="shared" si="67"/>
        <v>31.851987999999999</v>
      </c>
      <c r="U423" s="10">
        <f t="shared" si="68"/>
        <v>40.517077839999999</v>
      </c>
      <c r="V423" s="10">
        <f t="shared" si="69"/>
        <v>41.042234800000003</v>
      </c>
      <c r="W423" s="10">
        <f t="shared" si="70"/>
        <v>52.858266399999998</v>
      </c>
      <c r="X423" s="10">
        <f t="shared" si="71"/>
        <v>58.109836000000001</v>
      </c>
      <c r="Y423" s="10">
        <f t="shared" si="72"/>
        <v>84.367683999999997</v>
      </c>
      <c r="Z423" s="10">
        <f t="shared" si="73"/>
        <v>29.885587199999996</v>
      </c>
      <c r="AA423" s="10">
        <f t="shared" si="74"/>
        <v>38.424326399999998</v>
      </c>
      <c r="AB423" s="10">
        <f t="shared" si="75"/>
        <v>42.693695999999996</v>
      </c>
      <c r="AC423" s="10">
        <f t="shared" si="76"/>
        <v>64.040543999999997</v>
      </c>
    </row>
    <row r="424" spans="1:29" x14ac:dyDescent="0.25">
      <c r="A424">
        <v>423898</v>
      </c>
      <c r="B424" t="s">
        <v>60</v>
      </c>
      <c r="C424" s="10">
        <v>16.91</v>
      </c>
      <c r="D424" s="10">
        <v>15.94</v>
      </c>
      <c r="E424" s="10">
        <v>0</v>
      </c>
      <c r="F424">
        <v>64</v>
      </c>
      <c r="G424" t="s">
        <v>19</v>
      </c>
      <c r="H424" s="11">
        <v>45987</v>
      </c>
      <c r="I424" t="s">
        <v>13</v>
      </c>
      <c r="J424" s="12">
        <v>7</v>
      </c>
      <c r="K424" s="3">
        <v>222.95</v>
      </c>
      <c r="L424" s="3">
        <f t="shared" si="66"/>
        <v>31.849999999999998</v>
      </c>
      <c r="M424" s="13"/>
      <c r="N424">
        <f>_xlfn.XLOOKUP(G424,'Tarievensheet per persoon'!AE:AE,'Tarievensheet per persoon'!AF:AF)</f>
        <v>1.7068000000000001</v>
      </c>
      <c r="O424">
        <f>_xlfn.XLOOKUP(G424,AE:AE,'Tarievensheet per persoon'!AG:AG)</f>
        <v>1.5528</v>
      </c>
      <c r="P424">
        <f>_xlfn.XLOOKUP(G424,AE:AE,'Tarievensheet per persoon'!AH:AH)</f>
        <v>1.3391999999999999</v>
      </c>
      <c r="Q424">
        <f>_xlfn.XLOOKUP(G424,AE:AE,'Tarievensheet per persoon'!AI:AI)</f>
        <v>1.3391999999999999</v>
      </c>
      <c r="R424">
        <v>0</v>
      </c>
      <c r="S424" s="14">
        <v>2.99</v>
      </c>
      <c r="T424" s="10">
        <f t="shared" si="67"/>
        <v>31.851987999999999</v>
      </c>
      <c r="U424" s="10">
        <f t="shared" si="68"/>
        <v>40.517077839999999</v>
      </c>
      <c r="V424" s="10">
        <f t="shared" si="69"/>
        <v>41.042234800000003</v>
      </c>
      <c r="W424" s="10">
        <f t="shared" si="70"/>
        <v>52.858266399999998</v>
      </c>
      <c r="X424" s="10">
        <f t="shared" si="71"/>
        <v>58.109836000000001</v>
      </c>
      <c r="Y424" s="10">
        <f t="shared" si="72"/>
        <v>84.367683999999997</v>
      </c>
      <c r="Z424" s="10">
        <f t="shared" si="73"/>
        <v>29.885587199999996</v>
      </c>
      <c r="AA424" s="10">
        <f t="shared" si="74"/>
        <v>38.424326399999998</v>
      </c>
      <c r="AB424" s="10">
        <f t="shared" si="75"/>
        <v>42.693695999999996</v>
      </c>
      <c r="AC424" s="10">
        <f t="shared" si="76"/>
        <v>64.040543999999997</v>
      </c>
    </row>
    <row r="425" spans="1:29" x14ac:dyDescent="0.25">
      <c r="A425">
        <v>423898</v>
      </c>
      <c r="B425" t="s">
        <v>60</v>
      </c>
      <c r="C425" s="10">
        <v>16.91</v>
      </c>
      <c r="D425" s="10">
        <v>15.94</v>
      </c>
      <c r="E425" s="10">
        <v>0</v>
      </c>
      <c r="F425">
        <v>64</v>
      </c>
      <c r="G425" t="s">
        <v>19</v>
      </c>
      <c r="H425" s="11">
        <v>45987</v>
      </c>
      <c r="I425" t="s">
        <v>22</v>
      </c>
      <c r="J425" s="12">
        <v>1</v>
      </c>
      <c r="K425" s="3">
        <v>41.04</v>
      </c>
      <c r="L425" s="3">
        <f t="shared" si="66"/>
        <v>41.04</v>
      </c>
      <c r="M425" s="13"/>
      <c r="N425">
        <f>_xlfn.XLOOKUP(G425,'Tarievensheet per persoon'!AE:AE,'Tarievensheet per persoon'!AF:AF)</f>
        <v>1.7068000000000001</v>
      </c>
      <c r="O425">
        <f>_xlfn.XLOOKUP(G425,AE:AE,'Tarievensheet per persoon'!AG:AG)</f>
        <v>1.5528</v>
      </c>
      <c r="P425">
        <f>_xlfn.XLOOKUP(G425,AE:AE,'Tarievensheet per persoon'!AH:AH)</f>
        <v>1.3391999999999999</v>
      </c>
      <c r="Q425">
        <f>_xlfn.XLOOKUP(G425,AE:AE,'Tarievensheet per persoon'!AI:AI)</f>
        <v>1.3391999999999999</v>
      </c>
      <c r="R425">
        <v>0</v>
      </c>
      <c r="S425" s="14">
        <v>2.99</v>
      </c>
      <c r="T425" s="10">
        <f t="shared" si="67"/>
        <v>31.851987999999999</v>
      </c>
      <c r="U425" s="10">
        <f t="shared" si="68"/>
        <v>40.517077839999999</v>
      </c>
      <c r="V425" s="10">
        <f t="shared" si="69"/>
        <v>41.042234800000003</v>
      </c>
      <c r="W425" s="10">
        <f t="shared" si="70"/>
        <v>52.858266399999998</v>
      </c>
      <c r="X425" s="10">
        <f t="shared" si="71"/>
        <v>58.109836000000001</v>
      </c>
      <c r="Y425" s="10">
        <f t="shared" si="72"/>
        <v>84.367683999999997</v>
      </c>
      <c r="Z425" s="10">
        <f t="shared" si="73"/>
        <v>29.885587199999996</v>
      </c>
      <c r="AA425" s="10">
        <f t="shared" si="74"/>
        <v>38.424326399999998</v>
      </c>
      <c r="AB425" s="10">
        <f t="shared" si="75"/>
        <v>42.693695999999996</v>
      </c>
      <c r="AC425" s="10">
        <f t="shared" si="76"/>
        <v>64.040543999999997</v>
      </c>
    </row>
    <row r="426" spans="1:29" x14ac:dyDescent="0.25">
      <c r="A426">
        <v>423898</v>
      </c>
      <c r="B426" t="s">
        <v>60</v>
      </c>
      <c r="C426" s="10">
        <v>16.91</v>
      </c>
      <c r="D426" s="10">
        <v>15.94</v>
      </c>
      <c r="E426" s="10">
        <v>0</v>
      </c>
      <c r="F426">
        <v>64</v>
      </c>
      <c r="G426" t="s">
        <v>19</v>
      </c>
      <c r="H426" s="11">
        <v>45988</v>
      </c>
      <c r="I426" t="s">
        <v>13</v>
      </c>
      <c r="J426" s="12">
        <v>7</v>
      </c>
      <c r="K426" s="3">
        <v>222.95</v>
      </c>
      <c r="L426" s="3">
        <f t="shared" si="66"/>
        <v>31.849999999999998</v>
      </c>
      <c r="M426" s="13"/>
      <c r="N426">
        <f>_xlfn.XLOOKUP(G426,'Tarievensheet per persoon'!AE:AE,'Tarievensheet per persoon'!AF:AF)</f>
        <v>1.7068000000000001</v>
      </c>
      <c r="O426">
        <f>_xlfn.XLOOKUP(G426,AE:AE,'Tarievensheet per persoon'!AG:AG)</f>
        <v>1.5528</v>
      </c>
      <c r="P426">
        <f>_xlfn.XLOOKUP(G426,AE:AE,'Tarievensheet per persoon'!AH:AH)</f>
        <v>1.3391999999999999</v>
      </c>
      <c r="Q426">
        <f>_xlfn.XLOOKUP(G426,AE:AE,'Tarievensheet per persoon'!AI:AI)</f>
        <v>1.3391999999999999</v>
      </c>
      <c r="R426">
        <v>0</v>
      </c>
      <c r="S426" s="14">
        <v>2.99</v>
      </c>
      <c r="T426" s="10">
        <f t="shared" si="67"/>
        <v>31.851987999999999</v>
      </c>
      <c r="U426" s="10">
        <f t="shared" si="68"/>
        <v>40.517077839999999</v>
      </c>
      <c r="V426" s="10">
        <f t="shared" si="69"/>
        <v>41.042234800000003</v>
      </c>
      <c r="W426" s="10">
        <f t="shared" si="70"/>
        <v>52.858266399999998</v>
      </c>
      <c r="X426" s="10">
        <f t="shared" si="71"/>
        <v>58.109836000000001</v>
      </c>
      <c r="Y426" s="10">
        <f t="shared" si="72"/>
        <v>84.367683999999997</v>
      </c>
      <c r="Z426" s="10">
        <f t="shared" si="73"/>
        <v>29.885587199999996</v>
      </c>
      <c r="AA426" s="10">
        <f t="shared" si="74"/>
        <v>38.424326399999998</v>
      </c>
      <c r="AB426" s="10">
        <f t="shared" si="75"/>
        <v>42.693695999999996</v>
      </c>
      <c r="AC426" s="10">
        <f t="shared" si="76"/>
        <v>64.040543999999997</v>
      </c>
    </row>
    <row r="427" spans="1:29" x14ac:dyDescent="0.25">
      <c r="A427">
        <v>423898</v>
      </c>
      <c r="B427" t="s">
        <v>60</v>
      </c>
      <c r="C427" s="10">
        <v>16.91</v>
      </c>
      <c r="D427" s="10">
        <v>15.94</v>
      </c>
      <c r="E427" s="10">
        <v>0</v>
      </c>
      <c r="F427">
        <v>64</v>
      </c>
      <c r="G427" t="s">
        <v>19</v>
      </c>
      <c r="H427" s="11">
        <v>45988</v>
      </c>
      <c r="I427" t="s">
        <v>22</v>
      </c>
      <c r="J427" s="12">
        <v>1</v>
      </c>
      <c r="K427" s="3">
        <v>41.04</v>
      </c>
      <c r="L427" s="3">
        <f t="shared" si="66"/>
        <v>41.04</v>
      </c>
      <c r="M427" s="13"/>
      <c r="N427">
        <f>_xlfn.XLOOKUP(G427,'Tarievensheet per persoon'!AE:AE,'Tarievensheet per persoon'!AF:AF)</f>
        <v>1.7068000000000001</v>
      </c>
      <c r="O427">
        <f>_xlfn.XLOOKUP(G427,AE:AE,'Tarievensheet per persoon'!AG:AG)</f>
        <v>1.5528</v>
      </c>
      <c r="P427">
        <f>_xlfn.XLOOKUP(G427,AE:AE,'Tarievensheet per persoon'!AH:AH)</f>
        <v>1.3391999999999999</v>
      </c>
      <c r="Q427">
        <f>_xlfn.XLOOKUP(G427,AE:AE,'Tarievensheet per persoon'!AI:AI)</f>
        <v>1.3391999999999999</v>
      </c>
      <c r="R427">
        <v>0</v>
      </c>
      <c r="S427" s="14">
        <v>2.99</v>
      </c>
      <c r="T427" s="10">
        <f t="shared" si="67"/>
        <v>31.851987999999999</v>
      </c>
      <c r="U427" s="10">
        <f t="shared" si="68"/>
        <v>40.517077839999999</v>
      </c>
      <c r="V427" s="10">
        <f t="shared" si="69"/>
        <v>41.042234800000003</v>
      </c>
      <c r="W427" s="10">
        <f t="shared" si="70"/>
        <v>52.858266399999998</v>
      </c>
      <c r="X427" s="10">
        <f t="shared" si="71"/>
        <v>58.109836000000001</v>
      </c>
      <c r="Y427" s="10">
        <f t="shared" si="72"/>
        <v>84.367683999999997</v>
      </c>
      <c r="Z427" s="10">
        <f t="shared" si="73"/>
        <v>29.885587199999996</v>
      </c>
      <c r="AA427" s="10">
        <f t="shared" si="74"/>
        <v>38.424326399999998</v>
      </c>
      <c r="AB427" s="10">
        <f t="shared" si="75"/>
        <v>42.693695999999996</v>
      </c>
      <c r="AC427" s="10">
        <f t="shared" si="76"/>
        <v>64.040543999999997</v>
      </c>
    </row>
    <row r="428" spans="1:29" x14ac:dyDescent="0.25">
      <c r="A428">
        <v>423898</v>
      </c>
      <c r="B428" t="s">
        <v>60</v>
      </c>
      <c r="C428" s="10">
        <v>16.91</v>
      </c>
      <c r="D428" s="10">
        <v>15.94</v>
      </c>
      <c r="E428" s="10">
        <v>0</v>
      </c>
      <c r="F428">
        <v>64</v>
      </c>
      <c r="G428" t="s">
        <v>19</v>
      </c>
      <c r="H428" s="11">
        <v>45989</v>
      </c>
      <c r="I428" t="s">
        <v>13</v>
      </c>
      <c r="J428" s="12">
        <v>7</v>
      </c>
      <c r="K428" s="3">
        <v>222.95</v>
      </c>
      <c r="L428" s="3">
        <f t="shared" si="66"/>
        <v>31.849999999999998</v>
      </c>
      <c r="M428" s="13"/>
      <c r="N428">
        <f>_xlfn.XLOOKUP(G428,'Tarievensheet per persoon'!AE:AE,'Tarievensheet per persoon'!AF:AF)</f>
        <v>1.7068000000000001</v>
      </c>
      <c r="O428">
        <f>_xlfn.XLOOKUP(G428,AE:AE,'Tarievensheet per persoon'!AG:AG)</f>
        <v>1.5528</v>
      </c>
      <c r="P428">
        <f>_xlfn.XLOOKUP(G428,AE:AE,'Tarievensheet per persoon'!AH:AH)</f>
        <v>1.3391999999999999</v>
      </c>
      <c r="Q428">
        <f>_xlfn.XLOOKUP(G428,AE:AE,'Tarievensheet per persoon'!AI:AI)</f>
        <v>1.3391999999999999</v>
      </c>
      <c r="R428">
        <v>0</v>
      </c>
      <c r="S428" s="14">
        <v>2.99</v>
      </c>
      <c r="T428" s="10">
        <f t="shared" si="67"/>
        <v>31.851987999999999</v>
      </c>
      <c r="U428" s="10">
        <f t="shared" si="68"/>
        <v>40.517077839999999</v>
      </c>
      <c r="V428" s="10">
        <f t="shared" si="69"/>
        <v>41.042234800000003</v>
      </c>
      <c r="W428" s="10">
        <f t="shared" si="70"/>
        <v>52.858266399999998</v>
      </c>
      <c r="X428" s="10">
        <f t="shared" si="71"/>
        <v>58.109836000000001</v>
      </c>
      <c r="Y428" s="10">
        <f t="shared" si="72"/>
        <v>84.367683999999997</v>
      </c>
      <c r="Z428" s="10">
        <f t="shared" si="73"/>
        <v>29.885587199999996</v>
      </c>
      <c r="AA428" s="10">
        <f t="shared" si="74"/>
        <v>38.424326399999998</v>
      </c>
      <c r="AB428" s="10">
        <f t="shared" si="75"/>
        <v>42.693695999999996</v>
      </c>
      <c r="AC428" s="10">
        <f t="shared" si="76"/>
        <v>64.040543999999997</v>
      </c>
    </row>
    <row r="429" spans="1:29" x14ac:dyDescent="0.25">
      <c r="A429">
        <v>423898</v>
      </c>
      <c r="B429" t="s">
        <v>60</v>
      </c>
      <c r="C429" s="10">
        <v>16.91</v>
      </c>
      <c r="D429" s="10">
        <v>15.94</v>
      </c>
      <c r="E429" s="10">
        <v>0</v>
      </c>
      <c r="F429">
        <v>64</v>
      </c>
      <c r="G429" t="s">
        <v>19</v>
      </c>
      <c r="H429" s="11">
        <v>45989</v>
      </c>
      <c r="I429" t="s">
        <v>22</v>
      </c>
      <c r="J429" s="12">
        <v>0.5</v>
      </c>
      <c r="K429" s="3">
        <v>20.52</v>
      </c>
      <c r="L429" s="3">
        <f t="shared" si="66"/>
        <v>41.04</v>
      </c>
      <c r="M429" s="13"/>
      <c r="N429">
        <f>_xlfn.XLOOKUP(G429,'Tarievensheet per persoon'!AE:AE,'Tarievensheet per persoon'!AF:AF)</f>
        <v>1.7068000000000001</v>
      </c>
      <c r="O429">
        <f>_xlfn.XLOOKUP(G429,AE:AE,'Tarievensheet per persoon'!AG:AG)</f>
        <v>1.5528</v>
      </c>
      <c r="P429">
        <f>_xlfn.XLOOKUP(G429,AE:AE,'Tarievensheet per persoon'!AH:AH)</f>
        <v>1.3391999999999999</v>
      </c>
      <c r="Q429">
        <f>_xlfn.XLOOKUP(G429,AE:AE,'Tarievensheet per persoon'!AI:AI)</f>
        <v>1.3391999999999999</v>
      </c>
      <c r="R429">
        <v>0</v>
      </c>
      <c r="S429" s="14">
        <v>2.99</v>
      </c>
      <c r="T429" s="10">
        <f t="shared" si="67"/>
        <v>31.851987999999999</v>
      </c>
      <c r="U429" s="10">
        <f t="shared" si="68"/>
        <v>40.517077839999999</v>
      </c>
      <c r="V429" s="10">
        <f t="shared" si="69"/>
        <v>41.042234800000003</v>
      </c>
      <c r="W429" s="10">
        <f t="shared" si="70"/>
        <v>52.858266399999998</v>
      </c>
      <c r="X429" s="10">
        <f t="shared" si="71"/>
        <v>58.109836000000001</v>
      </c>
      <c r="Y429" s="10">
        <f t="shared" si="72"/>
        <v>84.367683999999997</v>
      </c>
      <c r="Z429" s="10">
        <f t="shared" si="73"/>
        <v>29.885587199999996</v>
      </c>
      <c r="AA429" s="10">
        <f t="shared" si="74"/>
        <v>38.424326399999998</v>
      </c>
      <c r="AB429" s="10">
        <f t="shared" si="75"/>
        <v>42.693695999999996</v>
      </c>
      <c r="AC429" s="10">
        <f t="shared" si="76"/>
        <v>64.040543999999997</v>
      </c>
    </row>
    <row r="430" spans="1:29" x14ac:dyDescent="0.25">
      <c r="A430">
        <v>425133</v>
      </c>
      <c r="B430" t="s">
        <v>148</v>
      </c>
      <c r="C430" s="10">
        <v>17.38</v>
      </c>
      <c r="D430" s="10">
        <v>16.38</v>
      </c>
      <c r="E430" s="10">
        <v>0</v>
      </c>
      <c r="F430">
        <v>60</v>
      </c>
      <c r="G430" t="s">
        <v>19</v>
      </c>
      <c r="H430" s="11">
        <v>45985</v>
      </c>
      <c r="I430" t="s">
        <v>13</v>
      </c>
      <c r="J430" s="12">
        <v>2.5</v>
      </c>
      <c r="K430" s="3">
        <v>81.63</v>
      </c>
      <c r="L430" s="3">
        <f t="shared" si="66"/>
        <v>32.652000000000001</v>
      </c>
      <c r="M430" s="13"/>
      <c r="N430">
        <f>_xlfn.XLOOKUP(G430,'Tarievensheet per persoon'!AE:AE,'Tarievensheet per persoon'!AF:AF)</f>
        <v>1.7068000000000001</v>
      </c>
      <c r="O430">
        <f>_xlfn.XLOOKUP(G430,AE:AE,'Tarievensheet per persoon'!AG:AG)</f>
        <v>1.5528</v>
      </c>
      <c r="P430">
        <f>_xlfn.XLOOKUP(G430,AE:AE,'Tarievensheet per persoon'!AH:AH)</f>
        <v>1.3391999999999999</v>
      </c>
      <c r="Q430">
        <f>_xlfn.XLOOKUP(G430,AE:AE,'Tarievensheet per persoon'!AI:AI)</f>
        <v>1.3391999999999999</v>
      </c>
      <c r="R430">
        <v>0</v>
      </c>
      <c r="S430" s="14">
        <v>2.99</v>
      </c>
      <c r="T430" s="10">
        <f t="shared" si="67"/>
        <v>32.654184000000001</v>
      </c>
      <c r="U430" s="10">
        <f t="shared" si="68"/>
        <v>41.560113120000004</v>
      </c>
      <c r="V430" s="10">
        <f t="shared" si="69"/>
        <v>42.099866400000003</v>
      </c>
      <c r="W430" s="10">
        <f t="shared" si="70"/>
        <v>54.244315200000003</v>
      </c>
      <c r="X430" s="10">
        <f t="shared" si="71"/>
        <v>59.641847999999996</v>
      </c>
      <c r="Y430" s="10">
        <f t="shared" si="72"/>
        <v>86.629512000000005</v>
      </c>
      <c r="Z430" s="10">
        <f t="shared" si="73"/>
        <v>30.710534399999997</v>
      </c>
      <c r="AA430" s="10">
        <f t="shared" si="74"/>
        <v>39.484972799999994</v>
      </c>
      <c r="AB430" s="10">
        <f t="shared" si="75"/>
        <v>43.872191999999998</v>
      </c>
      <c r="AC430" s="10">
        <f t="shared" si="76"/>
        <v>65.808288000000005</v>
      </c>
    </row>
    <row r="431" spans="1:29" x14ac:dyDescent="0.25">
      <c r="A431">
        <v>425133</v>
      </c>
      <c r="B431" t="s">
        <v>148</v>
      </c>
      <c r="C431" s="10">
        <v>17.38</v>
      </c>
      <c r="D431" s="10">
        <v>16.38</v>
      </c>
      <c r="E431" s="10">
        <v>0</v>
      </c>
      <c r="F431">
        <v>60</v>
      </c>
      <c r="G431" t="s">
        <v>19</v>
      </c>
      <c r="H431" s="11">
        <v>45985</v>
      </c>
      <c r="I431" t="s">
        <v>21</v>
      </c>
      <c r="J431" s="12">
        <v>5.25</v>
      </c>
      <c r="K431" s="3">
        <v>218.19</v>
      </c>
      <c r="L431" s="3">
        <f t="shared" si="66"/>
        <v>41.56</v>
      </c>
      <c r="M431" s="13"/>
      <c r="N431">
        <f>_xlfn.XLOOKUP(G431,'Tarievensheet per persoon'!AE:AE,'Tarievensheet per persoon'!AF:AF)</f>
        <v>1.7068000000000001</v>
      </c>
      <c r="O431">
        <f>_xlfn.XLOOKUP(G431,AE:AE,'Tarievensheet per persoon'!AG:AG)</f>
        <v>1.5528</v>
      </c>
      <c r="P431">
        <f>_xlfn.XLOOKUP(G431,AE:AE,'Tarievensheet per persoon'!AH:AH)</f>
        <v>1.3391999999999999</v>
      </c>
      <c r="Q431">
        <f>_xlfn.XLOOKUP(G431,AE:AE,'Tarievensheet per persoon'!AI:AI)</f>
        <v>1.3391999999999999</v>
      </c>
      <c r="R431">
        <v>0</v>
      </c>
      <c r="S431" s="14">
        <v>2.99</v>
      </c>
      <c r="T431" s="10">
        <f t="shared" si="67"/>
        <v>32.654184000000001</v>
      </c>
      <c r="U431" s="10">
        <f t="shared" si="68"/>
        <v>41.560113120000004</v>
      </c>
      <c r="V431" s="10">
        <f t="shared" si="69"/>
        <v>42.099866400000003</v>
      </c>
      <c r="W431" s="10">
        <f t="shared" si="70"/>
        <v>54.244315200000003</v>
      </c>
      <c r="X431" s="10">
        <f t="shared" si="71"/>
        <v>59.641847999999996</v>
      </c>
      <c r="Y431" s="10">
        <f t="shared" si="72"/>
        <v>86.629512000000005</v>
      </c>
      <c r="Z431" s="10">
        <f t="shared" si="73"/>
        <v>30.710534399999997</v>
      </c>
      <c r="AA431" s="10">
        <f t="shared" si="74"/>
        <v>39.484972799999994</v>
      </c>
      <c r="AB431" s="10">
        <f t="shared" si="75"/>
        <v>43.872191999999998</v>
      </c>
      <c r="AC431" s="10">
        <f t="shared" si="76"/>
        <v>65.808288000000005</v>
      </c>
    </row>
    <row r="432" spans="1:29" x14ac:dyDescent="0.25">
      <c r="A432">
        <v>425133</v>
      </c>
      <c r="B432" t="s">
        <v>148</v>
      </c>
      <c r="C432" s="10">
        <v>17.38</v>
      </c>
      <c r="D432" s="10">
        <v>16.38</v>
      </c>
      <c r="E432" s="10">
        <v>0</v>
      </c>
      <c r="F432">
        <v>60</v>
      </c>
      <c r="G432" t="s">
        <v>19</v>
      </c>
      <c r="H432" s="11">
        <v>45985</v>
      </c>
      <c r="I432" t="s">
        <v>22</v>
      </c>
      <c r="J432" s="12">
        <v>0.5</v>
      </c>
      <c r="K432" s="3">
        <v>21.05</v>
      </c>
      <c r="L432" s="3">
        <f t="shared" si="66"/>
        <v>42.1</v>
      </c>
      <c r="M432" s="13"/>
      <c r="N432">
        <f>_xlfn.XLOOKUP(G432,'Tarievensheet per persoon'!AE:AE,'Tarievensheet per persoon'!AF:AF)</f>
        <v>1.7068000000000001</v>
      </c>
      <c r="O432">
        <f>_xlfn.XLOOKUP(G432,AE:AE,'Tarievensheet per persoon'!AG:AG)</f>
        <v>1.5528</v>
      </c>
      <c r="P432">
        <f>_xlfn.XLOOKUP(G432,AE:AE,'Tarievensheet per persoon'!AH:AH)</f>
        <v>1.3391999999999999</v>
      </c>
      <c r="Q432">
        <f>_xlfn.XLOOKUP(G432,AE:AE,'Tarievensheet per persoon'!AI:AI)</f>
        <v>1.3391999999999999</v>
      </c>
      <c r="R432">
        <v>0</v>
      </c>
      <c r="S432" s="14">
        <v>2.99</v>
      </c>
      <c r="T432" s="10">
        <f t="shared" si="67"/>
        <v>32.654184000000001</v>
      </c>
      <c r="U432" s="10">
        <f t="shared" si="68"/>
        <v>41.560113120000004</v>
      </c>
      <c r="V432" s="10">
        <f t="shared" si="69"/>
        <v>42.099866400000003</v>
      </c>
      <c r="W432" s="10">
        <f t="shared" si="70"/>
        <v>54.244315200000003</v>
      </c>
      <c r="X432" s="10">
        <f t="shared" si="71"/>
        <v>59.641847999999996</v>
      </c>
      <c r="Y432" s="10">
        <f t="shared" si="72"/>
        <v>86.629512000000005</v>
      </c>
      <c r="Z432" s="10">
        <f t="shared" si="73"/>
        <v>30.710534399999997</v>
      </c>
      <c r="AA432" s="10">
        <f t="shared" si="74"/>
        <v>39.484972799999994</v>
      </c>
      <c r="AB432" s="10">
        <f t="shared" si="75"/>
        <v>43.872191999999998</v>
      </c>
      <c r="AC432" s="10">
        <f t="shared" si="76"/>
        <v>65.808288000000005</v>
      </c>
    </row>
    <row r="433" spans="1:29" x14ac:dyDescent="0.25">
      <c r="A433">
        <v>425133</v>
      </c>
      <c r="B433" t="s">
        <v>148</v>
      </c>
      <c r="C433" s="10">
        <v>17.38</v>
      </c>
      <c r="D433" s="10">
        <v>16.38</v>
      </c>
      <c r="E433" s="10">
        <v>0</v>
      </c>
      <c r="F433">
        <v>60</v>
      </c>
      <c r="G433" t="s">
        <v>19</v>
      </c>
      <c r="H433" s="11">
        <v>45986</v>
      </c>
      <c r="I433" t="s">
        <v>13</v>
      </c>
      <c r="J433" s="12">
        <v>2.5</v>
      </c>
      <c r="K433" s="3">
        <v>81.63</v>
      </c>
      <c r="L433" s="3">
        <f t="shared" si="66"/>
        <v>32.652000000000001</v>
      </c>
      <c r="M433" s="13"/>
      <c r="N433">
        <f>_xlfn.XLOOKUP(G433,'Tarievensheet per persoon'!AE:AE,'Tarievensheet per persoon'!AF:AF)</f>
        <v>1.7068000000000001</v>
      </c>
      <c r="O433">
        <f>_xlfn.XLOOKUP(G433,AE:AE,'Tarievensheet per persoon'!AG:AG)</f>
        <v>1.5528</v>
      </c>
      <c r="P433">
        <f>_xlfn.XLOOKUP(G433,AE:AE,'Tarievensheet per persoon'!AH:AH)</f>
        <v>1.3391999999999999</v>
      </c>
      <c r="Q433">
        <f>_xlfn.XLOOKUP(G433,AE:AE,'Tarievensheet per persoon'!AI:AI)</f>
        <v>1.3391999999999999</v>
      </c>
      <c r="R433">
        <v>0</v>
      </c>
      <c r="S433" s="14">
        <v>2.99</v>
      </c>
      <c r="T433" s="10">
        <f t="shared" si="67"/>
        <v>32.654184000000001</v>
      </c>
      <c r="U433" s="10">
        <f t="shared" si="68"/>
        <v>41.560113120000004</v>
      </c>
      <c r="V433" s="10">
        <f t="shared" si="69"/>
        <v>42.099866400000003</v>
      </c>
      <c r="W433" s="10">
        <f t="shared" si="70"/>
        <v>54.244315200000003</v>
      </c>
      <c r="X433" s="10">
        <f t="shared" si="71"/>
        <v>59.641847999999996</v>
      </c>
      <c r="Y433" s="10">
        <f t="shared" si="72"/>
        <v>86.629512000000005</v>
      </c>
      <c r="Z433" s="10">
        <f t="shared" si="73"/>
        <v>30.710534399999997</v>
      </c>
      <c r="AA433" s="10">
        <f t="shared" si="74"/>
        <v>39.484972799999994</v>
      </c>
      <c r="AB433" s="10">
        <f t="shared" si="75"/>
        <v>43.872191999999998</v>
      </c>
      <c r="AC433" s="10">
        <f t="shared" si="76"/>
        <v>65.808288000000005</v>
      </c>
    </row>
    <row r="434" spans="1:29" x14ac:dyDescent="0.25">
      <c r="A434">
        <v>425133</v>
      </c>
      <c r="B434" t="s">
        <v>148</v>
      </c>
      <c r="C434" s="10">
        <v>17.38</v>
      </c>
      <c r="D434" s="10">
        <v>16.38</v>
      </c>
      <c r="E434" s="10">
        <v>0</v>
      </c>
      <c r="F434">
        <v>60</v>
      </c>
      <c r="G434" t="s">
        <v>19</v>
      </c>
      <c r="H434" s="11">
        <v>45986</v>
      </c>
      <c r="I434" t="s">
        <v>21</v>
      </c>
      <c r="J434" s="12">
        <v>5.25</v>
      </c>
      <c r="K434" s="3">
        <v>218.19</v>
      </c>
      <c r="L434" s="3">
        <f t="shared" si="66"/>
        <v>41.56</v>
      </c>
      <c r="M434" s="13"/>
      <c r="N434">
        <f>_xlfn.XLOOKUP(G434,'Tarievensheet per persoon'!AE:AE,'Tarievensheet per persoon'!AF:AF)</f>
        <v>1.7068000000000001</v>
      </c>
      <c r="O434">
        <f>_xlfn.XLOOKUP(G434,AE:AE,'Tarievensheet per persoon'!AG:AG)</f>
        <v>1.5528</v>
      </c>
      <c r="P434">
        <f>_xlfn.XLOOKUP(G434,AE:AE,'Tarievensheet per persoon'!AH:AH)</f>
        <v>1.3391999999999999</v>
      </c>
      <c r="Q434">
        <f>_xlfn.XLOOKUP(G434,AE:AE,'Tarievensheet per persoon'!AI:AI)</f>
        <v>1.3391999999999999</v>
      </c>
      <c r="R434">
        <v>0</v>
      </c>
      <c r="S434" s="14">
        <v>2.99</v>
      </c>
      <c r="T434" s="10">
        <f t="shared" si="67"/>
        <v>32.654184000000001</v>
      </c>
      <c r="U434" s="10">
        <f t="shared" si="68"/>
        <v>41.560113120000004</v>
      </c>
      <c r="V434" s="10">
        <f t="shared" si="69"/>
        <v>42.099866400000003</v>
      </c>
      <c r="W434" s="10">
        <f t="shared" si="70"/>
        <v>54.244315200000003</v>
      </c>
      <c r="X434" s="10">
        <f t="shared" si="71"/>
        <v>59.641847999999996</v>
      </c>
      <c r="Y434" s="10">
        <f t="shared" si="72"/>
        <v>86.629512000000005</v>
      </c>
      <c r="Z434" s="10">
        <f t="shared" si="73"/>
        <v>30.710534399999997</v>
      </c>
      <c r="AA434" s="10">
        <f t="shared" si="74"/>
        <v>39.484972799999994</v>
      </c>
      <c r="AB434" s="10">
        <f t="shared" si="75"/>
        <v>43.872191999999998</v>
      </c>
      <c r="AC434" s="10">
        <f t="shared" si="76"/>
        <v>65.808288000000005</v>
      </c>
    </row>
    <row r="435" spans="1:29" x14ac:dyDescent="0.25">
      <c r="A435">
        <v>425133</v>
      </c>
      <c r="B435" t="s">
        <v>148</v>
      </c>
      <c r="C435" s="10">
        <v>17.38</v>
      </c>
      <c r="D435" s="10">
        <v>16.38</v>
      </c>
      <c r="E435" s="10">
        <v>0</v>
      </c>
      <c r="F435">
        <v>60</v>
      </c>
      <c r="G435" t="s">
        <v>19</v>
      </c>
      <c r="H435" s="11">
        <v>45986</v>
      </c>
      <c r="I435" t="s">
        <v>22</v>
      </c>
      <c r="J435" s="12">
        <v>1</v>
      </c>
      <c r="K435" s="3">
        <v>42.1</v>
      </c>
      <c r="L435" s="3">
        <f t="shared" si="66"/>
        <v>42.1</v>
      </c>
      <c r="M435" s="13"/>
      <c r="N435">
        <f>_xlfn.XLOOKUP(G435,'Tarievensheet per persoon'!AE:AE,'Tarievensheet per persoon'!AF:AF)</f>
        <v>1.7068000000000001</v>
      </c>
      <c r="O435">
        <f>_xlfn.XLOOKUP(G435,AE:AE,'Tarievensheet per persoon'!AG:AG)</f>
        <v>1.5528</v>
      </c>
      <c r="P435">
        <f>_xlfn.XLOOKUP(G435,AE:AE,'Tarievensheet per persoon'!AH:AH)</f>
        <v>1.3391999999999999</v>
      </c>
      <c r="Q435">
        <f>_xlfn.XLOOKUP(G435,AE:AE,'Tarievensheet per persoon'!AI:AI)</f>
        <v>1.3391999999999999</v>
      </c>
      <c r="R435">
        <v>0</v>
      </c>
      <c r="S435" s="14">
        <v>2.99</v>
      </c>
      <c r="T435" s="10">
        <f t="shared" si="67"/>
        <v>32.654184000000001</v>
      </c>
      <c r="U435" s="10">
        <f t="shared" si="68"/>
        <v>41.560113120000004</v>
      </c>
      <c r="V435" s="10">
        <f t="shared" si="69"/>
        <v>42.099866400000003</v>
      </c>
      <c r="W435" s="10">
        <f t="shared" si="70"/>
        <v>54.244315200000003</v>
      </c>
      <c r="X435" s="10">
        <f t="shared" si="71"/>
        <v>59.641847999999996</v>
      </c>
      <c r="Y435" s="10">
        <f t="shared" si="72"/>
        <v>86.629512000000005</v>
      </c>
      <c r="Z435" s="10">
        <f t="shared" si="73"/>
        <v>30.710534399999997</v>
      </c>
      <c r="AA435" s="10">
        <f t="shared" si="74"/>
        <v>39.484972799999994</v>
      </c>
      <c r="AB435" s="10">
        <f t="shared" si="75"/>
        <v>43.872191999999998</v>
      </c>
      <c r="AC435" s="10">
        <f t="shared" si="76"/>
        <v>65.808288000000005</v>
      </c>
    </row>
    <row r="436" spans="1:29" x14ac:dyDescent="0.25">
      <c r="A436">
        <v>425133</v>
      </c>
      <c r="B436" t="s">
        <v>148</v>
      </c>
      <c r="C436" s="10">
        <v>17.38</v>
      </c>
      <c r="D436" s="10">
        <v>16.38</v>
      </c>
      <c r="E436" s="10">
        <v>0</v>
      </c>
      <c r="F436">
        <v>60</v>
      </c>
      <c r="G436" t="s">
        <v>19</v>
      </c>
      <c r="H436" s="11">
        <v>45987</v>
      </c>
      <c r="I436" t="s">
        <v>13</v>
      </c>
      <c r="J436" s="12">
        <v>0.5</v>
      </c>
      <c r="K436" s="3">
        <v>16.329999999999998</v>
      </c>
      <c r="L436" s="3">
        <f t="shared" si="66"/>
        <v>32.659999999999997</v>
      </c>
      <c r="M436" s="13"/>
      <c r="N436">
        <f>_xlfn.XLOOKUP(G436,'Tarievensheet per persoon'!AE:AE,'Tarievensheet per persoon'!AF:AF)</f>
        <v>1.7068000000000001</v>
      </c>
      <c r="O436">
        <f>_xlfn.XLOOKUP(G436,AE:AE,'Tarievensheet per persoon'!AG:AG)</f>
        <v>1.5528</v>
      </c>
      <c r="P436">
        <f>_xlfn.XLOOKUP(G436,AE:AE,'Tarievensheet per persoon'!AH:AH)</f>
        <v>1.3391999999999999</v>
      </c>
      <c r="Q436">
        <f>_xlfn.XLOOKUP(G436,AE:AE,'Tarievensheet per persoon'!AI:AI)</f>
        <v>1.3391999999999999</v>
      </c>
      <c r="R436">
        <v>0</v>
      </c>
      <c r="S436" s="14">
        <v>2.99</v>
      </c>
      <c r="T436" s="10">
        <f t="shared" si="67"/>
        <v>32.654184000000001</v>
      </c>
      <c r="U436" s="10">
        <f t="shared" si="68"/>
        <v>41.560113120000004</v>
      </c>
      <c r="V436" s="10">
        <f t="shared" si="69"/>
        <v>42.099866400000003</v>
      </c>
      <c r="W436" s="10">
        <f t="shared" si="70"/>
        <v>54.244315200000003</v>
      </c>
      <c r="X436" s="10">
        <f t="shared" si="71"/>
        <v>59.641847999999996</v>
      </c>
      <c r="Y436" s="10">
        <f t="shared" si="72"/>
        <v>86.629512000000005</v>
      </c>
      <c r="Z436" s="10">
        <f t="shared" si="73"/>
        <v>30.710534399999997</v>
      </c>
      <c r="AA436" s="10">
        <f t="shared" si="74"/>
        <v>39.484972799999994</v>
      </c>
      <c r="AB436" s="10">
        <f t="shared" si="75"/>
        <v>43.872191999999998</v>
      </c>
      <c r="AC436" s="10">
        <f t="shared" si="76"/>
        <v>65.808288000000005</v>
      </c>
    </row>
    <row r="437" spans="1:29" x14ac:dyDescent="0.25">
      <c r="A437">
        <v>425133</v>
      </c>
      <c r="B437" t="s">
        <v>148</v>
      </c>
      <c r="C437" s="10">
        <v>17.38</v>
      </c>
      <c r="D437" s="10">
        <v>16.38</v>
      </c>
      <c r="E437" s="10">
        <v>0</v>
      </c>
      <c r="F437">
        <v>60</v>
      </c>
      <c r="G437" t="s">
        <v>19</v>
      </c>
      <c r="H437" s="11">
        <v>45987</v>
      </c>
      <c r="I437" t="s">
        <v>23</v>
      </c>
      <c r="J437" s="12">
        <v>2.25</v>
      </c>
      <c r="K437" s="3">
        <v>69.12</v>
      </c>
      <c r="L437" s="3">
        <f t="shared" si="66"/>
        <v>30.720000000000002</v>
      </c>
      <c r="M437" s="13"/>
      <c r="N437">
        <f>_xlfn.XLOOKUP(G437,'Tarievensheet per persoon'!AE:AE,'Tarievensheet per persoon'!AF:AF)</f>
        <v>1.7068000000000001</v>
      </c>
      <c r="O437">
        <f>_xlfn.XLOOKUP(G437,AE:AE,'Tarievensheet per persoon'!AG:AG)</f>
        <v>1.5528</v>
      </c>
      <c r="P437">
        <f>_xlfn.XLOOKUP(G437,AE:AE,'Tarievensheet per persoon'!AH:AH)</f>
        <v>1.3391999999999999</v>
      </c>
      <c r="Q437">
        <f>_xlfn.XLOOKUP(G437,AE:AE,'Tarievensheet per persoon'!AI:AI)</f>
        <v>1.3391999999999999</v>
      </c>
      <c r="R437">
        <v>0</v>
      </c>
      <c r="S437" s="14">
        <v>2.99</v>
      </c>
      <c r="T437" s="10">
        <f t="shared" si="67"/>
        <v>32.654184000000001</v>
      </c>
      <c r="U437" s="10">
        <f t="shared" si="68"/>
        <v>41.560113120000004</v>
      </c>
      <c r="V437" s="10">
        <f t="shared" si="69"/>
        <v>42.099866400000003</v>
      </c>
      <c r="W437" s="10">
        <f t="shared" si="70"/>
        <v>54.244315200000003</v>
      </c>
      <c r="X437" s="10">
        <f t="shared" si="71"/>
        <v>59.641847999999996</v>
      </c>
      <c r="Y437" s="10">
        <f t="shared" si="72"/>
        <v>86.629512000000005</v>
      </c>
      <c r="Z437" s="10">
        <f t="shared" si="73"/>
        <v>30.710534399999997</v>
      </c>
      <c r="AA437" s="10">
        <f t="shared" si="74"/>
        <v>39.484972799999994</v>
      </c>
      <c r="AB437" s="10">
        <f t="shared" si="75"/>
        <v>43.872191999999998</v>
      </c>
      <c r="AC437" s="10">
        <f t="shared" si="76"/>
        <v>65.808288000000005</v>
      </c>
    </row>
    <row r="438" spans="1:29" x14ac:dyDescent="0.25">
      <c r="A438">
        <v>425133</v>
      </c>
      <c r="B438" t="s">
        <v>148</v>
      </c>
      <c r="C438" s="10">
        <v>17.38</v>
      </c>
      <c r="D438" s="10">
        <v>16.38</v>
      </c>
      <c r="E438" s="10">
        <v>0</v>
      </c>
      <c r="F438">
        <v>60</v>
      </c>
      <c r="G438" t="s">
        <v>19</v>
      </c>
      <c r="H438" s="11">
        <v>45987</v>
      </c>
      <c r="I438" t="s">
        <v>21</v>
      </c>
      <c r="J438" s="12">
        <v>5.25</v>
      </c>
      <c r="K438" s="3">
        <v>218.19</v>
      </c>
      <c r="L438" s="3">
        <f t="shared" si="66"/>
        <v>41.56</v>
      </c>
      <c r="M438" s="13"/>
      <c r="N438">
        <f>_xlfn.XLOOKUP(G438,'Tarievensheet per persoon'!AE:AE,'Tarievensheet per persoon'!AF:AF)</f>
        <v>1.7068000000000001</v>
      </c>
      <c r="O438">
        <f>_xlfn.XLOOKUP(G438,AE:AE,'Tarievensheet per persoon'!AG:AG)</f>
        <v>1.5528</v>
      </c>
      <c r="P438">
        <f>_xlfn.XLOOKUP(G438,AE:AE,'Tarievensheet per persoon'!AH:AH)</f>
        <v>1.3391999999999999</v>
      </c>
      <c r="Q438">
        <f>_xlfn.XLOOKUP(G438,AE:AE,'Tarievensheet per persoon'!AI:AI)</f>
        <v>1.3391999999999999</v>
      </c>
      <c r="R438">
        <v>0</v>
      </c>
      <c r="S438" s="14">
        <v>2.99</v>
      </c>
      <c r="T438" s="10">
        <f t="shared" si="67"/>
        <v>32.654184000000001</v>
      </c>
      <c r="U438" s="10">
        <f t="shared" si="68"/>
        <v>41.560113120000004</v>
      </c>
      <c r="V438" s="10">
        <f t="shared" si="69"/>
        <v>42.099866400000003</v>
      </c>
      <c r="W438" s="10">
        <f t="shared" si="70"/>
        <v>54.244315200000003</v>
      </c>
      <c r="X438" s="10">
        <f t="shared" si="71"/>
        <v>59.641847999999996</v>
      </c>
      <c r="Y438" s="10">
        <f t="shared" si="72"/>
        <v>86.629512000000005</v>
      </c>
      <c r="Z438" s="10">
        <f t="shared" si="73"/>
        <v>30.710534399999997</v>
      </c>
      <c r="AA438" s="10">
        <f t="shared" si="74"/>
        <v>39.484972799999994</v>
      </c>
      <c r="AB438" s="10">
        <f t="shared" si="75"/>
        <v>43.872191999999998</v>
      </c>
      <c r="AC438" s="10">
        <f t="shared" si="76"/>
        <v>65.808288000000005</v>
      </c>
    </row>
    <row r="439" spans="1:29" x14ac:dyDescent="0.25">
      <c r="A439">
        <v>425133</v>
      </c>
      <c r="B439" t="s">
        <v>148</v>
      </c>
      <c r="C439" s="10">
        <v>17.38</v>
      </c>
      <c r="D439" s="10">
        <v>16.38</v>
      </c>
      <c r="E439" s="10">
        <v>0</v>
      </c>
      <c r="F439">
        <v>60</v>
      </c>
      <c r="G439" t="s">
        <v>19</v>
      </c>
      <c r="H439" s="11">
        <v>45987</v>
      </c>
      <c r="I439" t="s">
        <v>22</v>
      </c>
      <c r="J439" s="12">
        <v>0.75</v>
      </c>
      <c r="K439" s="3">
        <v>31.58</v>
      </c>
      <c r="L439" s="3">
        <f t="shared" si="66"/>
        <v>42.106666666666662</v>
      </c>
      <c r="M439" s="13"/>
      <c r="N439">
        <f>_xlfn.XLOOKUP(G439,'Tarievensheet per persoon'!AE:AE,'Tarievensheet per persoon'!AF:AF)</f>
        <v>1.7068000000000001</v>
      </c>
      <c r="O439">
        <f>_xlfn.XLOOKUP(G439,AE:AE,'Tarievensheet per persoon'!AG:AG)</f>
        <v>1.5528</v>
      </c>
      <c r="P439">
        <f>_xlfn.XLOOKUP(G439,AE:AE,'Tarievensheet per persoon'!AH:AH)</f>
        <v>1.3391999999999999</v>
      </c>
      <c r="Q439">
        <f>_xlfn.XLOOKUP(G439,AE:AE,'Tarievensheet per persoon'!AI:AI)</f>
        <v>1.3391999999999999</v>
      </c>
      <c r="R439">
        <v>0</v>
      </c>
      <c r="S439" s="14">
        <v>2.99</v>
      </c>
      <c r="T439" s="10">
        <f t="shared" si="67"/>
        <v>32.654184000000001</v>
      </c>
      <c r="U439" s="10">
        <f t="shared" si="68"/>
        <v>41.560113120000004</v>
      </c>
      <c r="V439" s="10">
        <f t="shared" si="69"/>
        <v>42.099866400000003</v>
      </c>
      <c r="W439" s="10">
        <f t="shared" si="70"/>
        <v>54.244315200000003</v>
      </c>
      <c r="X439" s="10">
        <f t="shared" si="71"/>
        <v>59.641847999999996</v>
      </c>
      <c r="Y439" s="10">
        <f t="shared" si="72"/>
        <v>86.629512000000005</v>
      </c>
      <c r="Z439" s="10">
        <f t="shared" si="73"/>
        <v>30.710534399999997</v>
      </c>
      <c r="AA439" s="10">
        <f t="shared" si="74"/>
        <v>39.484972799999994</v>
      </c>
      <c r="AB439" s="10">
        <f t="shared" si="75"/>
        <v>43.872191999999998</v>
      </c>
      <c r="AC439" s="10">
        <f t="shared" si="76"/>
        <v>65.808288000000005</v>
      </c>
    </row>
    <row r="440" spans="1:29" x14ac:dyDescent="0.25">
      <c r="A440">
        <v>425133</v>
      </c>
      <c r="B440" t="s">
        <v>148</v>
      </c>
      <c r="C440" s="10">
        <v>17.38</v>
      </c>
      <c r="D440" s="10">
        <v>16.38</v>
      </c>
      <c r="E440" s="10">
        <v>0</v>
      </c>
      <c r="F440">
        <v>60</v>
      </c>
      <c r="G440" t="s">
        <v>19</v>
      </c>
      <c r="H440" s="11">
        <v>45988</v>
      </c>
      <c r="I440" t="s">
        <v>13</v>
      </c>
      <c r="J440" s="12">
        <v>2.75</v>
      </c>
      <c r="K440" s="3">
        <v>89.79</v>
      </c>
      <c r="L440" s="3">
        <f t="shared" si="66"/>
        <v>32.650909090909096</v>
      </c>
      <c r="M440" s="13"/>
      <c r="N440">
        <f>_xlfn.XLOOKUP(G440,'Tarievensheet per persoon'!AE:AE,'Tarievensheet per persoon'!AF:AF)</f>
        <v>1.7068000000000001</v>
      </c>
      <c r="O440">
        <f>_xlfn.XLOOKUP(G440,AE:AE,'Tarievensheet per persoon'!AG:AG)</f>
        <v>1.5528</v>
      </c>
      <c r="P440">
        <f>_xlfn.XLOOKUP(G440,AE:AE,'Tarievensheet per persoon'!AH:AH)</f>
        <v>1.3391999999999999</v>
      </c>
      <c r="Q440">
        <f>_xlfn.XLOOKUP(G440,AE:AE,'Tarievensheet per persoon'!AI:AI)</f>
        <v>1.3391999999999999</v>
      </c>
      <c r="R440">
        <v>0</v>
      </c>
      <c r="S440" s="14">
        <v>2.99</v>
      </c>
      <c r="T440" s="10">
        <f t="shared" si="67"/>
        <v>32.654184000000001</v>
      </c>
      <c r="U440" s="10">
        <f t="shared" si="68"/>
        <v>41.560113120000004</v>
      </c>
      <c r="V440" s="10">
        <f t="shared" si="69"/>
        <v>42.099866400000003</v>
      </c>
      <c r="W440" s="10">
        <f t="shared" si="70"/>
        <v>54.244315200000003</v>
      </c>
      <c r="X440" s="10">
        <f t="shared" si="71"/>
        <v>59.641847999999996</v>
      </c>
      <c r="Y440" s="10">
        <f t="shared" si="72"/>
        <v>86.629512000000005</v>
      </c>
      <c r="Z440" s="10">
        <f t="shared" si="73"/>
        <v>30.710534399999997</v>
      </c>
      <c r="AA440" s="10">
        <f t="shared" si="74"/>
        <v>39.484972799999994</v>
      </c>
      <c r="AB440" s="10">
        <f t="shared" si="75"/>
        <v>43.872191999999998</v>
      </c>
      <c r="AC440" s="10">
        <f t="shared" si="76"/>
        <v>65.808288000000005</v>
      </c>
    </row>
    <row r="441" spans="1:29" x14ac:dyDescent="0.25">
      <c r="A441">
        <v>425133</v>
      </c>
      <c r="B441" t="s">
        <v>148</v>
      </c>
      <c r="C441" s="10">
        <v>17.38</v>
      </c>
      <c r="D441" s="10">
        <v>16.38</v>
      </c>
      <c r="E441" s="10">
        <v>0</v>
      </c>
      <c r="F441">
        <v>60</v>
      </c>
      <c r="G441" t="s">
        <v>19</v>
      </c>
      <c r="H441" s="11">
        <v>45988</v>
      </c>
      <c r="I441" t="s">
        <v>21</v>
      </c>
      <c r="J441" s="12">
        <v>5.25</v>
      </c>
      <c r="K441" s="3">
        <v>218.19</v>
      </c>
      <c r="L441" s="3">
        <f t="shared" si="66"/>
        <v>41.56</v>
      </c>
      <c r="M441" s="13"/>
      <c r="N441">
        <f>_xlfn.XLOOKUP(G441,'Tarievensheet per persoon'!AE:AE,'Tarievensheet per persoon'!AF:AF)</f>
        <v>1.7068000000000001</v>
      </c>
      <c r="O441">
        <f>_xlfn.XLOOKUP(G441,AE:AE,'Tarievensheet per persoon'!AG:AG)</f>
        <v>1.5528</v>
      </c>
      <c r="P441">
        <f>_xlfn.XLOOKUP(G441,AE:AE,'Tarievensheet per persoon'!AH:AH)</f>
        <v>1.3391999999999999</v>
      </c>
      <c r="Q441">
        <f>_xlfn.XLOOKUP(G441,AE:AE,'Tarievensheet per persoon'!AI:AI)</f>
        <v>1.3391999999999999</v>
      </c>
      <c r="R441">
        <v>0</v>
      </c>
      <c r="S441" s="14">
        <v>2.99</v>
      </c>
      <c r="T441" s="10">
        <f t="shared" si="67"/>
        <v>32.654184000000001</v>
      </c>
      <c r="U441" s="10">
        <f t="shared" si="68"/>
        <v>41.560113120000004</v>
      </c>
      <c r="V441" s="10">
        <f t="shared" si="69"/>
        <v>42.099866400000003</v>
      </c>
      <c r="W441" s="10">
        <f t="shared" si="70"/>
        <v>54.244315200000003</v>
      </c>
      <c r="X441" s="10">
        <f t="shared" si="71"/>
        <v>59.641847999999996</v>
      </c>
      <c r="Y441" s="10">
        <f t="shared" si="72"/>
        <v>86.629512000000005</v>
      </c>
      <c r="Z441" s="10">
        <f t="shared" si="73"/>
        <v>30.710534399999997</v>
      </c>
      <c r="AA441" s="10">
        <f t="shared" si="74"/>
        <v>39.484972799999994</v>
      </c>
      <c r="AB441" s="10">
        <f t="shared" si="75"/>
        <v>43.872191999999998</v>
      </c>
      <c r="AC441" s="10">
        <f t="shared" si="76"/>
        <v>65.808288000000005</v>
      </c>
    </row>
    <row r="442" spans="1:29" x14ac:dyDescent="0.25">
      <c r="A442">
        <v>425133</v>
      </c>
      <c r="B442" t="s">
        <v>148</v>
      </c>
      <c r="C442" s="10">
        <v>17.38</v>
      </c>
      <c r="D442" s="10">
        <v>16.38</v>
      </c>
      <c r="E442" s="10">
        <v>0</v>
      </c>
      <c r="F442">
        <v>60</v>
      </c>
      <c r="G442" t="s">
        <v>19</v>
      </c>
      <c r="H442" s="11">
        <v>45988</v>
      </c>
      <c r="I442" t="s">
        <v>22</v>
      </c>
      <c r="J442" s="12">
        <v>0.75</v>
      </c>
      <c r="K442" s="3">
        <v>31.58</v>
      </c>
      <c r="L442" s="3">
        <f t="shared" si="66"/>
        <v>42.106666666666662</v>
      </c>
      <c r="M442" s="13"/>
      <c r="N442">
        <f>_xlfn.XLOOKUP(G442,'Tarievensheet per persoon'!AE:AE,'Tarievensheet per persoon'!AF:AF)</f>
        <v>1.7068000000000001</v>
      </c>
      <c r="O442">
        <f>_xlfn.XLOOKUP(G442,AE:AE,'Tarievensheet per persoon'!AG:AG)</f>
        <v>1.5528</v>
      </c>
      <c r="P442">
        <f>_xlfn.XLOOKUP(G442,AE:AE,'Tarievensheet per persoon'!AH:AH)</f>
        <v>1.3391999999999999</v>
      </c>
      <c r="Q442">
        <f>_xlfn.XLOOKUP(G442,AE:AE,'Tarievensheet per persoon'!AI:AI)</f>
        <v>1.3391999999999999</v>
      </c>
      <c r="R442">
        <v>0</v>
      </c>
      <c r="S442" s="14">
        <v>2.99</v>
      </c>
      <c r="T442" s="10">
        <f t="shared" si="67"/>
        <v>32.654184000000001</v>
      </c>
      <c r="U442" s="10">
        <f t="shared" si="68"/>
        <v>41.560113120000004</v>
      </c>
      <c r="V442" s="10">
        <f t="shared" si="69"/>
        <v>42.099866400000003</v>
      </c>
      <c r="W442" s="10">
        <f t="shared" si="70"/>
        <v>54.244315200000003</v>
      </c>
      <c r="X442" s="10">
        <f t="shared" si="71"/>
        <v>59.641847999999996</v>
      </c>
      <c r="Y442" s="10">
        <f t="shared" si="72"/>
        <v>86.629512000000005</v>
      </c>
      <c r="Z442" s="10">
        <f t="shared" si="73"/>
        <v>30.710534399999997</v>
      </c>
      <c r="AA442" s="10">
        <f t="shared" si="74"/>
        <v>39.484972799999994</v>
      </c>
      <c r="AB442" s="10">
        <f t="shared" si="75"/>
        <v>43.872191999999998</v>
      </c>
      <c r="AC442" s="10">
        <f t="shared" si="76"/>
        <v>65.808288000000005</v>
      </c>
    </row>
    <row r="443" spans="1:29" x14ac:dyDescent="0.25">
      <c r="A443">
        <v>425133</v>
      </c>
      <c r="B443" t="s">
        <v>148</v>
      </c>
      <c r="C443" s="10">
        <v>17.38</v>
      </c>
      <c r="D443" s="10">
        <v>16.38</v>
      </c>
      <c r="E443" s="10">
        <v>0</v>
      </c>
      <c r="F443">
        <v>60</v>
      </c>
      <c r="G443" t="s">
        <v>19</v>
      </c>
      <c r="H443" s="11">
        <v>45989</v>
      </c>
      <c r="I443" t="s">
        <v>13</v>
      </c>
      <c r="J443" s="12">
        <v>2.5</v>
      </c>
      <c r="K443" s="3">
        <v>81.63</v>
      </c>
      <c r="L443" s="3">
        <f t="shared" si="66"/>
        <v>32.652000000000001</v>
      </c>
      <c r="M443" s="13"/>
      <c r="N443">
        <f>_xlfn.XLOOKUP(G443,'Tarievensheet per persoon'!AE:AE,'Tarievensheet per persoon'!AF:AF)</f>
        <v>1.7068000000000001</v>
      </c>
      <c r="O443">
        <f>_xlfn.XLOOKUP(G443,AE:AE,'Tarievensheet per persoon'!AG:AG)</f>
        <v>1.5528</v>
      </c>
      <c r="P443">
        <f>_xlfn.XLOOKUP(G443,AE:AE,'Tarievensheet per persoon'!AH:AH)</f>
        <v>1.3391999999999999</v>
      </c>
      <c r="Q443">
        <f>_xlfn.XLOOKUP(G443,AE:AE,'Tarievensheet per persoon'!AI:AI)</f>
        <v>1.3391999999999999</v>
      </c>
      <c r="R443">
        <v>0</v>
      </c>
      <c r="S443" s="14">
        <v>2.99</v>
      </c>
      <c r="T443" s="10">
        <f t="shared" si="67"/>
        <v>32.654184000000001</v>
      </c>
      <c r="U443" s="10">
        <f t="shared" si="68"/>
        <v>41.560113120000004</v>
      </c>
      <c r="V443" s="10">
        <f t="shared" si="69"/>
        <v>42.099866400000003</v>
      </c>
      <c r="W443" s="10">
        <f t="shared" si="70"/>
        <v>54.244315200000003</v>
      </c>
      <c r="X443" s="10">
        <f t="shared" si="71"/>
        <v>59.641847999999996</v>
      </c>
      <c r="Y443" s="10">
        <f t="shared" si="72"/>
        <v>86.629512000000005</v>
      </c>
      <c r="Z443" s="10">
        <f t="shared" si="73"/>
        <v>30.710534399999997</v>
      </c>
      <c r="AA443" s="10">
        <f t="shared" si="74"/>
        <v>39.484972799999994</v>
      </c>
      <c r="AB443" s="10">
        <f t="shared" si="75"/>
        <v>43.872191999999998</v>
      </c>
      <c r="AC443" s="10">
        <f t="shared" si="76"/>
        <v>65.808288000000005</v>
      </c>
    </row>
    <row r="444" spans="1:29" x14ac:dyDescent="0.25">
      <c r="A444">
        <v>425133</v>
      </c>
      <c r="B444" t="s">
        <v>148</v>
      </c>
      <c r="C444" s="10">
        <v>17.38</v>
      </c>
      <c r="D444" s="10">
        <v>16.38</v>
      </c>
      <c r="E444" s="10">
        <v>0</v>
      </c>
      <c r="F444">
        <v>60</v>
      </c>
      <c r="G444" t="s">
        <v>19</v>
      </c>
      <c r="H444" s="11">
        <v>45989</v>
      </c>
      <c r="I444" t="s">
        <v>21</v>
      </c>
      <c r="J444" s="12">
        <v>5.25</v>
      </c>
      <c r="K444" s="3">
        <v>218.19</v>
      </c>
      <c r="L444" s="3">
        <f t="shared" si="66"/>
        <v>41.56</v>
      </c>
      <c r="M444" s="13"/>
      <c r="N444">
        <f>_xlfn.XLOOKUP(G444,'Tarievensheet per persoon'!AE:AE,'Tarievensheet per persoon'!AF:AF)</f>
        <v>1.7068000000000001</v>
      </c>
      <c r="O444">
        <f>_xlfn.XLOOKUP(G444,AE:AE,'Tarievensheet per persoon'!AG:AG)</f>
        <v>1.5528</v>
      </c>
      <c r="P444">
        <f>_xlfn.XLOOKUP(G444,AE:AE,'Tarievensheet per persoon'!AH:AH)</f>
        <v>1.3391999999999999</v>
      </c>
      <c r="Q444">
        <f>_xlfn.XLOOKUP(G444,AE:AE,'Tarievensheet per persoon'!AI:AI)</f>
        <v>1.3391999999999999</v>
      </c>
      <c r="R444">
        <v>0</v>
      </c>
      <c r="S444" s="14">
        <v>2.99</v>
      </c>
      <c r="T444" s="10">
        <f t="shared" si="67"/>
        <v>32.654184000000001</v>
      </c>
      <c r="U444" s="10">
        <f t="shared" si="68"/>
        <v>41.560113120000004</v>
      </c>
      <c r="V444" s="10">
        <f t="shared" si="69"/>
        <v>42.099866400000003</v>
      </c>
      <c r="W444" s="10">
        <f t="shared" si="70"/>
        <v>54.244315200000003</v>
      </c>
      <c r="X444" s="10">
        <f t="shared" si="71"/>
        <v>59.641847999999996</v>
      </c>
      <c r="Y444" s="10">
        <f t="shared" si="72"/>
        <v>86.629512000000005</v>
      </c>
      <c r="Z444" s="10">
        <f t="shared" si="73"/>
        <v>30.710534399999997</v>
      </c>
      <c r="AA444" s="10">
        <f t="shared" si="74"/>
        <v>39.484972799999994</v>
      </c>
      <c r="AB444" s="10">
        <f t="shared" si="75"/>
        <v>43.872191999999998</v>
      </c>
      <c r="AC444" s="10">
        <f t="shared" si="76"/>
        <v>65.808288000000005</v>
      </c>
    </row>
    <row r="445" spans="1:29" x14ac:dyDescent="0.25">
      <c r="A445">
        <v>425707</v>
      </c>
      <c r="B445" t="s">
        <v>102</v>
      </c>
      <c r="C445" s="10">
        <v>16.91</v>
      </c>
      <c r="D445" s="10">
        <v>15.94</v>
      </c>
      <c r="E445" s="10">
        <v>0</v>
      </c>
      <c r="F445">
        <v>60</v>
      </c>
      <c r="G445" t="s">
        <v>19</v>
      </c>
      <c r="H445" s="11">
        <v>45985</v>
      </c>
      <c r="I445" t="s">
        <v>13</v>
      </c>
      <c r="J445" s="12">
        <v>9</v>
      </c>
      <c r="K445" s="3">
        <v>286.64999999999998</v>
      </c>
      <c r="L445" s="3">
        <f t="shared" si="66"/>
        <v>31.849999999999998</v>
      </c>
      <c r="M445" s="13"/>
      <c r="N445">
        <f>_xlfn.XLOOKUP(G445,'Tarievensheet per persoon'!AE:AE,'Tarievensheet per persoon'!AF:AF)</f>
        <v>1.7068000000000001</v>
      </c>
      <c r="O445">
        <f>_xlfn.XLOOKUP(G445,AE:AE,'Tarievensheet per persoon'!AG:AG)</f>
        <v>1.5528</v>
      </c>
      <c r="P445">
        <f>_xlfn.XLOOKUP(G445,AE:AE,'Tarievensheet per persoon'!AH:AH)</f>
        <v>1.3391999999999999</v>
      </c>
      <c r="Q445">
        <f>_xlfn.XLOOKUP(G445,AE:AE,'Tarievensheet per persoon'!AI:AI)</f>
        <v>1.3391999999999999</v>
      </c>
      <c r="R445">
        <v>0</v>
      </c>
      <c r="S445" s="14">
        <v>2.99</v>
      </c>
      <c r="T445" s="10">
        <f t="shared" si="67"/>
        <v>31.851987999999999</v>
      </c>
      <c r="U445" s="10">
        <f t="shared" si="68"/>
        <v>40.517077839999999</v>
      </c>
      <c r="V445" s="10">
        <f t="shared" si="69"/>
        <v>41.042234800000003</v>
      </c>
      <c r="W445" s="10">
        <f t="shared" si="70"/>
        <v>52.858266399999998</v>
      </c>
      <c r="X445" s="10">
        <f t="shared" si="71"/>
        <v>58.109836000000001</v>
      </c>
      <c r="Y445" s="10">
        <f t="shared" si="72"/>
        <v>84.367683999999997</v>
      </c>
      <c r="Z445" s="10">
        <f t="shared" si="73"/>
        <v>29.885587199999996</v>
      </c>
      <c r="AA445" s="10">
        <f t="shared" si="74"/>
        <v>38.424326399999998</v>
      </c>
      <c r="AB445" s="10">
        <f t="shared" si="75"/>
        <v>42.693695999999996</v>
      </c>
      <c r="AC445" s="10">
        <f t="shared" si="76"/>
        <v>64.040543999999997</v>
      </c>
    </row>
    <row r="446" spans="1:29" x14ac:dyDescent="0.25">
      <c r="A446">
        <v>425707</v>
      </c>
      <c r="B446" t="s">
        <v>102</v>
      </c>
      <c r="C446" s="10">
        <v>16.91</v>
      </c>
      <c r="D446" s="10">
        <v>15.94</v>
      </c>
      <c r="E446" s="10">
        <v>0</v>
      </c>
      <c r="F446">
        <v>60</v>
      </c>
      <c r="G446" t="s">
        <v>19</v>
      </c>
      <c r="H446" s="11">
        <v>45986</v>
      </c>
      <c r="I446" t="s">
        <v>13</v>
      </c>
      <c r="J446" s="12">
        <v>9</v>
      </c>
      <c r="K446" s="3">
        <v>286.64999999999998</v>
      </c>
      <c r="L446" s="3">
        <f t="shared" si="66"/>
        <v>31.849999999999998</v>
      </c>
      <c r="M446" s="13"/>
      <c r="N446">
        <f>_xlfn.XLOOKUP(G446,'Tarievensheet per persoon'!AE:AE,'Tarievensheet per persoon'!AF:AF)</f>
        <v>1.7068000000000001</v>
      </c>
      <c r="O446">
        <f>_xlfn.XLOOKUP(G446,AE:AE,'Tarievensheet per persoon'!AG:AG)</f>
        <v>1.5528</v>
      </c>
      <c r="P446">
        <f>_xlfn.XLOOKUP(G446,AE:AE,'Tarievensheet per persoon'!AH:AH)</f>
        <v>1.3391999999999999</v>
      </c>
      <c r="Q446">
        <f>_xlfn.XLOOKUP(G446,AE:AE,'Tarievensheet per persoon'!AI:AI)</f>
        <v>1.3391999999999999</v>
      </c>
      <c r="R446">
        <v>0</v>
      </c>
      <c r="S446" s="14">
        <v>2.99</v>
      </c>
      <c r="T446" s="10">
        <f t="shared" si="67"/>
        <v>31.851987999999999</v>
      </c>
      <c r="U446" s="10">
        <f t="shared" si="68"/>
        <v>40.517077839999999</v>
      </c>
      <c r="V446" s="10">
        <f t="shared" si="69"/>
        <v>41.042234800000003</v>
      </c>
      <c r="W446" s="10">
        <f t="shared" si="70"/>
        <v>52.858266399999998</v>
      </c>
      <c r="X446" s="10">
        <f t="shared" si="71"/>
        <v>58.109836000000001</v>
      </c>
      <c r="Y446" s="10">
        <f t="shared" si="72"/>
        <v>84.367683999999997</v>
      </c>
      <c r="Z446" s="10">
        <f t="shared" si="73"/>
        <v>29.885587199999996</v>
      </c>
      <c r="AA446" s="10">
        <f t="shared" si="74"/>
        <v>38.424326399999998</v>
      </c>
      <c r="AB446" s="10">
        <f t="shared" si="75"/>
        <v>42.693695999999996</v>
      </c>
      <c r="AC446" s="10">
        <f t="shared" si="76"/>
        <v>64.040543999999997</v>
      </c>
    </row>
    <row r="447" spans="1:29" x14ac:dyDescent="0.25">
      <c r="A447">
        <v>425707</v>
      </c>
      <c r="B447" t="s">
        <v>102</v>
      </c>
      <c r="C447" s="10">
        <v>16.91</v>
      </c>
      <c r="D447" s="10">
        <v>15.94</v>
      </c>
      <c r="E447" s="10">
        <v>0</v>
      </c>
      <c r="F447">
        <v>60</v>
      </c>
      <c r="G447" t="s">
        <v>19</v>
      </c>
      <c r="H447" s="11">
        <v>45987</v>
      </c>
      <c r="I447" t="s">
        <v>13</v>
      </c>
      <c r="J447" s="12">
        <v>9</v>
      </c>
      <c r="K447" s="3">
        <v>286.64999999999998</v>
      </c>
      <c r="L447" s="3">
        <f t="shared" si="66"/>
        <v>31.849999999999998</v>
      </c>
      <c r="M447" s="13"/>
      <c r="N447">
        <f>_xlfn.XLOOKUP(G447,'Tarievensheet per persoon'!AE:AE,'Tarievensheet per persoon'!AF:AF)</f>
        <v>1.7068000000000001</v>
      </c>
      <c r="O447">
        <f>_xlfn.XLOOKUP(G447,AE:AE,'Tarievensheet per persoon'!AG:AG)</f>
        <v>1.5528</v>
      </c>
      <c r="P447">
        <f>_xlfn.XLOOKUP(G447,AE:AE,'Tarievensheet per persoon'!AH:AH)</f>
        <v>1.3391999999999999</v>
      </c>
      <c r="Q447">
        <f>_xlfn.XLOOKUP(G447,AE:AE,'Tarievensheet per persoon'!AI:AI)</f>
        <v>1.3391999999999999</v>
      </c>
      <c r="R447">
        <v>0</v>
      </c>
      <c r="S447" s="14">
        <v>2.99</v>
      </c>
      <c r="T447" s="10">
        <f t="shared" si="67"/>
        <v>31.851987999999999</v>
      </c>
      <c r="U447" s="10">
        <f t="shared" si="68"/>
        <v>40.517077839999999</v>
      </c>
      <c r="V447" s="10">
        <f t="shared" si="69"/>
        <v>41.042234800000003</v>
      </c>
      <c r="W447" s="10">
        <f t="shared" si="70"/>
        <v>52.858266399999998</v>
      </c>
      <c r="X447" s="10">
        <f t="shared" si="71"/>
        <v>58.109836000000001</v>
      </c>
      <c r="Y447" s="10">
        <f t="shared" si="72"/>
        <v>84.367683999999997</v>
      </c>
      <c r="Z447" s="10">
        <f t="shared" si="73"/>
        <v>29.885587199999996</v>
      </c>
      <c r="AA447" s="10">
        <f t="shared" si="74"/>
        <v>38.424326399999998</v>
      </c>
      <c r="AB447" s="10">
        <f t="shared" si="75"/>
        <v>42.693695999999996</v>
      </c>
      <c r="AC447" s="10">
        <f t="shared" si="76"/>
        <v>64.040543999999997</v>
      </c>
    </row>
    <row r="448" spans="1:29" x14ac:dyDescent="0.25">
      <c r="A448">
        <v>425707</v>
      </c>
      <c r="B448" t="s">
        <v>102</v>
      </c>
      <c r="C448" s="10">
        <v>16.91</v>
      </c>
      <c r="D448" s="10">
        <v>15.94</v>
      </c>
      <c r="E448" s="10">
        <v>0</v>
      </c>
      <c r="F448">
        <v>60</v>
      </c>
      <c r="G448" t="s">
        <v>19</v>
      </c>
      <c r="H448" s="11">
        <v>45988</v>
      </c>
      <c r="I448" t="s">
        <v>13</v>
      </c>
      <c r="J448" s="12">
        <v>6.25</v>
      </c>
      <c r="K448" s="3">
        <v>199.06</v>
      </c>
      <c r="L448" s="3">
        <f t="shared" si="66"/>
        <v>31.849599999999999</v>
      </c>
      <c r="M448" s="13"/>
      <c r="N448">
        <f>_xlfn.XLOOKUP(G448,'Tarievensheet per persoon'!AE:AE,'Tarievensheet per persoon'!AF:AF)</f>
        <v>1.7068000000000001</v>
      </c>
      <c r="O448">
        <f>_xlfn.XLOOKUP(G448,AE:AE,'Tarievensheet per persoon'!AG:AG)</f>
        <v>1.5528</v>
      </c>
      <c r="P448">
        <f>_xlfn.XLOOKUP(G448,AE:AE,'Tarievensheet per persoon'!AH:AH)</f>
        <v>1.3391999999999999</v>
      </c>
      <c r="Q448">
        <f>_xlfn.XLOOKUP(G448,AE:AE,'Tarievensheet per persoon'!AI:AI)</f>
        <v>1.3391999999999999</v>
      </c>
      <c r="R448">
        <v>0</v>
      </c>
      <c r="S448" s="14">
        <v>2.99</v>
      </c>
      <c r="T448" s="10">
        <f t="shared" si="67"/>
        <v>31.851987999999999</v>
      </c>
      <c r="U448" s="10">
        <f t="shared" si="68"/>
        <v>40.517077839999999</v>
      </c>
      <c r="V448" s="10">
        <f t="shared" si="69"/>
        <v>41.042234800000003</v>
      </c>
      <c r="W448" s="10">
        <f t="shared" si="70"/>
        <v>52.858266399999998</v>
      </c>
      <c r="X448" s="10">
        <f t="shared" si="71"/>
        <v>58.109836000000001</v>
      </c>
      <c r="Y448" s="10">
        <f t="shared" si="72"/>
        <v>84.367683999999997</v>
      </c>
      <c r="Z448" s="10">
        <f t="shared" si="73"/>
        <v>29.885587199999996</v>
      </c>
      <c r="AA448" s="10">
        <f t="shared" si="74"/>
        <v>38.424326399999998</v>
      </c>
      <c r="AB448" s="10">
        <f t="shared" si="75"/>
        <v>42.693695999999996</v>
      </c>
      <c r="AC448" s="10">
        <f t="shared" si="76"/>
        <v>64.040543999999997</v>
      </c>
    </row>
    <row r="449" spans="1:29" x14ac:dyDescent="0.25">
      <c r="A449">
        <v>425707</v>
      </c>
      <c r="B449" t="s">
        <v>102</v>
      </c>
      <c r="C449" s="10">
        <v>16.91</v>
      </c>
      <c r="D449" s="10">
        <v>15.94</v>
      </c>
      <c r="E449" s="10">
        <v>0</v>
      </c>
      <c r="F449">
        <v>60</v>
      </c>
      <c r="G449" t="s">
        <v>19</v>
      </c>
      <c r="H449" s="11">
        <v>45989</v>
      </c>
      <c r="I449" t="s">
        <v>13</v>
      </c>
      <c r="J449" s="12">
        <v>6.5</v>
      </c>
      <c r="K449" s="3">
        <v>207.03</v>
      </c>
      <c r="L449" s="3">
        <f t="shared" si="66"/>
        <v>31.850769230769231</v>
      </c>
      <c r="M449" s="13"/>
      <c r="N449">
        <f>_xlfn.XLOOKUP(G449,'Tarievensheet per persoon'!AE:AE,'Tarievensheet per persoon'!AF:AF)</f>
        <v>1.7068000000000001</v>
      </c>
      <c r="O449">
        <f>_xlfn.XLOOKUP(G449,AE:AE,'Tarievensheet per persoon'!AG:AG)</f>
        <v>1.5528</v>
      </c>
      <c r="P449">
        <f>_xlfn.XLOOKUP(G449,AE:AE,'Tarievensheet per persoon'!AH:AH)</f>
        <v>1.3391999999999999</v>
      </c>
      <c r="Q449">
        <f>_xlfn.XLOOKUP(G449,AE:AE,'Tarievensheet per persoon'!AI:AI)</f>
        <v>1.3391999999999999</v>
      </c>
      <c r="R449">
        <v>0</v>
      </c>
      <c r="S449" s="14">
        <v>2.99</v>
      </c>
      <c r="T449" s="10">
        <f t="shared" si="67"/>
        <v>31.851987999999999</v>
      </c>
      <c r="U449" s="10">
        <f t="shared" si="68"/>
        <v>40.517077839999999</v>
      </c>
      <c r="V449" s="10">
        <f t="shared" si="69"/>
        <v>41.042234800000003</v>
      </c>
      <c r="W449" s="10">
        <f t="shared" si="70"/>
        <v>52.858266399999998</v>
      </c>
      <c r="X449" s="10">
        <f t="shared" si="71"/>
        <v>58.109836000000001</v>
      </c>
      <c r="Y449" s="10">
        <f t="shared" si="72"/>
        <v>84.367683999999997</v>
      </c>
      <c r="Z449" s="10">
        <f t="shared" si="73"/>
        <v>29.885587199999996</v>
      </c>
      <c r="AA449" s="10">
        <f t="shared" si="74"/>
        <v>38.424326399999998</v>
      </c>
      <c r="AB449" s="10">
        <f t="shared" si="75"/>
        <v>42.693695999999996</v>
      </c>
      <c r="AC449" s="10">
        <f t="shared" si="76"/>
        <v>64.040543999999997</v>
      </c>
    </row>
    <row r="450" spans="1:29" x14ac:dyDescent="0.25">
      <c r="A450">
        <v>429524</v>
      </c>
      <c r="B450" t="s">
        <v>61</v>
      </c>
      <c r="C450" s="10">
        <v>16.91</v>
      </c>
      <c r="D450" s="10">
        <v>15.94</v>
      </c>
      <c r="E450" s="10">
        <v>0</v>
      </c>
      <c r="F450">
        <v>40</v>
      </c>
      <c r="G450" t="s">
        <v>15</v>
      </c>
      <c r="H450" s="11">
        <v>45985</v>
      </c>
      <c r="I450" t="s">
        <v>13</v>
      </c>
      <c r="J450" s="12">
        <v>2.5</v>
      </c>
      <c r="K450" s="3">
        <v>79.45</v>
      </c>
      <c r="L450" s="3">
        <f t="shared" si="66"/>
        <v>31.78</v>
      </c>
      <c r="M450" s="13"/>
      <c r="N450">
        <f>_xlfn.XLOOKUP(G450,'Tarievensheet per persoon'!AE:AE,'Tarievensheet per persoon'!AF:AF)</f>
        <v>1.7024999999999999</v>
      </c>
      <c r="O450">
        <f>_xlfn.XLOOKUP(G450,AE:AE,'Tarievensheet per persoon'!AG:AG)</f>
        <v>1.5642</v>
      </c>
      <c r="P450">
        <f>_xlfn.XLOOKUP(G450,AE:AE,'Tarievensheet per persoon'!AH:AH)</f>
        <v>1.3552</v>
      </c>
      <c r="Q450">
        <f>_xlfn.XLOOKUP(G450,AE:AE,'Tarievensheet per persoon'!AI:AI)</f>
        <v>1.3552</v>
      </c>
      <c r="R450">
        <v>0</v>
      </c>
      <c r="S450" s="14">
        <v>2.99</v>
      </c>
      <c r="T450" s="10">
        <f t="shared" si="67"/>
        <v>31.779274999999998</v>
      </c>
      <c r="U450" s="10">
        <f t="shared" si="68"/>
        <v>40.507980259999997</v>
      </c>
      <c r="V450" s="10">
        <f t="shared" si="69"/>
        <v>41.036992699999999</v>
      </c>
      <c r="W450" s="10">
        <f t="shared" si="70"/>
        <v>52.939772599999998</v>
      </c>
      <c r="X450" s="10">
        <f t="shared" si="71"/>
        <v>58.229896999999994</v>
      </c>
      <c r="Y450" s="10">
        <f t="shared" si="72"/>
        <v>84.680519000000004</v>
      </c>
      <c r="Z450" s="10">
        <f t="shared" si="73"/>
        <v>30.242643199999996</v>
      </c>
      <c r="AA450" s="10">
        <f t="shared" si="74"/>
        <v>38.883398399999997</v>
      </c>
      <c r="AB450" s="10">
        <f t="shared" si="75"/>
        <v>43.203775999999998</v>
      </c>
      <c r="AC450" s="10">
        <f t="shared" si="76"/>
        <v>64.805663999999993</v>
      </c>
    </row>
    <row r="451" spans="1:29" x14ac:dyDescent="0.25">
      <c r="A451">
        <v>429524</v>
      </c>
      <c r="B451" t="s">
        <v>61</v>
      </c>
      <c r="C451" s="10">
        <v>16.91</v>
      </c>
      <c r="D451" s="10">
        <v>15.94</v>
      </c>
      <c r="E451" s="10">
        <v>0</v>
      </c>
      <c r="F451">
        <v>40</v>
      </c>
      <c r="G451" t="s">
        <v>15</v>
      </c>
      <c r="H451" s="11">
        <v>45985</v>
      </c>
      <c r="I451" t="s">
        <v>21</v>
      </c>
      <c r="J451" s="12">
        <v>4.5</v>
      </c>
      <c r="K451" s="3">
        <v>182.3</v>
      </c>
      <c r="L451" s="3">
        <f t="shared" ref="L451:L514" si="77">K451/J451</f>
        <v>40.511111111111113</v>
      </c>
      <c r="M451" s="13"/>
      <c r="N451">
        <f>_xlfn.XLOOKUP(G451,'Tarievensheet per persoon'!AE:AE,'Tarievensheet per persoon'!AF:AF)</f>
        <v>1.7024999999999999</v>
      </c>
      <c r="O451">
        <f>_xlfn.XLOOKUP(G451,AE:AE,'Tarievensheet per persoon'!AG:AG)</f>
        <v>1.5642</v>
      </c>
      <c r="P451">
        <f>_xlfn.XLOOKUP(G451,AE:AE,'Tarievensheet per persoon'!AH:AH)</f>
        <v>1.3552</v>
      </c>
      <c r="Q451">
        <f>_xlfn.XLOOKUP(G451,AE:AE,'Tarievensheet per persoon'!AI:AI)</f>
        <v>1.3552</v>
      </c>
      <c r="R451">
        <v>0</v>
      </c>
      <c r="S451" s="14">
        <v>2.99</v>
      </c>
      <c r="T451" s="10">
        <f t="shared" ref="T451:T514" si="78">C451*N451+C451*Q451*R451+S451+(E451*O451)</f>
        <v>31.779274999999998</v>
      </c>
      <c r="U451" s="10">
        <f t="shared" ref="U451:U514" si="79">T451+C451*(U$1-1)*O451</f>
        <v>40.507980259999997</v>
      </c>
      <c r="V451" s="10">
        <f t="shared" ref="V451:V514" si="80">T451+C451*(V$1-1)*O451</f>
        <v>41.036992699999999</v>
      </c>
      <c r="W451" s="10">
        <f t="shared" ref="W451:W514" si="81">T451+C451*(W$1-1)*O451</f>
        <v>52.939772599999998</v>
      </c>
      <c r="X451" s="10">
        <f t="shared" ref="X451:X514" si="82">T451+C451*(X$1-1)*O451</f>
        <v>58.229896999999994</v>
      </c>
      <c r="Y451" s="10">
        <f t="shared" ref="Y451:Y514" si="83">T451+C451*(Y$1-1)*O451</f>
        <v>84.680519000000004</v>
      </c>
      <c r="Z451" s="10">
        <f t="shared" ref="Z451:Z514" si="84">D451*Z$1*P451</f>
        <v>30.242643199999996</v>
      </c>
      <c r="AA451" s="10">
        <f t="shared" ref="AA451:AA514" si="85">D451*AA$1*P451</f>
        <v>38.883398399999997</v>
      </c>
      <c r="AB451" s="10">
        <f t="shared" ref="AB451:AB514" si="86">D451*AB$1*P451</f>
        <v>43.203775999999998</v>
      </c>
      <c r="AC451" s="10">
        <f t="shared" ref="AC451:AC514" si="87">D451*AC$1*P451</f>
        <v>64.805663999999993</v>
      </c>
    </row>
    <row r="452" spans="1:29" x14ac:dyDescent="0.25">
      <c r="A452">
        <v>429524</v>
      </c>
      <c r="B452" t="s">
        <v>61</v>
      </c>
      <c r="C452" s="10">
        <v>16.91</v>
      </c>
      <c r="D452" s="10">
        <v>15.94</v>
      </c>
      <c r="E452" s="10">
        <v>0</v>
      </c>
      <c r="F452">
        <v>40</v>
      </c>
      <c r="G452" t="s">
        <v>15</v>
      </c>
      <c r="H452" s="11">
        <v>45986</v>
      </c>
      <c r="I452" t="s">
        <v>13</v>
      </c>
      <c r="J452" s="12">
        <v>2.75</v>
      </c>
      <c r="K452" s="3">
        <v>87.4</v>
      </c>
      <c r="L452" s="3">
        <f t="shared" si="77"/>
        <v>31.781818181818185</v>
      </c>
      <c r="M452" s="13"/>
      <c r="N452">
        <f>_xlfn.XLOOKUP(G452,'Tarievensheet per persoon'!AE:AE,'Tarievensheet per persoon'!AF:AF)</f>
        <v>1.7024999999999999</v>
      </c>
      <c r="O452">
        <f>_xlfn.XLOOKUP(G452,AE:AE,'Tarievensheet per persoon'!AG:AG)</f>
        <v>1.5642</v>
      </c>
      <c r="P452">
        <f>_xlfn.XLOOKUP(G452,AE:AE,'Tarievensheet per persoon'!AH:AH)</f>
        <v>1.3552</v>
      </c>
      <c r="Q452">
        <f>_xlfn.XLOOKUP(G452,AE:AE,'Tarievensheet per persoon'!AI:AI)</f>
        <v>1.3552</v>
      </c>
      <c r="R452">
        <v>0</v>
      </c>
      <c r="S452" s="14">
        <v>2.99</v>
      </c>
      <c r="T452" s="10">
        <f t="shared" si="78"/>
        <v>31.779274999999998</v>
      </c>
      <c r="U452" s="10">
        <f t="shared" si="79"/>
        <v>40.507980259999997</v>
      </c>
      <c r="V452" s="10">
        <f t="shared" si="80"/>
        <v>41.036992699999999</v>
      </c>
      <c r="W452" s="10">
        <f t="shared" si="81"/>
        <v>52.939772599999998</v>
      </c>
      <c r="X452" s="10">
        <f t="shared" si="82"/>
        <v>58.229896999999994</v>
      </c>
      <c r="Y452" s="10">
        <f t="shared" si="83"/>
        <v>84.680519000000004</v>
      </c>
      <c r="Z452" s="10">
        <f t="shared" si="84"/>
        <v>30.242643199999996</v>
      </c>
      <c r="AA452" s="10">
        <f t="shared" si="85"/>
        <v>38.883398399999997</v>
      </c>
      <c r="AB452" s="10">
        <f t="shared" si="86"/>
        <v>43.203775999999998</v>
      </c>
      <c r="AC452" s="10">
        <f t="shared" si="87"/>
        <v>64.805663999999993</v>
      </c>
    </row>
    <row r="453" spans="1:29" x14ac:dyDescent="0.25">
      <c r="A453">
        <v>429524</v>
      </c>
      <c r="B453" t="s">
        <v>61</v>
      </c>
      <c r="C453" s="10">
        <v>16.91</v>
      </c>
      <c r="D453" s="10">
        <v>15.94</v>
      </c>
      <c r="E453" s="10">
        <v>0</v>
      </c>
      <c r="F453">
        <v>40</v>
      </c>
      <c r="G453" t="s">
        <v>15</v>
      </c>
      <c r="H453" s="11">
        <v>45986</v>
      </c>
      <c r="I453" t="s">
        <v>21</v>
      </c>
      <c r="J453" s="12">
        <v>4.25</v>
      </c>
      <c r="K453" s="3">
        <v>172.17</v>
      </c>
      <c r="L453" s="3">
        <f t="shared" si="77"/>
        <v>40.510588235294115</v>
      </c>
      <c r="M453" s="13"/>
      <c r="N453">
        <f>_xlfn.XLOOKUP(G453,'Tarievensheet per persoon'!AE:AE,'Tarievensheet per persoon'!AF:AF)</f>
        <v>1.7024999999999999</v>
      </c>
      <c r="O453">
        <f>_xlfn.XLOOKUP(G453,AE:AE,'Tarievensheet per persoon'!AG:AG)</f>
        <v>1.5642</v>
      </c>
      <c r="P453">
        <f>_xlfn.XLOOKUP(G453,AE:AE,'Tarievensheet per persoon'!AH:AH)</f>
        <v>1.3552</v>
      </c>
      <c r="Q453">
        <f>_xlfn.XLOOKUP(G453,AE:AE,'Tarievensheet per persoon'!AI:AI)</f>
        <v>1.3552</v>
      </c>
      <c r="R453">
        <v>0</v>
      </c>
      <c r="S453" s="14">
        <v>2.99</v>
      </c>
      <c r="T453" s="10">
        <f t="shared" si="78"/>
        <v>31.779274999999998</v>
      </c>
      <c r="U453" s="10">
        <f t="shared" si="79"/>
        <v>40.507980259999997</v>
      </c>
      <c r="V453" s="10">
        <f t="shared" si="80"/>
        <v>41.036992699999999</v>
      </c>
      <c r="W453" s="10">
        <f t="shared" si="81"/>
        <v>52.939772599999998</v>
      </c>
      <c r="X453" s="10">
        <f t="shared" si="82"/>
        <v>58.229896999999994</v>
      </c>
      <c r="Y453" s="10">
        <f t="shared" si="83"/>
        <v>84.680519000000004</v>
      </c>
      <c r="Z453" s="10">
        <f t="shared" si="84"/>
        <v>30.242643199999996</v>
      </c>
      <c r="AA453" s="10">
        <f t="shared" si="85"/>
        <v>38.883398399999997</v>
      </c>
      <c r="AB453" s="10">
        <f t="shared" si="86"/>
        <v>43.203775999999998</v>
      </c>
      <c r="AC453" s="10">
        <f t="shared" si="87"/>
        <v>64.805663999999993</v>
      </c>
    </row>
    <row r="454" spans="1:29" x14ac:dyDescent="0.25">
      <c r="A454">
        <v>429524</v>
      </c>
      <c r="B454" t="s">
        <v>61</v>
      </c>
      <c r="C454" s="10">
        <v>16.91</v>
      </c>
      <c r="D454" s="10">
        <v>15.94</v>
      </c>
      <c r="E454" s="10">
        <v>0</v>
      </c>
      <c r="F454">
        <v>40</v>
      </c>
      <c r="G454" t="s">
        <v>15</v>
      </c>
      <c r="H454" s="11">
        <v>45987</v>
      </c>
      <c r="I454" t="s">
        <v>13</v>
      </c>
      <c r="J454" s="12">
        <v>2.5</v>
      </c>
      <c r="K454" s="3">
        <v>79.45</v>
      </c>
      <c r="L454" s="3">
        <f t="shared" si="77"/>
        <v>31.78</v>
      </c>
      <c r="M454" s="13"/>
      <c r="N454">
        <f>_xlfn.XLOOKUP(G454,'Tarievensheet per persoon'!AE:AE,'Tarievensheet per persoon'!AF:AF)</f>
        <v>1.7024999999999999</v>
      </c>
      <c r="O454">
        <f>_xlfn.XLOOKUP(G454,AE:AE,'Tarievensheet per persoon'!AG:AG)</f>
        <v>1.5642</v>
      </c>
      <c r="P454">
        <f>_xlfn.XLOOKUP(G454,AE:AE,'Tarievensheet per persoon'!AH:AH)</f>
        <v>1.3552</v>
      </c>
      <c r="Q454">
        <f>_xlfn.XLOOKUP(G454,AE:AE,'Tarievensheet per persoon'!AI:AI)</f>
        <v>1.3552</v>
      </c>
      <c r="R454">
        <v>0</v>
      </c>
      <c r="S454" s="14">
        <v>2.99</v>
      </c>
      <c r="T454" s="10">
        <f t="shared" si="78"/>
        <v>31.779274999999998</v>
      </c>
      <c r="U454" s="10">
        <f t="shared" si="79"/>
        <v>40.507980259999997</v>
      </c>
      <c r="V454" s="10">
        <f t="shared" si="80"/>
        <v>41.036992699999999</v>
      </c>
      <c r="W454" s="10">
        <f t="shared" si="81"/>
        <v>52.939772599999998</v>
      </c>
      <c r="X454" s="10">
        <f t="shared" si="82"/>
        <v>58.229896999999994</v>
      </c>
      <c r="Y454" s="10">
        <f t="shared" si="83"/>
        <v>84.680519000000004</v>
      </c>
      <c r="Z454" s="10">
        <f t="shared" si="84"/>
        <v>30.242643199999996</v>
      </c>
      <c r="AA454" s="10">
        <f t="shared" si="85"/>
        <v>38.883398399999997</v>
      </c>
      <c r="AB454" s="10">
        <f t="shared" si="86"/>
        <v>43.203775999999998</v>
      </c>
      <c r="AC454" s="10">
        <f t="shared" si="87"/>
        <v>64.805663999999993</v>
      </c>
    </row>
    <row r="455" spans="1:29" x14ac:dyDescent="0.25">
      <c r="A455">
        <v>429524</v>
      </c>
      <c r="B455" t="s">
        <v>61</v>
      </c>
      <c r="C455" s="10">
        <v>16.91</v>
      </c>
      <c r="D455" s="10">
        <v>15.94</v>
      </c>
      <c r="E455" s="10">
        <v>0</v>
      </c>
      <c r="F455">
        <v>40</v>
      </c>
      <c r="G455" t="s">
        <v>15</v>
      </c>
      <c r="H455" s="11">
        <v>45987</v>
      </c>
      <c r="I455" t="s">
        <v>21</v>
      </c>
      <c r="J455" s="12">
        <v>4.25</v>
      </c>
      <c r="K455" s="3">
        <v>172.17</v>
      </c>
      <c r="L455" s="3">
        <f t="shared" si="77"/>
        <v>40.510588235294115</v>
      </c>
      <c r="M455" s="13"/>
      <c r="N455">
        <f>_xlfn.XLOOKUP(G455,'Tarievensheet per persoon'!AE:AE,'Tarievensheet per persoon'!AF:AF)</f>
        <v>1.7024999999999999</v>
      </c>
      <c r="O455">
        <f>_xlfn.XLOOKUP(G455,AE:AE,'Tarievensheet per persoon'!AG:AG)</f>
        <v>1.5642</v>
      </c>
      <c r="P455">
        <f>_xlfn.XLOOKUP(G455,AE:AE,'Tarievensheet per persoon'!AH:AH)</f>
        <v>1.3552</v>
      </c>
      <c r="Q455">
        <f>_xlfn.XLOOKUP(G455,AE:AE,'Tarievensheet per persoon'!AI:AI)</f>
        <v>1.3552</v>
      </c>
      <c r="R455">
        <v>0</v>
      </c>
      <c r="S455" s="14">
        <v>2.99</v>
      </c>
      <c r="T455" s="10">
        <f t="shared" si="78"/>
        <v>31.779274999999998</v>
      </c>
      <c r="U455" s="10">
        <f t="shared" si="79"/>
        <v>40.507980259999997</v>
      </c>
      <c r="V455" s="10">
        <f t="shared" si="80"/>
        <v>41.036992699999999</v>
      </c>
      <c r="W455" s="10">
        <f t="shared" si="81"/>
        <v>52.939772599999998</v>
      </c>
      <c r="X455" s="10">
        <f t="shared" si="82"/>
        <v>58.229896999999994</v>
      </c>
      <c r="Y455" s="10">
        <f t="shared" si="83"/>
        <v>84.680519000000004</v>
      </c>
      <c r="Z455" s="10">
        <f t="shared" si="84"/>
        <v>30.242643199999996</v>
      </c>
      <c r="AA455" s="10">
        <f t="shared" si="85"/>
        <v>38.883398399999997</v>
      </c>
      <c r="AB455" s="10">
        <f t="shared" si="86"/>
        <v>43.203775999999998</v>
      </c>
      <c r="AC455" s="10">
        <f t="shared" si="87"/>
        <v>64.805663999999993</v>
      </c>
    </row>
    <row r="456" spans="1:29" x14ac:dyDescent="0.25">
      <c r="A456">
        <v>429524</v>
      </c>
      <c r="B456" t="s">
        <v>61</v>
      </c>
      <c r="C456" s="10">
        <v>16.91</v>
      </c>
      <c r="D456" s="10">
        <v>15.94</v>
      </c>
      <c r="E456" s="10">
        <v>0</v>
      </c>
      <c r="F456">
        <v>40</v>
      </c>
      <c r="G456" t="s">
        <v>15</v>
      </c>
      <c r="H456" s="11">
        <v>45988</v>
      </c>
      <c r="I456" t="s">
        <v>13</v>
      </c>
      <c r="J456" s="12">
        <v>2.75</v>
      </c>
      <c r="K456" s="3">
        <v>87.4</v>
      </c>
      <c r="L456" s="3">
        <f t="shared" si="77"/>
        <v>31.781818181818185</v>
      </c>
      <c r="M456" s="13"/>
      <c r="N456">
        <f>_xlfn.XLOOKUP(G456,'Tarievensheet per persoon'!AE:AE,'Tarievensheet per persoon'!AF:AF)</f>
        <v>1.7024999999999999</v>
      </c>
      <c r="O456">
        <f>_xlfn.XLOOKUP(G456,AE:AE,'Tarievensheet per persoon'!AG:AG)</f>
        <v>1.5642</v>
      </c>
      <c r="P456">
        <f>_xlfn.XLOOKUP(G456,AE:AE,'Tarievensheet per persoon'!AH:AH)</f>
        <v>1.3552</v>
      </c>
      <c r="Q456">
        <f>_xlfn.XLOOKUP(G456,AE:AE,'Tarievensheet per persoon'!AI:AI)</f>
        <v>1.3552</v>
      </c>
      <c r="R456">
        <v>0</v>
      </c>
      <c r="S456" s="14">
        <v>2.99</v>
      </c>
      <c r="T456" s="10">
        <f t="shared" si="78"/>
        <v>31.779274999999998</v>
      </c>
      <c r="U456" s="10">
        <f t="shared" si="79"/>
        <v>40.507980259999997</v>
      </c>
      <c r="V456" s="10">
        <f t="shared" si="80"/>
        <v>41.036992699999999</v>
      </c>
      <c r="W456" s="10">
        <f t="shared" si="81"/>
        <v>52.939772599999998</v>
      </c>
      <c r="X456" s="10">
        <f t="shared" si="82"/>
        <v>58.229896999999994</v>
      </c>
      <c r="Y456" s="10">
        <f t="shared" si="83"/>
        <v>84.680519000000004</v>
      </c>
      <c r="Z456" s="10">
        <f t="shared" si="84"/>
        <v>30.242643199999996</v>
      </c>
      <c r="AA456" s="10">
        <f t="shared" si="85"/>
        <v>38.883398399999997</v>
      </c>
      <c r="AB456" s="10">
        <f t="shared" si="86"/>
        <v>43.203775999999998</v>
      </c>
      <c r="AC456" s="10">
        <f t="shared" si="87"/>
        <v>64.805663999999993</v>
      </c>
    </row>
    <row r="457" spans="1:29" x14ac:dyDescent="0.25">
      <c r="A457">
        <v>429524</v>
      </c>
      <c r="B457" t="s">
        <v>61</v>
      </c>
      <c r="C457" s="10">
        <v>16.91</v>
      </c>
      <c r="D457" s="10">
        <v>15.94</v>
      </c>
      <c r="E457" s="10">
        <v>0</v>
      </c>
      <c r="F457">
        <v>40</v>
      </c>
      <c r="G457" t="s">
        <v>15</v>
      </c>
      <c r="H457" s="11">
        <v>45988</v>
      </c>
      <c r="I457" t="s">
        <v>21</v>
      </c>
      <c r="J457" s="12">
        <v>3.75</v>
      </c>
      <c r="K457" s="3">
        <v>151.91</v>
      </c>
      <c r="L457" s="3">
        <f t="shared" si="77"/>
        <v>40.509333333333331</v>
      </c>
      <c r="M457" s="13"/>
      <c r="N457">
        <f>_xlfn.XLOOKUP(G457,'Tarievensheet per persoon'!AE:AE,'Tarievensheet per persoon'!AF:AF)</f>
        <v>1.7024999999999999</v>
      </c>
      <c r="O457">
        <f>_xlfn.XLOOKUP(G457,AE:AE,'Tarievensheet per persoon'!AG:AG)</f>
        <v>1.5642</v>
      </c>
      <c r="P457">
        <f>_xlfn.XLOOKUP(G457,AE:AE,'Tarievensheet per persoon'!AH:AH)</f>
        <v>1.3552</v>
      </c>
      <c r="Q457">
        <f>_xlfn.XLOOKUP(G457,AE:AE,'Tarievensheet per persoon'!AI:AI)</f>
        <v>1.3552</v>
      </c>
      <c r="R457">
        <v>0</v>
      </c>
      <c r="S457" s="14">
        <v>2.99</v>
      </c>
      <c r="T457" s="10">
        <f t="shared" si="78"/>
        <v>31.779274999999998</v>
      </c>
      <c r="U457" s="10">
        <f t="shared" si="79"/>
        <v>40.507980259999997</v>
      </c>
      <c r="V457" s="10">
        <f t="shared" si="80"/>
        <v>41.036992699999999</v>
      </c>
      <c r="W457" s="10">
        <f t="shared" si="81"/>
        <v>52.939772599999998</v>
      </c>
      <c r="X457" s="10">
        <f t="shared" si="82"/>
        <v>58.229896999999994</v>
      </c>
      <c r="Y457" s="10">
        <f t="shared" si="83"/>
        <v>84.680519000000004</v>
      </c>
      <c r="Z457" s="10">
        <f t="shared" si="84"/>
        <v>30.242643199999996</v>
      </c>
      <c r="AA457" s="10">
        <f t="shared" si="85"/>
        <v>38.883398399999997</v>
      </c>
      <c r="AB457" s="10">
        <f t="shared" si="86"/>
        <v>43.203775999999998</v>
      </c>
      <c r="AC457" s="10">
        <f t="shared" si="87"/>
        <v>64.805663999999993</v>
      </c>
    </row>
    <row r="458" spans="1:29" x14ac:dyDescent="0.25">
      <c r="A458">
        <v>429524</v>
      </c>
      <c r="B458" t="s">
        <v>61</v>
      </c>
      <c r="C458" s="10">
        <v>16.91</v>
      </c>
      <c r="D458" s="10">
        <v>15.94</v>
      </c>
      <c r="E458" s="10">
        <v>0</v>
      </c>
      <c r="F458">
        <v>40</v>
      </c>
      <c r="G458" t="s">
        <v>15</v>
      </c>
      <c r="H458" s="11">
        <v>45989</v>
      </c>
      <c r="I458" t="s">
        <v>13</v>
      </c>
      <c r="J458" s="12">
        <v>2.75</v>
      </c>
      <c r="K458" s="3">
        <v>87.4</v>
      </c>
      <c r="L458" s="3">
        <f t="shared" si="77"/>
        <v>31.781818181818185</v>
      </c>
      <c r="M458" s="13"/>
      <c r="N458">
        <f>_xlfn.XLOOKUP(G458,'Tarievensheet per persoon'!AE:AE,'Tarievensheet per persoon'!AF:AF)</f>
        <v>1.7024999999999999</v>
      </c>
      <c r="O458">
        <f>_xlfn.XLOOKUP(G458,AE:AE,'Tarievensheet per persoon'!AG:AG)</f>
        <v>1.5642</v>
      </c>
      <c r="P458">
        <f>_xlfn.XLOOKUP(G458,AE:AE,'Tarievensheet per persoon'!AH:AH)</f>
        <v>1.3552</v>
      </c>
      <c r="Q458">
        <f>_xlfn.XLOOKUP(G458,AE:AE,'Tarievensheet per persoon'!AI:AI)</f>
        <v>1.3552</v>
      </c>
      <c r="R458">
        <v>0</v>
      </c>
      <c r="S458" s="14">
        <v>2.99</v>
      </c>
      <c r="T458" s="10">
        <f t="shared" si="78"/>
        <v>31.779274999999998</v>
      </c>
      <c r="U458" s="10">
        <f t="shared" si="79"/>
        <v>40.507980259999997</v>
      </c>
      <c r="V458" s="10">
        <f t="shared" si="80"/>
        <v>41.036992699999999</v>
      </c>
      <c r="W458" s="10">
        <f t="shared" si="81"/>
        <v>52.939772599999998</v>
      </c>
      <c r="X458" s="10">
        <f t="shared" si="82"/>
        <v>58.229896999999994</v>
      </c>
      <c r="Y458" s="10">
        <f t="shared" si="83"/>
        <v>84.680519000000004</v>
      </c>
      <c r="Z458" s="10">
        <f t="shared" si="84"/>
        <v>30.242643199999996</v>
      </c>
      <c r="AA458" s="10">
        <f t="shared" si="85"/>
        <v>38.883398399999997</v>
      </c>
      <c r="AB458" s="10">
        <f t="shared" si="86"/>
        <v>43.203775999999998</v>
      </c>
      <c r="AC458" s="10">
        <f t="shared" si="87"/>
        <v>64.805663999999993</v>
      </c>
    </row>
    <row r="459" spans="1:29" x14ac:dyDescent="0.25">
      <c r="A459">
        <v>429524</v>
      </c>
      <c r="B459" t="s">
        <v>61</v>
      </c>
      <c r="C459" s="10">
        <v>16.91</v>
      </c>
      <c r="D459" s="10">
        <v>15.94</v>
      </c>
      <c r="E459" s="10">
        <v>0</v>
      </c>
      <c r="F459">
        <v>40</v>
      </c>
      <c r="G459" t="s">
        <v>15</v>
      </c>
      <c r="H459" s="11">
        <v>45989</v>
      </c>
      <c r="I459" t="s">
        <v>21</v>
      </c>
      <c r="J459" s="12">
        <v>4</v>
      </c>
      <c r="K459" s="3">
        <v>162.04</v>
      </c>
      <c r="L459" s="3">
        <f t="shared" si="77"/>
        <v>40.51</v>
      </c>
      <c r="M459" s="13"/>
      <c r="N459">
        <f>_xlfn.XLOOKUP(G459,'Tarievensheet per persoon'!AE:AE,'Tarievensheet per persoon'!AF:AF)</f>
        <v>1.7024999999999999</v>
      </c>
      <c r="O459">
        <f>_xlfn.XLOOKUP(G459,AE:AE,'Tarievensheet per persoon'!AG:AG)</f>
        <v>1.5642</v>
      </c>
      <c r="P459">
        <f>_xlfn.XLOOKUP(G459,AE:AE,'Tarievensheet per persoon'!AH:AH)</f>
        <v>1.3552</v>
      </c>
      <c r="Q459">
        <f>_xlfn.XLOOKUP(G459,AE:AE,'Tarievensheet per persoon'!AI:AI)</f>
        <v>1.3552</v>
      </c>
      <c r="R459">
        <v>0</v>
      </c>
      <c r="S459" s="14">
        <v>2.99</v>
      </c>
      <c r="T459" s="10">
        <f t="shared" si="78"/>
        <v>31.779274999999998</v>
      </c>
      <c r="U459" s="10">
        <f t="shared" si="79"/>
        <v>40.507980259999997</v>
      </c>
      <c r="V459" s="10">
        <f t="shared" si="80"/>
        <v>41.036992699999999</v>
      </c>
      <c r="W459" s="10">
        <f t="shared" si="81"/>
        <v>52.939772599999998</v>
      </c>
      <c r="X459" s="10">
        <f t="shared" si="82"/>
        <v>58.229896999999994</v>
      </c>
      <c r="Y459" s="10">
        <f t="shared" si="83"/>
        <v>84.680519000000004</v>
      </c>
      <c r="Z459" s="10">
        <f t="shared" si="84"/>
        <v>30.242643199999996</v>
      </c>
      <c r="AA459" s="10">
        <f t="shared" si="85"/>
        <v>38.883398399999997</v>
      </c>
      <c r="AB459" s="10">
        <f t="shared" si="86"/>
        <v>43.203775999999998</v>
      </c>
      <c r="AC459" s="10">
        <f t="shared" si="87"/>
        <v>64.805663999999993</v>
      </c>
    </row>
    <row r="460" spans="1:29" x14ac:dyDescent="0.25">
      <c r="A460">
        <v>429551</v>
      </c>
      <c r="B460" t="s">
        <v>62</v>
      </c>
      <c r="C460" s="10">
        <v>15.89</v>
      </c>
      <c r="D460" s="10">
        <v>14.98</v>
      </c>
      <c r="E460" s="10">
        <v>0</v>
      </c>
      <c r="F460">
        <v>48</v>
      </c>
      <c r="G460" t="s">
        <v>15</v>
      </c>
      <c r="H460" s="11">
        <v>45985</v>
      </c>
      <c r="I460" t="s">
        <v>13</v>
      </c>
      <c r="J460" s="12">
        <v>3.5</v>
      </c>
      <c r="K460" s="3">
        <v>105.14</v>
      </c>
      <c r="L460" s="3">
        <f t="shared" si="77"/>
        <v>30.04</v>
      </c>
      <c r="M460" s="13"/>
      <c r="N460">
        <f>_xlfn.XLOOKUP(G460,'Tarievensheet per persoon'!AE:AE,'Tarievensheet per persoon'!AF:AF)</f>
        <v>1.7024999999999999</v>
      </c>
      <c r="O460">
        <f>_xlfn.XLOOKUP(G460,AE:AE,'Tarievensheet per persoon'!AG:AG)</f>
        <v>1.5642</v>
      </c>
      <c r="P460">
        <f>_xlfn.XLOOKUP(G460,AE:AE,'Tarievensheet per persoon'!AH:AH)</f>
        <v>1.3552</v>
      </c>
      <c r="Q460">
        <f>_xlfn.XLOOKUP(G460,AE:AE,'Tarievensheet per persoon'!AI:AI)</f>
        <v>1.3552</v>
      </c>
      <c r="R460">
        <v>0</v>
      </c>
      <c r="S460" s="14">
        <v>2.99</v>
      </c>
      <c r="T460" s="10">
        <f t="shared" si="78"/>
        <v>30.042724999999997</v>
      </c>
      <c r="U460" s="10">
        <f t="shared" si="79"/>
        <v>38.244920539999995</v>
      </c>
      <c r="V460" s="10">
        <f t="shared" si="80"/>
        <v>38.7420233</v>
      </c>
      <c r="W460" s="10">
        <f t="shared" si="81"/>
        <v>49.926835400000002</v>
      </c>
      <c r="X460" s="10">
        <f t="shared" si="82"/>
        <v>54.897863000000001</v>
      </c>
      <c r="Y460" s="10">
        <f t="shared" si="83"/>
        <v>79.753000999999998</v>
      </c>
      <c r="Z460" s="10">
        <f t="shared" si="84"/>
        <v>28.421254399999995</v>
      </c>
      <c r="AA460" s="10">
        <f t="shared" si="85"/>
        <v>36.541612800000003</v>
      </c>
      <c r="AB460" s="10">
        <f t="shared" si="86"/>
        <v>40.601792000000003</v>
      </c>
      <c r="AC460" s="10">
        <f t="shared" si="87"/>
        <v>60.902687999999998</v>
      </c>
    </row>
    <row r="461" spans="1:29" x14ac:dyDescent="0.25">
      <c r="A461">
        <v>429551</v>
      </c>
      <c r="B461" t="s">
        <v>62</v>
      </c>
      <c r="C461" s="10">
        <v>15.89</v>
      </c>
      <c r="D461" s="10">
        <v>14.98</v>
      </c>
      <c r="E461" s="10">
        <v>0</v>
      </c>
      <c r="F461">
        <v>48</v>
      </c>
      <c r="G461" t="s">
        <v>15</v>
      </c>
      <c r="H461" s="11">
        <v>45985</v>
      </c>
      <c r="I461" t="s">
        <v>21</v>
      </c>
      <c r="J461" s="12">
        <v>4</v>
      </c>
      <c r="K461" s="3">
        <v>152.96</v>
      </c>
      <c r="L461" s="3">
        <f t="shared" si="77"/>
        <v>38.24</v>
      </c>
      <c r="M461" s="13"/>
      <c r="N461">
        <f>_xlfn.XLOOKUP(G461,'Tarievensheet per persoon'!AE:AE,'Tarievensheet per persoon'!AF:AF)</f>
        <v>1.7024999999999999</v>
      </c>
      <c r="O461">
        <f>_xlfn.XLOOKUP(G461,AE:AE,'Tarievensheet per persoon'!AG:AG)</f>
        <v>1.5642</v>
      </c>
      <c r="P461">
        <f>_xlfn.XLOOKUP(G461,AE:AE,'Tarievensheet per persoon'!AH:AH)</f>
        <v>1.3552</v>
      </c>
      <c r="Q461">
        <f>_xlfn.XLOOKUP(G461,AE:AE,'Tarievensheet per persoon'!AI:AI)</f>
        <v>1.3552</v>
      </c>
      <c r="R461">
        <v>0</v>
      </c>
      <c r="S461" s="14">
        <v>2.99</v>
      </c>
      <c r="T461" s="10">
        <f t="shared" si="78"/>
        <v>30.042724999999997</v>
      </c>
      <c r="U461" s="10">
        <f t="shared" si="79"/>
        <v>38.244920539999995</v>
      </c>
      <c r="V461" s="10">
        <f t="shared" si="80"/>
        <v>38.7420233</v>
      </c>
      <c r="W461" s="10">
        <f t="shared" si="81"/>
        <v>49.926835400000002</v>
      </c>
      <c r="X461" s="10">
        <f t="shared" si="82"/>
        <v>54.897863000000001</v>
      </c>
      <c r="Y461" s="10">
        <f t="shared" si="83"/>
        <v>79.753000999999998</v>
      </c>
      <c r="Z461" s="10">
        <f t="shared" si="84"/>
        <v>28.421254399999995</v>
      </c>
      <c r="AA461" s="10">
        <f t="shared" si="85"/>
        <v>36.541612800000003</v>
      </c>
      <c r="AB461" s="10">
        <f t="shared" si="86"/>
        <v>40.601792000000003</v>
      </c>
      <c r="AC461" s="10">
        <f t="shared" si="87"/>
        <v>60.902687999999998</v>
      </c>
    </row>
    <row r="462" spans="1:29" x14ac:dyDescent="0.25">
      <c r="A462">
        <v>429551</v>
      </c>
      <c r="B462" t="s">
        <v>62</v>
      </c>
      <c r="C462" s="10">
        <v>15.89</v>
      </c>
      <c r="D462" s="10">
        <v>14.98</v>
      </c>
      <c r="E462" s="10">
        <v>0</v>
      </c>
      <c r="F462">
        <v>48</v>
      </c>
      <c r="G462" t="s">
        <v>15</v>
      </c>
      <c r="H462" s="11">
        <v>45986</v>
      </c>
      <c r="I462" t="s">
        <v>13</v>
      </c>
      <c r="J462" s="12">
        <v>3.75</v>
      </c>
      <c r="K462" s="3">
        <v>112.65</v>
      </c>
      <c r="L462" s="3">
        <f t="shared" si="77"/>
        <v>30.040000000000003</v>
      </c>
      <c r="M462" s="13"/>
      <c r="N462">
        <f>_xlfn.XLOOKUP(G462,'Tarievensheet per persoon'!AE:AE,'Tarievensheet per persoon'!AF:AF)</f>
        <v>1.7024999999999999</v>
      </c>
      <c r="O462">
        <f>_xlfn.XLOOKUP(G462,AE:AE,'Tarievensheet per persoon'!AG:AG)</f>
        <v>1.5642</v>
      </c>
      <c r="P462">
        <f>_xlfn.XLOOKUP(G462,AE:AE,'Tarievensheet per persoon'!AH:AH)</f>
        <v>1.3552</v>
      </c>
      <c r="Q462">
        <f>_xlfn.XLOOKUP(G462,AE:AE,'Tarievensheet per persoon'!AI:AI)</f>
        <v>1.3552</v>
      </c>
      <c r="R462">
        <v>0</v>
      </c>
      <c r="S462" s="14">
        <v>2.99</v>
      </c>
      <c r="T462" s="10">
        <f t="shared" si="78"/>
        <v>30.042724999999997</v>
      </c>
      <c r="U462" s="10">
        <f t="shared" si="79"/>
        <v>38.244920539999995</v>
      </c>
      <c r="V462" s="10">
        <f t="shared" si="80"/>
        <v>38.7420233</v>
      </c>
      <c r="W462" s="10">
        <f t="shared" si="81"/>
        <v>49.926835400000002</v>
      </c>
      <c r="X462" s="10">
        <f t="shared" si="82"/>
        <v>54.897863000000001</v>
      </c>
      <c r="Y462" s="10">
        <f t="shared" si="83"/>
        <v>79.753000999999998</v>
      </c>
      <c r="Z462" s="10">
        <f t="shared" si="84"/>
        <v>28.421254399999995</v>
      </c>
      <c r="AA462" s="10">
        <f t="shared" si="85"/>
        <v>36.541612800000003</v>
      </c>
      <c r="AB462" s="10">
        <f t="shared" si="86"/>
        <v>40.601792000000003</v>
      </c>
      <c r="AC462" s="10">
        <f t="shared" si="87"/>
        <v>60.902687999999998</v>
      </c>
    </row>
    <row r="463" spans="1:29" x14ac:dyDescent="0.25">
      <c r="A463">
        <v>429551</v>
      </c>
      <c r="B463" t="s">
        <v>62</v>
      </c>
      <c r="C463" s="10">
        <v>15.89</v>
      </c>
      <c r="D463" s="10">
        <v>14.98</v>
      </c>
      <c r="E463" s="10">
        <v>0</v>
      </c>
      <c r="F463">
        <v>48</v>
      </c>
      <c r="G463" t="s">
        <v>15</v>
      </c>
      <c r="H463" s="11">
        <v>45986</v>
      </c>
      <c r="I463" t="s">
        <v>21</v>
      </c>
      <c r="J463" s="12">
        <v>4.5</v>
      </c>
      <c r="K463" s="3">
        <v>172.08</v>
      </c>
      <c r="L463" s="3">
        <f t="shared" si="77"/>
        <v>38.24</v>
      </c>
      <c r="M463" s="13"/>
      <c r="N463">
        <f>_xlfn.XLOOKUP(G463,'Tarievensheet per persoon'!AE:AE,'Tarievensheet per persoon'!AF:AF)</f>
        <v>1.7024999999999999</v>
      </c>
      <c r="O463">
        <f>_xlfn.XLOOKUP(G463,AE:AE,'Tarievensheet per persoon'!AG:AG)</f>
        <v>1.5642</v>
      </c>
      <c r="P463">
        <f>_xlfn.XLOOKUP(G463,AE:AE,'Tarievensheet per persoon'!AH:AH)</f>
        <v>1.3552</v>
      </c>
      <c r="Q463">
        <f>_xlfn.XLOOKUP(G463,AE:AE,'Tarievensheet per persoon'!AI:AI)</f>
        <v>1.3552</v>
      </c>
      <c r="R463">
        <v>0</v>
      </c>
      <c r="S463" s="14">
        <v>2.99</v>
      </c>
      <c r="T463" s="10">
        <f t="shared" si="78"/>
        <v>30.042724999999997</v>
      </c>
      <c r="U463" s="10">
        <f t="shared" si="79"/>
        <v>38.244920539999995</v>
      </c>
      <c r="V463" s="10">
        <f t="shared" si="80"/>
        <v>38.7420233</v>
      </c>
      <c r="W463" s="10">
        <f t="shared" si="81"/>
        <v>49.926835400000002</v>
      </c>
      <c r="X463" s="10">
        <f t="shared" si="82"/>
        <v>54.897863000000001</v>
      </c>
      <c r="Y463" s="10">
        <f t="shared" si="83"/>
        <v>79.753000999999998</v>
      </c>
      <c r="Z463" s="10">
        <f t="shared" si="84"/>
        <v>28.421254399999995</v>
      </c>
      <c r="AA463" s="10">
        <f t="shared" si="85"/>
        <v>36.541612800000003</v>
      </c>
      <c r="AB463" s="10">
        <f t="shared" si="86"/>
        <v>40.601792000000003</v>
      </c>
      <c r="AC463" s="10">
        <f t="shared" si="87"/>
        <v>60.902687999999998</v>
      </c>
    </row>
    <row r="464" spans="1:29" x14ac:dyDescent="0.25">
      <c r="A464">
        <v>429551</v>
      </c>
      <c r="B464" t="s">
        <v>62</v>
      </c>
      <c r="C464" s="10">
        <v>15.89</v>
      </c>
      <c r="D464" s="10">
        <v>14.98</v>
      </c>
      <c r="E464" s="10">
        <v>0</v>
      </c>
      <c r="F464">
        <v>48</v>
      </c>
      <c r="G464" t="s">
        <v>15</v>
      </c>
      <c r="H464" s="11">
        <v>45987</v>
      </c>
      <c r="I464" t="s">
        <v>13</v>
      </c>
      <c r="J464" s="12">
        <v>3.5</v>
      </c>
      <c r="K464" s="3">
        <v>105.14</v>
      </c>
      <c r="L464" s="3">
        <f t="shared" si="77"/>
        <v>30.04</v>
      </c>
      <c r="M464" s="13"/>
      <c r="N464">
        <f>_xlfn.XLOOKUP(G464,'Tarievensheet per persoon'!AE:AE,'Tarievensheet per persoon'!AF:AF)</f>
        <v>1.7024999999999999</v>
      </c>
      <c r="O464">
        <f>_xlfn.XLOOKUP(G464,AE:AE,'Tarievensheet per persoon'!AG:AG)</f>
        <v>1.5642</v>
      </c>
      <c r="P464">
        <f>_xlfn.XLOOKUP(G464,AE:AE,'Tarievensheet per persoon'!AH:AH)</f>
        <v>1.3552</v>
      </c>
      <c r="Q464">
        <f>_xlfn.XLOOKUP(G464,AE:AE,'Tarievensheet per persoon'!AI:AI)</f>
        <v>1.3552</v>
      </c>
      <c r="R464">
        <v>0</v>
      </c>
      <c r="S464" s="14">
        <v>2.99</v>
      </c>
      <c r="T464" s="10">
        <f t="shared" si="78"/>
        <v>30.042724999999997</v>
      </c>
      <c r="U464" s="10">
        <f t="shared" si="79"/>
        <v>38.244920539999995</v>
      </c>
      <c r="V464" s="10">
        <f t="shared" si="80"/>
        <v>38.7420233</v>
      </c>
      <c r="W464" s="10">
        <f t="shared" si="81"/>
        <v>49.926835400000002</v>
      </c>
      <c r="X464" s="10">
        <f t="shared" si="82"/>
        <v>54.897863000000001</v>
      </c>
      <c r="Y464" s="10">
        <f t="shared" si="83"/>
        <v>79.753000999999998</v>
      </c>
      <c r="Z464" s="10">
        <f t="shared" si="84"/>
        <v>28.421254399999995</v>
      </c>
      <c r="AA464" s="10">
        <f t="shared" si="85"/>
        <v>36.541612800000003</v>
      </c>
      <c r="AB464" s="10">
        <f t="shared" si="86"/>
        <v>40.601792000000003</v>
      </c>
      <c r="AC464" s="10">
        <f t="shared" si="87"/>
        <v>60.902687999999998</v>
      </c>
    </row>
    <row r="465" spans="1:29" x14ac:dyDescent="0.25">
      <c r="A465">
        <v>429551</v>
      </c>
      <c r="B465" t="s">
        <v>62</v>
      </c>
      <c r="C465" s="10">
        <v>15.89</v>
      </c>
      <c r="D465" s="10">
        <v>14.98</v>
      </c>
      <c r="E465" s="10">
        <v>0</v>
      </c>
      <c r="F465">
        <v>48</v>
      </c>
      <c r="G465" t="s">
        <v>15</v>
      </c>
      <c r="H465" s="11">
        <v>45987</v>
      </c>
      <c r="I465" t="s">
        <v>21</v>
      </c>
      <c r="J465" s="12">
        <v>3.75</v>
      </c>
      <c r="K465" s="3">
        <v>143.4</v>
      </c>
      <c r="L465" s="3">
        <f t="shared" si="77"/>
        <v>38.24</v>
      </c>
      <c r="M465" s="13"/>
      <c r="N465">
        <f>_xlfn.XLOOKUP(G465,'Tarievensheet per persoon'!AE:AE,'Tarievensheet per persoon'!AF:AF)</f>
        <v>1.7024999999999999</v>
      </c>
      <c r="O465">
        <f>_xlfn.XLOOKUP(G465,AE:AE,'Tarievensheet per persoon'!AG:AG)</f>
        <v>1.5642</v>
      </c>
      <c r="P465">
        <f>_xlfn.XLOOKUP(G465,AE:AE,'Tarievensheet per persoon'!AH:AH)</f>
        <v>1.3552</v>
      </c>
      <c r="Q465">
        <f>_xlfn.XLOOKUP(G465,AE:AE,'Tarievensheet per persoon'!AI:AI)</f>
        <v>1.3552</v>
      </c>
      <c r="R465">
        <v>0</v>
      </c>
      <c r="S465" s="14">
        <v>2.99</v>
      </c>
      <c r="T465" s="10">
        <f t="shared" si="78"/>
        <v>30.042724999999997</v>
      </c>
      <c r="U465" s="10">
        <f t="shared" si="79"/>
        <v>38.244920539999995</v>
      </c>
      <c r="V465" s="10">
        <f t="shared" si="80"/>
        <v>38.7420233</v>
      </c>
      <c r="W465" s="10">
        <f t="shared" si="81"/>
        <v>49.926835400000002</v>
      </c>
      <c r="X465" s="10">
        <f t="shared" si="82"/>
        <v>54.897863000000001</v>
      </c>
      <c r="Y465" s="10">
        <f t="shared" si="83"/>
        <v>79.753000999999998</v>
      </c>
      <c r="Z465" s="10">
        <f t="shared" si="84"/>
        <v>28.421254399999995</v>
      </c>
      <c r="AA465" s="10">
        <f t="shared" si="85"/>
        <v>36.541612800000003</v>
      </c>
      <c r="AB465" s="10">
        <f t="shared" si="86"/>
        <v>40.601792000000003</v>
      </c>
      <c r="AC465" s="10">
        <f t="shared" si="87"/>
        <v>60.902687999999998</v>
      </c>
    </row>
    <row r="466" spans="1:29" x14ac:dyDescent="0.25">
      <c r="A466">
        <v>429551</v>
      </c>
      <c r="B466" t="s">
        <v>62</v>
      </c>
      <c r="C466" s="10">
        <v>15.89</v>
      </c>
      <c r="D466" s="10">
        <v>14.98</v>
      </c>
      <c r="E466" s="10">
        <v>0</v>
      </c>
      <c r="F466">
        <v>48</v>
      </c>
      <c r="G466" t="s">
        <v>15</v>
      </c>
      <c r="H466" s="11">
        <v>45988</v>
      </c>
      <c r="I466" t="s">
        <v>13</v>
      </c>
      <c r="J466" s="12">
        <v>3.75</v>
      </c>
      <c r="K466" s="3">
        <v>112.65</v>
      </c>
      <c r="L466" s="3">
        <f t="shared" si="77"/>
        <v>30.040000000000003</v>
      </c>
      <c r="M466" s="13"/>
      <c r="N466">
        <f>_xlfn.XLOOKUP(G466,'Tarievensheet per persoon'!AE:AE,'Tarievensheet per persoon'!AF:AF)</f>
        <v>1.7024999999999999</v>
      </c>
      <c r="O466">
        <f>_xlfn.XLOOKUP(G466,AE:AE,'Tarievensheet per persoon'!AG:AG)</f>
        <v>1.5642</v>
      </c>
      <c r="P466">
        <f>_xlfn.XLOOKUP(G466,AE:AE,'Tarievensheet per persoon'!AH:AH)</f>
        <v>1.3552</v>
      </c>
      <c r="Q466">
        <f>_xlfn.XLOOKUP(G466,AE:AE,'Tarievensheet per persoon'!AI:AI)</f>
        <v>1.3552</v>
      </c>
      <c r="R466">
        <v>0</v>
      </c>
      <c r="S466" s="14">
        <v>2.99</v>
      </c>
      <c r="T466" s="10">
        <f t="shared" si="78"/>
        <v>30.042724999999997</v>
      </c>
      <c r="U466" s="10">
        <f t="shared" si="79"/>
        <v>38.244920539999995</v>
      </c>
      <c r="V466" s="10">
        <f t="shared" si="80"/>
        <v>38.7420233</v>
      </c>
      <c r="W466" s="10">
        <f t="shared" si="81"/>
        <v>49.926835400000002</v>
      </c>
      <c r="X466" s="10">
        <f t="shared" si="82"/>
        <v>54.897863000000001</v>
      </c>
      <c r="Y466" s="10">
        <f t="shared" si="83"/>
        <v>79.753000999999998</v>
      </c>
      <c r="Z466" s="10">
        <f t="shared" si="84"/>
        <v>28.421254399999995</v>
      </c>
      <c r="AA466" s="10">
        <f t="shared" si="85"/>
        <v>36.541612800000003</v>
      </c>
      <c r="AB466" s="10">
        <f t="shared" si="86"/>
        <v>40.601792000000003</v>
      </c>
      <c r="AC466" s="10">
        <f t="shared" si="87"/>
        <v>60.902687999999998</v>
      </c>
    </row>
    <row r="467" spans="1:29" x14ac:dyDescent="0.25">
      <c r="A467">
        <v>429551</v>
      </c>
      <c r="B467" t="s">
        <v>62</v>
      </c>
      <c r="C467" s="10">
        <v>15.89</v>
      </c>
      <c r="D467" s="10">
        <v>14.98</v>
      </c>
      <c r="E467" s="10">
        <v>0</v>
      </c>
      <c r="F467">
        <v>48</v>
      </c>
      <c r="G467" t="s">
        <v>15</v>
      </c>
      <c r="H467" s="11">
        <v>45988</v>
      </c>
      <c r="I467" t="s">
        <v>21</v>
      </c>
      <c r="J467" s="12">
        <v>4.75</v>
      </c>
      <c r="K467" s="3">
        <v>181.64</v>
      </c>
      <c r="L467" s="3">
        <f t="shared" si="77"/>
        <v>38.239999999999995</v>
      </c>
      <c r="M467" s="13"/>
      <c r="N467">
        <f>_xlfn.XLOOKUP(G467,'Tarievensheet per persoon'!AE:AE,'Tarievensheet per persoon'!AF:AF)</f>
        <v>1.7024999999999999</v>
      </c>
      <c r="O467">
        <f>_xlfn.XLOOKUP(G467,AE:AE,'Tarievensheet per persoon'!AG:AG)</f>
        <v>1.5642</v>
      </c>
      <c r="P467">
        <f>_xlfn.XLOOKUP(G467,AE:AE,'Tarievensheet per persoon'!AH:AH)</f>
        <v>1.3552</v>
      </c>
      <c r="Q467">
        <f>_xlfn.XLOOKUP(G467,AE:AE,'Tarievensheet per persoon'!AI:AI)</f>
        <v>1.3552</v>
      </c>
      <c r="R467">
        <v>0</v>
      </c>
      <c r="S467" s="14">
        <v>2.99</v>
      </c>
      <c r="T467" s="10">
        <f t="shared" si="78"/>
        <v>30.042724999999997</v>
      </c>
      <c r="U467" s="10">
        <f t="shared" si="79"/>
        <v>38.244920539999995</v>
      </c>
      <c r="V467" s="10">
        <f t="shared" si="80"/>
        <v>38.7420233</v>
      </c>
      <c r="W467" s="10">
        <f t="shared" si="81"/>
        <v>49.926835400000002</v>
      </c>
      <c r="X467" s="10">
        <f t="shared" si="82"/>
        <v>54.897863000000001</v>
      </c>
      <c r="Y467" s="10">
        <f t="shared" si="83"/>
        <v>79.753000999999998</v>
      </c>
      <c r="Z467" s="10">
        <f t="shared" si="84"/>
        <v>28.421254399999995</v>
      </c>
      <c r="AA467" s="10">
        <f t="shared" si="85"/>
        <v>36.541612800000003</v>
      </c>
      <c r="AB467" s="10">
        <f t="shared" si="86"/>
        <v>40.601792000000003</v>
      </c>
      <c r="AC467" s="10">
        <f t="shared" si="87"/>
        <v>60.902687999999998</v>
      </c>
    </row>
    <row r="468" spans="1:29" x14ac:dyDescent="0.25">
      <c r="A468">
        <v>429551</v>
      </c>
      <c r="B468" t="s">
        <v>62</v>
      </c>
      <c r="C468" s="10">
        <v>15.89</v>
      </c>
      <c r="D468" s="10">
        <v>14.98</v>
      </c>
      <c r="E468" s="10">
        <v>0</v>
      </c>
      <c r="F468">
        <v>48</v>
      </c>
      <c r="G468" t="s">
        <v>15</v>
      </c>
      <c r="H468" s="11">
        <v>45989</v>
      </c>
      <c r="I468" t="s">
        <v>13</v>
      </c>
      <c r="J468" s="12">
        <v>3.75</v>
      </c>
      <c r="K468" s="3">
        <v>112.65</v>
      </c>
      <c r="L468" s="3">
        <f t="shared" si="77"/>
        <v>30.040000000000003</v>
      </c>
      <c r="M468" s="13"/>
      <c r="N468">
        <f>_xlfn.XLOOKUP(G468,'Tarievensheet per persoon'!AE:AE,'Tarievensheet per persoon'!AF:AF)</f>
        <v>1.7024999999999999</v>
      </c>
      <c r="O468">
        <f>_xlfn.XLOOKUP(G468,AE:AE,'Tarievensheet per persoon'!AG:AG)</f>
        <v>1.5642</v>
      </c>
      <c r="P468">
        <f>_xlfn.XLOOKUP(G468,AE:AE,'Tarievensheet per persoon'!AH:AH)</f>
        <v>1.3552</v>
      </c>
      <c r="Q468">
        <f>_xlfn.XLOOKUP(G468,AE:AE,'Tarievensheet per persoon'!AI:AI)</f>
        <v>1.3552</v>
      </c>
      <c r="R468">
        <v>0</v>
      </c>
      <c r="S468" s="14">
        <v>2.99</v>
      </c>
      <c r="T468" s="10">
        <f t="shared" si="78"/>
        <v>30.042724999999997</v>
      </c>
      <c r="U468" s="10">
        <f t="shared" si="79"/>
        <v>38.244920539999995</v>
      </c>
      <c r="V468" s="10">
        <f t="shared" si="80"/>
        <v>38.7420233</v>
      </c>
      <c r="W468" s="10">
        <f t="shared" si="81"/>
        <v>49.926835400000002</v>
      </c>
      <c r="X468" s="10">
        <f t="shared" si="82"/>
        <v>54.897863000000001</v>
      </c>
      <c r="Y468" s="10">
        <f t="shared" si="83"/>
        <v>79.753000999999998</v>
      </c>
      <c r="Z468" s="10">
        <f t="shared" si="84"/>
        <v>28.421254399999995</v>
      </c>
      <c r="AA468" s="10">
        <f t="shared" si="85"/>
        <v>36.541612800000003</v>
      </c>
      <c r="AB468" s="10">
        <f t="shared" si="86"/>
        <v>40.601792000000003</v>
      </c>
      <c r="AC468" s="10">
        <f t="shared" si="87"/>
        <v>60.902687999999998</v>
      </c>
    </row>
    <row r="469" spans="1:29" x14ac:dyDescent="0.25">
      <c r="A469">
        <v>429551</v>
      </c>
      <c r="B469" t="s">
        <v>62</v>
      </c>
      <c r="C469" s="10">
        <v>15.89</v>
      </c>
      <c r="D469" s="10">
        <v>14.98</v>
      </c>
      <c r="E469" s="10">
        <v>0</v>
      </c>
      <c r="F469">
        <v>48</v>
      </c>
      <c r="G469" t="s">
        <v>15</v>
      </c>
      <c r="H469" s="11">
        <v>45989</v>
      </c>
      <c r="I469" t="s">
        <v>21</v>
      </c>
      <c r="J469" s="12">
        <v>3.75</v>
      </c>
      <c r="K469" s="3">
        <v>143.4</v>
      </c>
      <c r="L469" s="3">
        <f t="shared" si="77"/>
        <v>38.24</v>
      </c>
      <c r="M469" s="13"/>
      <c r="N469">
        <f>_xlfn.XLOOKUP(G469,'Tarievensheet per persoon'!AE:AE,'Tarievensheet per persoon'!AF:AF)</f>
        <v>1.7024999999999999</v>
      </c>
      <c r="O469">
        <f>_xlfn.XLOOKUP(G469,AE:AE,'Tarievensheet per persoon'!AG:AG)</f>
        <v>1.5642</v>
      </c>
      <c r="P469">
        <f>_xlfn.XLOOKUP(G469,AE:AE,'Tarievensheet per persoon'!AH:AH)</f>
        <v>1.3552</v>
      </c>
      <c r="Q469">
        <f>_xlfn.XLOOKUP(G469,AE:AE,'Tarievensheet per persoon'!AI:AI)</f>
        <v>1.3552</v>
      </c>
      <c r="R469">
        <v>0</v>
      </c>
      <c r="S469" s="14">
        <v>2.99</v>
      </c>
      <c r="T469" s="10">
        <f t="shared" si="78"/>
        <v>30.042724999999997</v>
      </c>
      <c r="U469" s="10">
        <f t="shared" si="79"/>
        <v>38.244920539999995</v>
      </c>
      <c r="V469" s="10">
        <f t="shared" si="80"/>
        <v>38.7420233</v>
      </c>
      <c r="W469" s="10">
        <f t="shared" si="81"/>
        <v>49.926835400000002</v>
      </c>
      <c r="X469" s="10">
        <f t="shared" si="82"/>
        <v>54.897863000000001</v>
      </c>
      <c r="Y469" s="10">
        <f t="shared" si="83"/>
        <v>79.753000999999998</v>
      </c>
      <c r="Z469" s="10">
        <f t="shared" si="84"/>
        <v>28.421254399999995</v>
      </c>
      <c r="AA469" s="10">
        <f t="shared" si="85"/>
        <v>36.541612800000003</v>
      </c>
      <c r="AB469" s="10">
        <f t="shared" si="86"/>
        <v>40.601792000000003</v>
      </c>
      <c r="AC469" s="10">
        <f t="shared" si="87"/>
        <v>60.902687999999998</v>
      </c>
    </row>
    <row r="470" spans="1:29" x14ac:dyDescent="0.25">
      <c r="A470">
        <v>429552</v>
      </c>
      <c r="B470" t="s">
        <v>63</v>
      </c>
      <c r="C470" s="10">
        <v>15.89</v>
      </c>
      <c r="D470" s="10">
        <v>14.98</v>
      </c>
      <c r="E470" s="10">
        <v>0</v>
      </c>
      <c r="F470">
        <v>48</v>
      </c>
      <c r="G470" t="s">
        <v>15</v>
      </c>
      <c r="H470" s="11">
        <v>45985</v>
      </c>
      <c r="I470" t="s">
        <v>13</v>
      </c>
      <c r="J470" s="12">
        <v>7.25</v>
      </c>
      <c r="K470" s="3">
        <v>217.79</v>
      </c>
      <c r="L470" s="3">
        <f t="shared" si="77"/>
        <v>30.04</v>
      </c>
      <c r="M470" s="13"/>
      <c r="N470">
        <f>_xlfn.XLOOKUP(G470,'Tarievensheet per persoon'!AE:AE,'Tarievensheet per persoon'!AF:AF)</f>
        <v>1.7024999999999999</v>
      </c>
      <c r="O470">
        <f>_xlfn.XLOOKUP(G470,AE:AE,'Tarievensheet per persoon'!AG:AG)</f>
        <v>1.5642</v>
      </c>
      <c r="P470">
        <f>_xlfn.XLOOKUP(G470,AE:AE,'Tarievensheet per persoon'!AH:AH)</f>
        <v>1.3552</v>
      </c>
      <c r="Q470">
        <f>_xlfn.XLOOKUP(G470,AE:AE,'Tarievensheet per persoon'!AI:AI)</f>
        <v>1.3552</v>
      </c>
      <c r="R470">
        <v>0</v>
      </c>
      <c r="S470" s="14">
        <v>2.99</v>
      </c>
      <c r="T470" s="10">
        <f t="shared" si="78"/>
        <v>30.042724999999997</v>
      </c>
      <c r="U470" s="10">
        <f t="shared" si="79"/>
        <v>38.244920539999995</v>
      </c>
      <c r="V470" s="10">
        <f t="shared" si="80"/>
        <v>38.7420233</v>
      </c>
      <c r="W470" s="10">
        <f t="shared" si="81"/>
        <v>49.926835400000002</v>
      </c>
      <c r="X470" s="10">
        <f t="shared" si="82"/>
        <v>54.897863000000001</v>
      </c>
      <c r="Y470" s="10">
        <f t="shared" si="83"/>
        <v>79.753000999999998</v>
      </c>
      <c r="Z470" s="10">
        <f t="shared" si="84"/>
        <v>28.421254399999995</v>
      </c>
      <c r="AA470" s="10">
        <f t="shared" si="85"/>
        <v>36.541612800000003</v>
      </c>
      <c r="AB470" s="10">
        <f t="shared" si="86"/>
        <v>40.601792000000003</v>
      </c>
      <c r="AC470" s="10">
        <f t="shared" si="87"/>
        <v>60.902687999999998</v>
      </c>
    </row>
    <row r="471" spans="1:29" x14ac:dyDescent="0.25">
      <c r="A471">
        <v>429552</v>
      </c>
      <c r="B471" t="s">
        <v>63</v>
      </c>
      <c r="C471" s="10">
        <v>15.89</v>
      </c>
      <c r="D471" s="10">
        <v>14.98</v>
      </c>
      <c r="E471" s="10">
        <v>0</v>
      </c>
      <c r="F471">
        <v>48</v>
      </c>
      <c r="G471" t="s">
        <v>15</v>
      </c>
      <c r="H471" s="11">
        <v>45986</v>
      </c>
      <c r="I471" t="s">
        <v>13</v>
      </c>
      <c r="J471" s="12">
        <v>7.25</v>
      </c>
      <c r="K471" s="3">
        <v>217.79</v>
      </c>
      <c r="L471" s="3">
        <f t="shared" si="77"/>
        <v>30.04</v>
      </c>
      <c r="M471" s="13"/>
      <c r="N471">
        <f>_xlfn.XLOOKUP(G471,'Tarievensheet per persoon'!AE:AE,'Tarievensheet per persoon'!AF:AF)</f>
        <v>1.7024999999999999</v>
      </c>
      <c r="O471">
        <f>_xlfn.XLOOKUP(G471,AE:AE,'Tarievensheet per persoon'!AG:AG)</f>
        <v>1.5642</v>
      </c>
      <c r="P471">
        <f>_xlfn.XLOOKUP(G471,AE:AE,'Tarievensheet per persoon'!AH:AH)</f>
        <v>1.3552</v>
      </c>
      <c r="Q471">
        <f>_xlfn.XLOOKUP(G471,AE:AE,'Tarievensheet per persoon'!AI:AI)</f>
        <v>1.3552</v>
      </c>
      <c r="R471">
        <v>0</v>
      </c>
      <c r="S471" s="14">
        <v>2.99</v>
      </c>
      <c r="T471" s="10">
        <f t="shared" si="78"/>
        <v>30.042724999999997</v>
      </c>
      <c r="U471" s="10">
        <f t="shared" si="79"/>
        <v>38.244920539999995</v>
      </c>
      <c r="V471" s="10">
        <f t="shared" si="80"/>
        <v>38.7420233</v>
      </c>
      <c r="W471" s="10">
        <f t="shared" si="81"/>
        <v>49.926835400000002</v>
      </c>
      <c r="X471" s="10">
        <f t="shared" si="82"/>
        <v>54.897863000000001</v>
      </c>
      <c r="Y471" s="10">
        <f t="shared" si="83"/>
        <v>79.753000999999998</v>
      </c>
      <c r="Z471" s="10">
        <f t="shared" si="84"/>
        <v>28.421254399999995</v>
      </c>
      <c r="AA471" s="10">
        <f t="shared" si="85"/>
        <v>36.541612800000003</v>
      </c>
      <c r="AB471" s="10">
        <f t="shared" si="86"/>
        <v>40.601792000000003</v>
      </c>
      <c r="AC471" s="10">
        <f t="shared" si="87"/>
        <v>60.902687999999998</v>
      </c>
    </row>
    <row r="472" spans="1:29" x14ac:dyDescent="0.25">
      <c r="A472">
        <v>429552</v>
      </c>
      <c r="B472" t="s">
        <v>63</v>
      </c>
      <c r="C472" s="10">
        <v>15.89</v>
      </c>
      <c r="D472" s="10">
        <v>14.98</v>
      </c>
      <c r="E472" s="10">
        <v>0</v>
      </c>
      <c r="F472">
        <v>48</v>
      </c>
      <c r="G472" t="s">
        <v>15</v>
      </c>
      <c r="H472" s="11">
        <v>45987</v>
      </c>
      <c r="I472" t="s">
        <v>13</v>
      </c>
      <c r="J472" s="12">
        <v>5.5</v>
      </c>
      <c r="K472" s="3">
        <v>165.22</v>
      </c>
      <c r="L472" s="3">
        <f t="shared" si="77"/>
        <v>30.04</v>
      </c>
      <c r="M472" s="13"/>
      <c r="N472">
        <f>_xlfn.XLOOKUP(G472,'Tarievensheet per persoon'!AE:AE,'Tarievensheet per persoon'!AF:AF)</f>
        <v>1.7024999999999999</v>
      </c>
      <c r="O472">
        <f>_xlfn.XLOOKUP(G472,AE:AE,'Tarievensheet per persoon'!AG:AG)</f>
        <v>1.5642</v>
      </c>
      <c r="P472">
        <f>_xlfn.XLOOKUP(G472,AE:AE,'Tarievensheet per persoon'!AH:AH)</f>
        <v>1.3552</v>
      </c>
      <c r="Q472">
        <f>_xlfn.XLOOKUP(G472,AE:AE,'Tarievensheet per persoon'!AI:AI)</f>
        <v>1.3552</v>
      </c>
      <c r="R472">
        <v>0</v>
      </c>
      <c r="S472" s="14">
        <v>2.99</v>
      </c>
      <c r="T472" s="10">
        <f t="shared" si="78"/>
        <v>30.042724999999997</v>
      </c>
      <c r="U472" s="10">
        <f t="shared" si="79"/>
        <v>38.244920539999995</v>
      </c>
      <c r="V472" s="10">
        <f t="shared" si="80"/>
        <v>38.7420233</v>
      </c>
      <c r="W472" s="10">
        <f t="shared" si="81"/>
        <v>49.926835400000002</v>
      </c>
      <c r="X472" s="10">
        <f t="shared" si="82"/>
        <v>54.897863000000001</v>
      </c>
      <c r="Y472" s="10">
        <f t="shared" si="83"/>
        <v>79.753000999999998</v>
      </c>
      <c r="Z472" s="10">
        <f t="shared" si="84"/>
        <v>28.421254399999995</v>
      </c>
      <c r="AA472" s="10">
        <f t="shared" si="85"/>
        <v>36.541612800000003</v>
      </c>
      <c r="AB472" s="10">
        <f t="shared" si="86"/>
        <v>40.601792000000003</v>
      </c>
      <c r="AC472" s="10">
        <f t="shared" si="87"/>
        <v>60.902687999999998</v>
      </c>
    </row>
    <row r="473" spans="1:29" x14ac:dyDescent="0.25">
      <c r="A473">
        <v>429728</v>
      </c>
      <c r="B473" t="s">
        <v>64</v>
      </c>
      <c r="C473" s="10">
        <v>15.89</v>
      </c>
      <c r="D473" s="10">
        <v>14.98</v>
      </c>
      <c r="E473" s="10">
        <v>0</v>
      </c>
      <c r="F473">
        <v>43</v>
      </c>
      <c r="G473" t="s">
        <v>15</v>
      </c>
      <c r="H473" s="11">
        <v>45985</v>
      </c>
      <c r="I473" t="s">
        <v>13</v>
      </c>
      <c r="J473" s="12">
        <v>8</v>
      </c>
      <c r="K473" s="3">
        <v>240.32</v>
      </c>
      <c r="L473" s="3">
        <f t="shared" si="77"/>
        <v>30.04</v>
      </c>
      <c r="M473" s="13"/>
      <c r="N473">
        <f>_xlfn.XLOOKUP(G473,'Tarievensheet per persoon'!AE:AE,'Tarievensheet per persoon'!AF:AF)</f>
        <v>1.7024999999999999</v>
      </c>
      <c r="O473">
        <f>_xlfn.XLOOKUP(G473,AE:AE,'Tarievensheet per persoon'!AG:AG)</f>
        <v>1.5642</v>
      </c>
      <c r="P473">
        <f>_xlfn.XLOOKUP(G473,AE:AE,'Tarievensheet per persoon'!AH:AH)</f>
        <v>1.3552</v>
      </c>
      <c r="Q473">
        <f>_xlfn.XLOOKUP(G473,AE:AE,'Tarievensheet per persoon'!AI:AI)</f>
        <v>1.3552</v>
      </c>
      <c r="R473">
        <v>0</v>
      </c>
      <c r="S473" s="14">
        <v>2.99</v>
      </c>
      <c r="T473" s="10">
        <f t="shared" si="78"/>
        <v>30.042724999999997</v>
      </c>
      <c r="U473" s="10">
        <f t="shared" si="79"/>
        <v>38.244920539999995</v>
      </c>
      <c r="V473" s="10">
        <f t="shared" si="80"/>
        <v>38.7420233</v>
      </c>
      <c r="W473" s="10">
        <f t="shared" si="81"/>
        <v>49.926835400000002</v>
      </c>
      <c r="X473" s="10">
        <f t="shared" si="82"/>
        <v>54.897863000000001</v>
      </c>
      <c r="Y473" s="10">
        <f t="shared" si="83"/>
        <v>79.753000999999998</v>
      </c>
      <c r="Z473" s="10">
        <f t="shared" si="84"/>
        <v>28.421254399999995</v>
      </c>
      <c r="AA473" s="10">
        <f t="shared" si="85"/>
        <v>36.541612800000003</v>
      </c>
      <c r="AB473" s="10">
        <f t="shared" si="86"/>
        <v>40.601792000000003</v>
      </c>
      <c r="AC473" s="10">
        <f t="shared" si="87"/>
        <v>60.902687999999998</v>
      </c>
    </row>
    <row r="474" spans="1:29" x14ac:dyDescent="0.25">
      <c r="A474">
        <v>429728</v>
      </c>
      <c r="B474" t="s">
        <v>64</v>
      </c>
      <c r="C474" s="10">
        <v>15.89</v>
      </c>
      <c r="D474" s="10">
        <v>14.98</v>
      </c>
      <c r="E474" s="10">
        <v>0</v>
      </c>
      <c r="F474">
        <v>43</v>
      </c>
      <c r="G474" t="s">
        <v>15</v>
      </c>
      <c r="H474" s="11">
        <v>45986</v>
      </c>
      <c r="I474" t="s">
        <v>13</v>
      </c>
      <c r="J474" s="12">
        <v>8</v>
      </c>
      <c r="K474" s="3">
        <v>240.32</v>
      </c>
      <c r="L474" s="3">
        <f t="shared" si="77"/>
        <v>30.04</v>
      </c>
      <c r="M474" s="13"/>
      <c r="N474">
        <f>_xlfn.XLOOKUP(G474,'Tarievensheet per persoon'!AE:AE,'Tarievensheet per persoon'!AF:AF)</f>
        <v>1.7024999999999999</v>
      </c>
      <c r="O474">
        <f>_xlfn.XLOOKUP(G474,AE:AE,'Tarievensheet per persoon'!AG:AG)</f>
        <v>1.5642</v>
      </c>
      <c r="P474">
        <f>_xlfn.XLOOKUP(G474,AE:AE,'Tarievensheet per persoon'!AH:AH)</f>
        <v>1.3552</v>
      </c>
      <c r="Q474">
        <f>_xlfn.XLOOKUP(G474,AE:AE,'Tarievensheet per persoon'!AI:AI)</f>
        <v>1.3552</v>
      </c>
      <c r="R474">
        <v>0</v>
      </c>
      <c r="S474" s="14">
        <v>2.99</v>
      </c>
      <c r="T474" s="10">
        <f t="shared" si="78"/>
        <v>30.042724999999997</v>
      </c>
      <c r="U474" s="10">
        <f t="shared" si="79"/>
        <v>38.244920539999995</v>
      </c>
      <c r="V474" s="10">
        <f t="shared" si="80"/>
        <v>38.7420233</v>
      </c>
      <c r="W474" s="10">
        <f t="shared" si="81"/>
        <v>49.926835400000002</v>
      </c>
      <c r="X474" s="10">
        <f t="shared" si="82"/>
        <v>54.897863000000001</v>
      </c>
      <c r="Y474" s="10">
        <f t="shared" si="83"/>
        <v>79.753000999999998</v>
      </c>
      <c r="Z474" s="10">
        <f t="shared" si="84"/>
        <v>28.421254399999995</v>
      </c>
      <c r="AA474" s="10">
        <f t="shared" si="85"/>
        <v>36.541612800000003</v>
      </c>
      <c r="AB474" s="10">
        <f t="shared" si="86"/>
        <v>40.601792000000003</v>
      </c>
      <c r="AC474" s="10">
        <f t="shared" si="87"/>
        <v>60.902687999999998</v>
      </c>
    </row>
    <row r="475" spans="1:29" x14ac:dyDescent="0.25">
      <c r="A475">
        <v>429728</v>
      </c>
      <c r="B475" t="s">
        <v>64</v>
      </c>
      <c r="C475" s="10">
        <v>15.89</v>
      </c>
      <c r="D475" s="10">
        <v>14.98</v>
      </c>
      <c r="E475" s="10">
        <v>0</v>
      </c>
      <c r="F475">
        <v>43</v>
      </c>
      <c r="G475" t="s">
        <v>15</v>
      </c>
      <c r="H475" s="11">
        <v>45988</v>
      </c>
      <c r="I475" t="s">
        <v>13</v>
      </c>
      <c r="J475" s="12">
        <v>7.75</v>
      </c>
      <c r="K475" s="3">
        <v>232.81</v>
      </c>
      <c r="L475" s="3">
        <f t="shared" si="77"/>
        <v>30.04</v>
      </c>
      <c r="M475" s="13"/>
      <c r="N475">
        <f>_xlfn.XLOOKUP(G475,'Tarievensheet per persoon'!AE:AE,'Tarievensheet per persoon'!AF:AF)</f>
        <v>1.7024999999999999</v>
      </c>
      <c r="O475">
        <f>_xlfn.XLOOKUP(G475,AE:AE,'Tarievensheet per persoon'!AG:AG)</f>
        <v>1.5642</v>
      </c>
      <c r="P475">
        <f>_xlfn.XLOOKUP(G475,AE:AE,'Tarievensheet per persoon'!AH:AH)</f>
        <v>1.3552</v>
      </c>
      <c r="Q475">
        <f>_xlfn.XLOOKUP(G475,AE:AE,'Tarievensheet per persoon'!AI:AI)</f>
        <v>1.3552</v>
      </c>
      <c r="R475">
        <v>0</v>
      </c>
      <c r="S475" s="14">
        <v>2.99</v>
      </c>
      <c r="T475" s="10">
        <f t="shared" si="78"/>
        <v>30.042724999999997</v>
      </c>
      <c r="U475" s="10">
        <f t="shared" si="79"/>
        <v>38.244920539999995</v>
      </c>
      <c r="V475" s="10">
        <f t="shared" si="80"/>
        <v>38.7420233</v>
      </c>
      <c r="W475" s="10">
        <f t="shared" si="81"/>
        <v>49.926835400000002</v>
      </c>
      <c r="X475" s="10">
        <f t="shared" si="82"/>
        <v>54.897863000000001</v>
      </c>
      <c r="Y475" s="10">
        <f t="shared" si="83"/>
        <v>79.753000999999998</v>
      </c>
      <c r="Z475" s="10">
        <f t="shared" si="84"/>
        <v>28.421254399999995</v>
      </c>
      <c r="AA475" s="10">
        <f t="shared" si="85"/>
        <v>36.541612800000003</v>
      </c>
      <c r="AB475" s="10">
        <f t="shared" si="86"/>
        <v>40.601792000000003</v>
      </c>
      <c r="AC475" s="10">
        <f t="shared" si="87"/>
        <v>60.902687999999998</v>
      </c>
    </row>
    <row r="476" spans="1:29" x14ac:dyDescent="0.25">
      <c r="A476">
        <v>429728</v>
      </c>
      <c r="B476" t="s">
        <v>64</v>
      </c>
      <c r="C476" s="10">
        <v>15.89</v>
      </c>
      <c r="D476" s="10">
        <v>14.98</v>
      </c>
      <c r="E476" s="10">
        <v>0</v>
      </c>
      <c r="F476">
        <v>43</v>
      </c>
      <c r="G476" t="s">
        <v>15</v>
      </c>
      <c r="H476" s="11">
        <v>45989</v>
      </c>
      <c r="I476" t="s">
        <v>13</v>
      </c>
      <c r="J476" s="12">
        <v>5.5</v>
      </c>
      <c r="K476" s="3">
        <v>165.22</v>
      </c>
      <c r="L476" s="3">
        <f t="shared" si="77"/>
        <v>30.04</v>
      </c>
      <c r="M476" s="13"/>
      <c r="N476">
        <f>_xlfn.XLOOKUP(G476,'Tarievensheet per persoon'!AE:AE,'Tarievensheet per persoon'!AF:AF)</f>
        <v>1.7024999999999999</v>
      </c>
      <c r="O476">
        <f>_xlfn.XLOOKUP(G476,AE:AE,'Tarievensheet per persoon'!AG:AG)</f>
        <v>1.5642</v>
      </c>
      <c r="P476">
        <f>_xlfn.XLOOKUP(G476,AE:AE,'Tarievensheet per persoon'!AH:AH)</f>
        <v>1.3552</v>
      </c>
      <c r="Q476">
        <f>_xlfn.XLOOKUP(G476,AE:AE,'Tarievensheet per persoon'!AI:AI)</f>
        <v>1.3552</v>
      </c>
      <c r="R476">
        <v>0</v>
      </c>
      <c r="S476" s="14">
        <v>2.99</v>
      </c>
      <c r="T476" s="10">
        <f t="shared" si="78"/>
        <v>30.042724999999997</v>
      </c>
      <c r="U476" s="10">
        <f t="shared" si="79"/>
        <v>38.244920539999995</v>
      </c>
      <c r="V476" s="10">
        <f t="shared" si="80"/>
        <v>38.7420233</v>
      </c>
      <c r="W476" s="10">
        <f t="shared" si="81"/>
        <v>49.926835400000002</v>
      </c>
      <c r="X476" s="10">
        <f t="shared" si="82"/>
        <v>54.897863000000001</v>
      </c>
      <c r="Y476" s="10">
        <f t="shared" si="83"/>
        <v>79.753000999999998</v>
      </c>
      <c r="Z476" s="10">
        <f t="shared" si="84"/>
        <v>28.421254399999995</v>
      </c>
      <c r="AA476" s="10">
        <f t="shared" si="85"/>
        <v>36.541612800000003</v>
      </c>
      <c r="AB476" s="10">
        <f t="shared" si="86"/>
        <v>40.601792000000003</v>
      </c>
      <c r="AC476" s="10">
        <f t="shared" si="87"/>
        <v>60.902687999999998</v>
      </c>
    </row>
    <row r="477" spans="1:29" x14ac:dyDescent="0.25">
      <c r="A477">
        <v>429969</v>
      </c>
      <c r="B477" t="s">
        <v>65</v>
      </c>
      <c r="C477" s="10">
        <v>15.89</v>
      </c>
      <c r="D477" s="10">
        <v>14.98</v>
      </c>
      <c r="E477" s="10">
        <v>0</v>
      </c>
      <c r="F477">
        <v>21</v>
      </c>
      <c r="G477" t="s">
        <v>15</v>
      </c>
      <c r="H477" s="11">
        <v>45985</v>
      </c>
      <c r="I477" t="s">
        <v>13</v>
      </c>
      <c r="J477" s="12">
        <v>2.25</v>
      </c>
      <c r="K477" s="3">
        <v>67.59</v>
      </c>
      <c r="L477" s="3">
        <f t="shared" si="77"/>
        <v>30.040000000000003</v>
      </c>
      <c r="M477" s="13"/>
      <c r="N477">
        <f>_xlfn.XLOOKUP(G477,'Tarievensheet per persoon'!AE:AE,'Tarievensheet per persoon'!AF:AF)</f>
        <v>1.7024999999999999</v>
      </c>
      <c r="O477">
        <f>_xlfn.XLOOKUP(G477,AE:AE,'Tarievensheet per persoon'!AG:AG)</f>
        <v>1.5642</v>
      </c>
      <c r="P477">
        <f>_xlfn.XLOOKUP(G477,AE:AE,'Tarievensheet per persoon'!AH:AH)</f>
        <v>1.3552</v>
      </c>
      <c r="Q477">
        <f>_xlfn.XLOOKUP(G477,AE:AE,'Tarievensheet per persoon'!AI:AI)</f>
        <v>1.3552</v>
      </c>
      <c r="R477">
        <v>0</v>
      </c>
      <c r="S477" s="14">
        <v>2.99</v>
      </c>
      <c r="T477" s="10">
        <f t="shared" si="78"/>
        <v>30.042724999999997</v>
      </c>
      <c r="U477" s="10">
        <f t="shared" si="79"/>
        <v>38.244920539999995</v>
      </c>
      <c r="V477" s="10">
        <f t="shared" si="80"/>
        <v>38.7420233</v>
      </c>
      <c r="W477" s="10">
        <f t="shared" si="81"/>
        <v>49.926835400000002</v>
      </c>
      <c r="X477" s="10">
        <f t="shared" si="82"/>
        <v>54.897863000000001</v>
      </c>
      <c r="Y477" s="10">
        <f t="shared" si="83"/>
        <v>79.753000999999998</v>
      </c>
      <c r="Z477" s="10">
        <f t="shared" si="84"/>
        <v>28.421254399999995</v>
      </c>
      <c r="AA477" s="10">
        <f t="shared" si="85"/>
        <v>36.541612800000003</v>
      </c>
      <c r="AB477" s="10">
        <f t="shared" si="86"/>
        <v>40.601792000000003</v>
      </c>
      <c r="AC477" s="10">
        <f t="shared" si="87"/>
        <v>60.902687999999998</v>
      </c>
    </row>
    <row r="478" spans="1:29" x14ac:dyDescent="0.25">
      <c r="A478">
        <v>429969</v>
      </c>
      <c r="B478" t="s">
        <v>65</v>
      </c>
      <c r="C478" s="10">
        <v>15.89</v>
      </c>
      <c r="D478" s="10">
        <v>14.98</v>
      </c>
      <c r="E478" s="10">
        <v>0</v>
      </c>
      <c r="F478">
        <v>21</v>
      </c>
      <c r="G478" t="s">
        <v>15</v>
      </c>
      <c r="H478" s="11">
        <v>45985</v>
      </c>
      <c r="I478" t="s">
        <v>21</v>
      </c>
      <c r="J478" s="12">
        <v>5.25</v>
      </c>
      <c r="K478" s="3">
        <v>200.76</v>
      </c>
      <c r="L478" s="3">
        <f t="shared" si="77"/>
        <v>38.239999999999995</v>
      </c>
      <c r="M478" s="13"/>
      <c r="N478">
        <f>_xlfn.XLOOKUP(G478,'Tarievensheet per persoon'!AE:AE,'Tarievensheet per persoon'!AF:AF)</f>
        <v>1.7024999999999999</v>
      </c>
      <c r="O478">
        <f>_xlfn.XLOOKUP(G478,AE:AE,'Tarievensheet per persoon'!AG:AG)</f>
        <v>1.5642</v>
      </c>
      <c r="P478">
        <f>_xlfn.XLOOKUP(G478,AE:AE,'Tarievensheet per persoon'!AH:AH)</f>
        <v>1.3552</v>
      </c>
      <c r="Q478">
        <f>_xlfn.XLOOKUP(G478,AE:AE,'Tarievensheet per persoon'!AI:AI)</f>
        <v>1.3552</v>
      </c>
      <c r="R478">
        <v>0</v>
      </c>
      <c r="S478" s="14">
        <v>2.99</v>
      </c>
      <c r="T478" s="10">
        <f t="shared" si="78"/>
        <v>30.042724999999997</v>
      </c>
      <c r="U478" s="10">
        <f t="shared" si="79"/>
        <v>38.244920539999995</v>
      </c>
      <c r="V478" s="10">
        <f t="shared" si="80"/>
        <v>38.7420233</v>
      </c>
      <c r="W478" s="10">
        <f t="shared" si="81"/>
        <v>49.926835400000002</v>
      </c>
      <c r="X478" s="10">
        <f t="shared" si="82"/>
        <v>54.897863000000001</v>
      </c>
      <c r="Y478" s="10">
        <f t="shared" si="83"/>
        <v>79.753000999999998</v>
      </c>
      <c r="Z478" s="10">
        <f t="shared" si="84"/>
        <v>28.421254399999995</v>
      </c>
      <c r="AA478" s="10">
        <f t="shared" si="85"/>
        <v>36.541612800000003</v>
      </c>
      <c r="AB478" s="10">
        <f t="shared" si="86"/>
        <v>40.601792000000003</v>
      </c>
      <c r="AC478" s="10">
        <f t="shared" si="87"/>
        <v>60.902687999999998</v>
      </c>
    </row>
    <row r="479" spans="1:29" x14ac:dyDescent="0.25">
      <c r="A479">
        <v>429969</v>
      </c>
      <c r="B479" t="s">
        <v>65</v>
      </c>
      <c r="C479" s="10">
        <v>15.89</v>
      </c>
      <c r="D479" s="10">
        <v>14.98</v>
      </c>
      <c r="E479" s="10">
        <v>0</v>
      </c>
      <c r="F479">
        <v>21</v>
      </c>
      <c r="G479" t="s">
        <v>15</v>
      </c>
      <c r="H479" s="11">
        <v>45986</v>
      </c>
      <c r="I479" t="s">
        <v>13</v>
      </c>
      <c r="J479" s="12">
        <v>2.5</v>
      </c>
      <c r="K479" s="3">
        <v>75.099999999999994</v>
      </c>
      <c r="L479" s="3">
        <f t="shared" si="77"/>
        <v>30.04</v>
      </c>
      <c r="M479" s="13"/>
      <c r="N479">
        <f>_xlfn.XLOOKUP(G479,'Tarievensheet per persoon'!AE:AE,'Tarievensheet per persoon'!AF:AF)</f>
        <v>1.7024999999999999</v>
      </c>
      <c r="O479">
        <f>_xlfn.XLOOKUP(G479,AE:AE,'Tarievensheet per persoon'!AG:AG)</f>
        <v>1.5642</v>
      </c>
      <c r="P479">
        <f>_xlfn.XLOOKUP(G479,AE:AE,'Tarievensheet per persoon'!AH:AH)</f>
        <v>1.3552</v>
      </c>
      <c r="Q479">
        <f>_xlfn.XLOOKUP(G479,AE:AE,'Tarievensheet per persoon'!AI:AI)</f>
        <v>1.3552</v>
      </c>
      <c r="R479">
        <v>0</v>
      </c>
      <c r="S479" s="14">
        <v>2.99</v>
      </c>
      <c r="T479" s="10">
        <f t="shared" si="78"/>
        <v>30.042724999999997</v>
      </c>
      <c r="U479" s="10">
        <f t="shared" si="79"/>
        <v>38.244920539999995</v>
      </c>
      <c r="V479" s="10">
        <f t="shared" si="80"/>
        <v>38.7420233</v>
      </c>
      <c r="W479" s="10">
        <f t="shared" si="81"/>
        <v>49.926835400000002</v>
      </c>
      <c r="X479" s="10">
        <f t="shared" si="82"/>
        <v>54.897863000000001</v>
      </c>
      <c r="Y479" s="10">
        <f t="shared" si="83"/>
        <v>79.753000999999998</v>
      </c>
      <c r="Z479" s="10">
        <f t="shared" si="84"/>
        <v>28.421254399999995</v>
      </c>
      <c r="AA479" s="10">
        <f t="shared" si="85"/>
        <v>36.541612800000003</v>
      </c>
      <c r="AB479" s="10">
        <f t="shared" si="86"/>
        <v>40.601792000000003</v>
      </c>
      <c r="AC479" s="10">
        <f t="shared" si="87"/>
        <v>60.902687999999998</v>
      </c>
    </row>
    <row r="480" spans="1:29" x14ac:dyDescent="0.25">
      <c r="A480">
        <v>429969</v>
      </c>
      <c r="B480" t="s">
        <v>65</v>
      </c>
      <c r="C480" s="10">
        <v>15.89</v>
      </c>
      <c r="D480" s="10">
        <v>14.98</v>
      </c>
      <c r="E480" s="10">
        <v>0</v>
      </c>
      <c r="F480">
        <v>21</v>
      </c>
      <c r="G480" t="s">
        <v>15</v>
      </c>
      <c r="H480" s="11">
        <v>45986</v>
      </c>
      <c r="I480" t="s">
        <v>21</v>
      </c>
      <c r="J480" s="12">
        <v>5.25</v>
      </c>
      <c r="K480" s="3">
        <v>200.76</v>
      </c>
      <c r="L480" s="3">
        <f t="shared" si="77"/>
        <v>38.239999999999995</v>
      </c>
      <c r="M480" s="13"/>
      <c r="N480">
        <f>_xlfn.XLOOKUP(G480,'Tarievensheet per persoon'!AE:AE,'Tarievensheet per persoon'!AF:AF)</f>
        <v>1.7024999999999999</v>
      </c>
      <c r="O480">
        <f>_xlfn.XLOOKUP(G480,AE:AE,'Tarievensheet per persoon'!AG:AG)</f>
        <v>1.5642</v>
      </c>
      <c r="P480">
        <f>_xlfn.XLOOKUP(G480,AE:AE,'Tarievensheet per persoon'!AH:AH)</f>
        <v>1.3552</v>
      </c>
      <c r="Q480">
        <f>_xlfn.XLOOKUP(G480,AE:AE,'Tarievensheet per persoon'!AI:AI)</f>
        <v>1.3552</v>
      </c>
      <c r="R480">
        <v>0</v>
      </c>
      <c r="S480" s="14">
        <v>2.99</v>
      </c>
      <c r="T480" s="10">
        <f t="shared" si="78"/>
        <v>30.042724999999997</v>
      </c>
      <c r="U480" s="10">
        <f t="shared" si="79"/>
        <v>38.244920539999995</v>
      </c>
      <c r="V480" s="10">
        <f t="shared" si="80"/>
        <v>38.7420233</v>
      </c>
      <c r="W480" s="10">
        <f t="shared" si="81"/>
        <v>49.926835400000002</v>
      </c>
      <c r="X480" s="10">
        <f t="shared" si="82"/>
        <v>54.897863000000001</v>
      </c>
      <c r="Y480" s="10">
        <f t="shared" si="83"/>
        <v>79.753000999999998</v>
      </c>
      <c r="Z480" s="10">
        <f t="shared" si="84"/>
        <v>28.421254399999995</v>
      </c>
      <c r="AA480" s="10">
        <f t="shared" si="85"/>
        <v>36.541612800000003</v>
      </c>
      <c r="AB480" s="10">
        <f t="shared" si="86"/>
        <v>40.601792000000003</v>
      </c>
      <c r="AC480" s="10">
        <f t="shared" si="87"/>
        <v>60.902687999999998</v>
      </c>
    </row>
    <row r="481" spans="1:29" x14ac:dyDescent="0.25">
      <c r="A481">
        <v>429969</v>
      </c>
      <c r="B481" t="s">
        <v>65</v>
      </c>
      <c r="C481" s="10">
        <v>15.89</v>
      </c>
      <c r="D481" s="10">
        <v>14.98</v>
      </c>
      <c r="E481" s="10">
        <v>0</v>
      </c>
      <c r="F481">
        <v>21</v>
      </c>
      <c r="G481" t="s">
        <v>15</v>
      </c>
      <c r="H481" s="11">
        <v>45987</v>
      </c>
      <c r="I481" t="s">
        <v>13</v>
      </c>
      <c r="J481" s="12">
        <v>2.5</v>
      </c>
      <c r="K481" s="3">
        <v>75.099999999999994</v>
      </c>
      <c r="L481" s="3">
        <f t="shared" si="77"/>
        <v>30.04</v>
      </c>
      <c r="M481" s="13"/>
      <c r="N481">
        <f>_xlfn.XLOOKUP(G481,'Tarievensheet per persoon'!AE:AE,'Tarievensheet per persoon'!AF:AF)</f>
        <v>1.7024999999999999</v>
      </c>
      <c r="O481">
        <f>_xlfn.XLOOKUP(G481,AE:AE,'Tarievensheet per persoon'!AG:AG)</f>
        <v>1.5642</v>
      </c>
      <c r="P481">
        <f>_xlfn.XLOOKUP(G481,AE:AE,'Tarievensheet per persoon'!AH:AH)</f>
        <v>1.3552</v>
      </c>
      <c r="Q481">
        <f>_xlfn.XLOOKUP(G481,AE:AE,'Tarievensheet per persoon'!AI:AI)</f>
        <v>1.3552</v>
      </c>
      <c r="R481">
        <v>0</v>
      </c>
      <c r="S481" s="14">
        <v>2.99</v>
      </c>
      <c r="T481" s="10">
        <f t="shared" si="78"/>
        <v>30.042724999999997</v>
      </c>
      <c r="U481" s="10">
        <f t="shared" si="79"/>
        <v>38.244920539999995</v>
      </c>
      <c r="V481" s="10">
        <f t="shared" si="80"/>
        <v>38.7420233</v>
      </c>
      <c r="W481" s="10">
        <f t="shared" si="81"/>
        <v>49.926835400000002</v>
      </c>
      <c r="X481" s="10">
        <f t="shared" si="82"/>
        <v>54.897863000000001</v>
      </c>
      <c r="Y481" s="10">
        <f t="shared" si="83"/>
        <v>79.753000999999998</v>
      </c>
      <c r="Z481" s="10">
        <f t="shared" si="84"/>
        <v>28.421254399999995</v>
      </c>
      <c r="AA481" s="10">
        <f t="shared" si="85"/>
        <v>36.541612800000003</v>
      </c>
      <c r="AB481" s="10">
        <f t="shared" si="86"/>
        <v>40.601792000000003</v>
      </c>
      <c r="AC481" s="10">
        <f t="shared" si="87"/>
        <v>60.902687999999998</v>
      </c>
    </row>
    <row r="482" spans="1:29" x14ac:dyDescent="0.25">
      <c r="A482">
        <v>429969</v>
      </c>
      <c r="B482" t="s">
        <v>65</v>
      </c>
      <c r="C482" s="10">
        <v>15.89</v>
      </c>
      <c r="D482" s="10">
        <v>14.98</v>
      </c>
      <c r="E482" s="10">
        <v>0</v>
      </c>
      <c r="F482">
        <v>21</v>
      </c>
      <c r="G482" t="s">
        <v>15</v>
      </c>
      <c r="H482" s="11">
        <v>45987</v>
      </c>
      <c r="I482" t="s">
        <v>21</v>
      </c>
      <c r="J482" s="12">
        <v>5.25</v>
      </c>
      <c r="K482" s="3">
        <v>200.76</v>
      </c>
      <c r="L482" s="3">
        <f t="shared" si="77"/>
        <v>38.239999999999995</v>
      </c>
      <c r="M482" s="13"/>
      <c r="N482">
        <f>_xlfn.XLOOKUP(G482,'Tarievensheet per persoon'!AE:AE,'Tarievensheet per persoon'!AF:AF)</f>
        <v>1.7024999999999999</v>
      </c>
      <c r="O482">
        <f>_xlfn.XLOOKUP(G482,AE:AE,'Tarievensheet per persoon'!AG:AG)</f>
        <v>1.5642</v>
      </c>
      <c r="P482">
        <f>_xlfn.XLOOKUP(G482,AE:AE,'Tarievensheet per persoon'!AH:AH)</f>
        <v>1.3552</v>
      </c>
      <c r="Q482">
        <f>_xlfn.XLOOKUP(G482,AE:AE,'Tarievensheet per persoon'!AI:AI)</f>
        <v>1.3552</v>
      </c>
      <c r="R482">
        <v>0</v>
      </c>
      <c r="S482" s="14">
        <v>2.99</v>
      </c>
      <c r="T482" s="10">
        <f t="shared" si="78"/>
        <v>30.042724999999997</v>
      </c>
      <c r="U482" s="10">
        <f t="shared" si="79"/>
        <v>38.244920539999995</v>
      </c>
      <c r="V482" s="10">
        <f t="shared" si="80"/>
        <v>38.7420233</v>
      </c>
      <c r="W482" s="10">
        <f t="shared" si="81"/>
        <v>49.926835400000002</v>
      </c>
      <c r="X482" s="10">
        <f t="shared" si="82"/>
        <v>54.897863000000001</v>
      </c>
      <c r="Y482" s="10">
        <f t="shared" si="83"/>
        <v>79.753000999999998</v>
      </c>
      <c r="Z482" s="10">
        <f t="shared" si="84"/>
        <v>28.421254399999995</v>
      </c>
      <c r="AA482" s="10">
        <f t="shared" si="85"/>
        <v>36.541612800000003</v>
      </c>
      <c r="AB482" s="10">
        <f t="shared" si="86"/>
        <v>40.601792000000003</v>
      </c>
      <c r="AC482" s="10">
        <f t="shared" si="87"/>
        <v>60.902687999999998</v>
      </c>
    </row>
    <row r="483" spans="1:29" x14ac:dyDescent="0.25">
      <c r="A483">
        <v>429969</v>
      </c>
      <c r="B483" t="s">
        <v>65</v>
      </c>
      <c r="C483" s="10">
        <v>15.89</v>
      </c>
      <c r="D483" s="10">
        <v>14.98</v>
      </c>
      <c r="E483" s="10">
        <v>0</v>
      </c>
      <c r="F483">
        <v>21</v>
      </c>
      <c r="G483" t="s">
        <v>15</v>
      </c>
      <c r="H483" s="11">
        <v>45988</v>
      </c>
      <c r="I483" t="s">
        <v>13</v>
      </c>
      <c r="J483" s="12">
        <v>2.25</v>
      </c>
      <c r="K483" s="3">
        <v>67.59</v>
      </c>
      <c r="L483" s="3">
        <f t="shared" si="77"/>
        <v>30.040000000000003</v>
      </c>
      <c r="M483" s="13"/>
      <c r="N483">
        <f>_xlfn.XLOOKUP(G483,'Tarievensheet per persoon'!AE:AE,'Tarievensheet per persoon'!AF:AF)</f>
        <v>1.7024999999999999</v>
      </c>
      <c r="O483">
        <f>_xlfn.XLOOKUP(G483,AE:AE,'Tarievensheet per persoon'!AG:AG)</f>
        <v>1.5642</v>
      </c>
      <c r="P483">
        <f>_xlfn.XLOOKUP(G483,AE:AE,'Tarievensheet per persoon'!AH:AH)</f>
        <v>1.3552</v>
      </c>
      <c r="Q483">
        <f>_xlfn.XLOOKUP(G483,AE:AE,'Tarievensheet per persoon'!AI:AI)</f>
        <v>1.3552</v>
      </c>
      <c r="R483">
        <v>0</v>
      </c>
      <c r="S483" s="14">
        <v>2.99</v>
      </c>
      <c r="T483" s="10">
        <f t="shared" si="78"/>
        <v>30.042724999999997</v>
      </c>
      <c r="U483" s="10">
        <f t="shared" si="79"/>
        <v>38.244920539999995</v>
      </c>
      <c r="V483" s="10">
        <f t="shared" si="80"/>
        <v>38.7420233</v>
      </c>
      <c r="W483" s="10">
        <f t="shared" si="81"/>
        <v>49.926835400000002</v>
      </c>
      <c r="X483" s="10">
        <f t="shared" si="82"/>
        <v>54.897863000000001</v>
      </c>
      <c r="Y483" s="10">
        <f t="shared" si="83"/>
        <v>79.753000999999998</v>
      </c>
      <c r="Z483" s="10">
        <f t="shared" si="84"/>
        <v>28.421254399999995</v>
      </c>
      <c r="AA483" s="10">
        <f t="shared" si="85"/>
        <v>36.541612800000003</v>
      </c>
      <c r="AB483" s="10">
        <f t="shared" si="86"/>
        <v>40.601792000000003</v>
      </c>
      <c r="AC483" s="10">
        <f t="shared" si="87"/>
        <v>60.902687999999998</v>
      </c>
    </row>
    <row r="484" spans="1:29" x14ac:dyDescent="0.25">
      <c r="A484">
        <v>429969</v>
      </c>
      <c r="B484" t="s">
        <v>65</v>
      </c>
      <c r="C484" s="10">
        <v>15.89</v>
      </c>
      <c r="D484" s="10">
        <v>14.98</v>
      </c>
      <c r="E484" s="10">
        <v>0</v>
      </c>
      <c r="F484">
        <v>21</v>
      </c>
      <c r="G484" t="s">
        <v>15</v>
      </c>
      <c r="H484" s="11">
        <v>45988</v>
      </c>
      <c r="I484" t="s">
        <v>21</v>
      </c>
      <c r="J484" s="12">
        <v>5.25</v>
      </c>
      <c r="K484" s="3">
        <v>200.76</v>
      </c>
      <c r="L484" s="3">
        <f t="shared" si="77"/>
        <v>38.239999999999995</v>
      </c>
      <c r="M484" s="13"/>
      <c r="N484">
        <f>_xlfn.XLOOKUP(G484,'Tarievensheet per persoon'!AE:AE,'Tarievensheet per persoon'!AF:AF)</f>
        <v>1.7024999999999999</v>
      </c>
      <c r="O484">
        <f>_xlfn.XLOOKUP(G484,AE:AE,'Tarievensheet per persoon'!AG:AG)</f>
        <v>1.5642</v>
      </c>
      <c r="P484">
        <f>_xlfn.XLOOKUP(G484,AE:AE,'Tarievensheet per persoon'!AH:AH)</f>
        <v>1.3552</v>
      </c>
      <c r="Q484">
        <f>_xlfn.XLOOKUP(G484,AE:AE,'Tarievensheet per persoon'!AI:AI)</f>
        <v>1.3552</v>
      </c>
      <c r="R484">
        <v>0</v>
      </c>
      <c r="S484" s="14">
        <v>2.99</v>
      </c>
      <c r="T484" s="10">
        <f t="shared" si="78"/>
        <v>30.042724999999997</v>
      </c>
      <c r="U484" s="10">
        <f t="shared" si="79"/>
        <v>38.244920539999995</v>
      </c>
      <c r="V484" s="10">
        <f t="shared" si="80"/>
        <v>38.7420233</v>
      </c>
      <c r="W484" s="10">
        <f t="shared" si="81"/>
        <v>49.926835400000002</v>
      </c>
      <c r="X484" s="10">
        <f t="shared" si="82"/>
        <v>54.897863000000001</v>
      </c>
      <c r="Y484" s="10">
        <f t="shared" si="83"/>
        <v>79.753000999999998</v>
      </c>
      <c r="Z484" s="10">
        <f t="shared" si="84"/>
        <v>28.421254399999995</v>
      </c>
      <c r="AA484" s="10">
        <f t="shared" si="85"/>
        <v>36.541612800000003</v>
      </c>
      <c r="AB484" s="10">
        <f t="shared" si="86"/>
        <v>40.601792000000003</v>
      </c>
      <c r="AC484" s="10">
        <f t="shared" si="87"/>
        <v>60.902687999999998</v>
      </c>
    </row>
    <row r="485" spans="1:29" x14ac:dyDescent="0.25">
      <c r="A485">
        <v>429969</v>
      </c>
      <c r="B485" t="s">
        <v>65</v>
      </c>
      <c r="C485" s="10">
        <v>15.89</v>
      </c>
      <c r="D485" s="10">
        <v>14.98</v>
      </c>
      <c r="E485" s="10">
        <v>0</v>
      </c>
      <c r="F485">
        <v>21</v>
      </c>
      <c r="G485" t="s">
        <v>15</v>
      </c>
      <c r="H485" s="11">
        <v>45989</v>
      </c>
      <c r="I485" t="s">
        <v>13</v>
      </c>
      <c r="J485" s="12">
        <v>2.5</v>
      </c>
      <c r="K485" s="3">
        <v>75.099999999999994</v>
      </c>
      <c r="L485" s="3">
        <f t="shared" si="77"/>
        <v>30.04</v>
      </c>
      <c r="M485" s="13"/>
      <c r="N485">
        <f>_xlfn.XLOOKUP(G485,'Tarievensheet per persoon'!AE:AE,'Tarievensheet per persoon'!AF:AF)</f>
        <v>1.7024999999999999</v>
      </c>
      <c r="O485">
        <f>_xlfn.XLOOKUP(G485,AE:AE,'Tarievensheet per persoon'!AG:AG)</f>
        <v>1.5642</v>
      </c>
      <c r="P485">
        <f>_xlfn.XLOOKUP(G485,AE:AE,'Tarievensheet per persoon'!AH:AH)</f>
        <v>1.3552</v>
      </c>
      <c r="Q485">
        <f>_xlfn.XLOOKUP(G485,AE:AE,'Tarievensheet per persoon'!AI:AI)</f>
        <v>1.3552</v>
      </c>
      <c r="R485">
        <v>0</v>
      </c>
      <c r="S485" s="14">
        <v>2.99</v>
      </c>
      <c r="T485" s="10">
        <f t="shared" si="78"/>
        <v>30.042724999999997</v>
      </c>
      <c r="U485" s="10">
        <f t="shared" si="79"/>
        <v>38.244920539999995</v>
      </c>
      <c r="V485" s="10">
        <f t="shared" si="80"/>
        <v>38.7420233</v>
      </c>
      <c r="W485" s="10">
        <f t="shared" si="81"/>
        <v>49.926835400000002</v>
      </c>
      <c r="X485" s="10">
        <f t="shared" si="82"/>
        <v>54.897863000000001</v>
      </c>
      <c r="Y485" s="10">
        <f t="shared" si="83"/>
        <v>79.753000999999998</v>
      </c>
      <c r="Z485" s="10">
        <f t="shared" si="84"/>
        <v>28.421254399999995</v>
      </c>
      <c r="AA485" s="10">
        <f t="shared" si="85"/>
        <v>36.541612800000003</v>
      </c>
      <c r="AB485" s="10">
        <f t="shared" si="86"/>
        <v>40.601792000000003</v>
      </c>
      <c r="AC485" s="10">
        <f t="shared" si="87"/>
        <v>60.902687999999998</v>
      </c>
    </row>
    <row r="486" spans="1:29" x14ac:dyDescent="0.25">
      <c r="A486">
        <v>429969</v>
      </c>
      <c r="B486" t="s">
        <v>65</v>
      </c>
      <c r="C486" s="10">
        <v>15.89</v>
      </c>
      <c r="D486" s="10">
        <v>14.98</v>
      </c>
      <c r="E486" s="10">
        <v>0</v>
      </c>
      <c r="F486">
        <v>21</v>
      </c>
      <c r="G486" t="s">
        <v>15</v>
      </c>
      <c r="H486" s="11">
        <v>45989</v>
      </c>
      <c r="I486" t="s">
        <v>21</v>
      </c>
      <c r="J486" s="12">
        <v>4.5</v>
      </c>
      <c r="K486" s="3">
        <v>172.08</v>
      </c>
      <c r="L486" s="3">
        <f t="shared" si="77"/>
        <v>38.24</v>
      </c>
      <c r="M486" s="13"/>
      <c r="N486">
        <f>_xlfn.XLOOKUP(G486,'Tarievensheet per persoon'!AE:AE,'Tarievensheet per persoon'!AF:AF)</f>
        <v>1.7024999999999999</v>
      </c>
      <c r="O486">
        <f>_xlfn.XLOOKUP(G486,AE:AE,'Tarievensheet per persoon'!AG:AG)</f>
        <v>1.5642</v>
      </c>
      <c r="P486">
        <f>_xlfn.XLOOKUP(G486,AE:AE,'Tarievensheet per persoon'!AH:AH)</f>
        <v>1.3552</v>
      </c>
      <c r="Q486">
        <f>_xlfn.XLOOKUP(G486,AE:AE,'Tarievensheet per persoon'!AI:AI)</f>
        <v>1.3552</v>
      </c>
      <c r="R486">
        <v>0</v>
      </c>
      <c r="S486" s="14">
        <v>2.99</v>
      </c>
      <c r="T486" s="10">
        <f t="shared" si="78"/>
        <v>30.042724999999997</v>
      </c>
      <c r="U486" s="10">
        <f t="shared" si="79"/>
        <v>38.244920539999995</v>
      </c>
      <c r="V486" s="10">
        <f t="shared" si="80"/>
        <v>38.7420233</v>
      </c>
      <c r="W486" s="10">
        <f t="shared" si="81"/>
        <v>49.926835400000002</v>
      </c>
      <c r="X486" s="10">
        <f t="shared" si="82"/>
        <v>54.897863000000001</v>
      </c>
      <c r="Y486" s="10">
        <f t="shared" si="83"/>
        <v>79.753000999999998</v>
      </c>
      <c r="Z486" s="10">
        <f t="shared" si="84"/>
        <v>28.421254399999995</v>
      </c>
      <c r="AA486" s="10">
        <f t="shared" si="85"/>
        <v>36.541612800000003</v>
      </c>
      <c r="AB486" s="10">
        <f t="shared" si="86"/>
        <v>40.601792000000003</v>
      </c>
      <c r="AC486" s="10">
        <f t="shared" si="87"/>
        <v>60.902687999999998</v>
      </c>
    </row>
    <row r="487" spans="1:29" x14ac:dyDescent="0.25">
      <c r="A487">
        <v>433027</v>
      </c>
      <c r="B487" t="s">
        <v>117</v>
      </c>
      <c r="C487" s="10">
        <v>15.89</v>
      </c>
      <c r="D487" s="10">
        <v>14.98</v>
      </c>
      <c r="E487" s="10">
        <v>0</v>
      </c>
      <c r="F487">
        <v>51</v>
      </c>
      <c r="G487" t="s">
        <v>15</v>
      </c>
      <c r="H487" s="11">
        <v>45987</v>
      </c>
      <c r="I487" t="s">
        <v>13</v>
      </c>
      <c r="J487" s="12">
        <v>9</v>
      </c>
      <c r="K487" s="3">
        <v>270.36</v>
      </c>
      <c r="L487" s="3">
        <f t="shared" si="77"/>
        <v>30.040000000000003</v>
      </c>
      <c r="M487" s="13"/>
      <c r="N487">
        <f>_xlfn.XLOOKUP(G487,'Tarievensheet per persoon'!AE:AE,'Tarievensheet per persoon'!AF:AF)</f>
        <v>1.7024999999999999</v>
      </c>
      <c r="O487">
        <f>_xlfn.XLOOKUP(G487,AE:AE,'Tarievensheet per persoon'!AG:AG)</f>
        <v>1.5642</v>
      </c>
      <c r="P487">
        <f>_xlfn.XLOOKUP(G487,AE:AE,'Tarievensheet per persoon'!AH:AH)</f>
        <v>1.3552</v>
      </c>
      <c r="Q487">
        <f>_xlfn.XLOOKUP(G487,AE:AE,'Tarievensheet per persoon'!AI:AI)</f>
        <v>1.3552</v>
      </c>
      <c r="R487">
        <v>0</v>
      </c>
      <c r="S487" s="14">
        <v>2.99</v>
      </c>
      <c r="T487" s="10">
        <f t="shared" si="78"/>
        <v>30.042724999999997</v>
      </c>
      <c r="U487" s="10">
        <f t="shared" si="79"/>
        <v>38.244920539999995</v>
      </c>
      <c r="V487" s="10">
        <f t="shared" si="80"/>
        <v>38.7420233</v>
      </c>
      <c r="W487" s="10">
        <f t="shared" si="81"/>
        <v>49.926835400000002</v>
      </c>
      <c r="X487" s="10">
        <f t="shared" si="82"/>
        <v>54.897863000000001</v>
      </c>
      <c r="Y487" s="10">
        <f t="shared" si="83"/>
        <v>79.753000999999998</v>
      </c>
      <c r="Z487" s="10">
        <f t="shared" si="84"/>
        <v>28.421254399999995</v>
      </c>
      <c r="AA487" s="10">
        <f t="shared" si="85"/>
        <v>36.541612800000003</v>
      </c>
      <c r="AB487" s="10">
        <f t="shared" si="86"/>
        <v>40.601792000000003</v>
      </c>
      <c r="AC487" s="10">
        <f t="shared" si="87"/>
        <v>60.902687999999998</v>
      </c>
    </row>
    <row r="488" spans="1:29" x14ac:dyDescent="0.25">
      <c r="A488">
        <v>433027</v>
      </c>
      <c r="B488" t="s">
        <v>117</v>
      </c>
      <c r="C488" s="10">
        <v>15.89</v>
      </c>
      <c r="D488" s="10">
        <v>14.98</v>
      </c>
      <c r="E488" s="10">
        <v>0</v>
      </c>
      <c r="F488">
        <v>51</v>
      </c>
      <c r="G488" t="s">
        <v>15</v>
      </c>
      <c r="H488" s="11">
        <v>45988</v>
      </c>
      <c r="I488" t="s">
        <v>13</v>
      </c>
      <c r="J488" s="12">
        <v>8</v>
      </c>
      <c r="K488" s="3">
        <v>240.32</v>
      </c>
      <c r="L488" s="3">
        <f t="shared" si="77"/>
        <v>30.04</v>
      </c>
      <c r="M488" s="13"/>
      <c r="N488">
        <f>_xlfn.XLOOKUP(G488,'Tarievensheet per persoon'!AE:AE,'Tarievensheet per persoon'!AF:AF)</f>
        <v>1.7024999999999999</v>
      </c>
      <c r="O488">
        <f>_xlfn.XLOOKUP(G488,AE:AE,'Tarievensheet per persoon'!AG:AG)</f>
        <v>1.5642</v>
      </c>
      <c r="P488">
        <f>_xlfn.XLOOKUP(G488,AE:AE,'Tarievensheet per persoon'!AH:AH)</f>
        <v>1.3552</v>
      </c>
      <c r="Q488">
        <f>_xlfn.XLOOKUP(G488,AE:AE,'Tarievensheet per persoon'!AI:AI)</f>
        <v>1.3552</v>
      </c>
      <c r="R488">
        <v>0</v>
      </c>
      <c r="S488" s="14">
        <v>2.99</v>
      </c>
      <c r="T488" s="10">
        <f t="shared" si="78"/>
        <v>30.042724999999997</v>
      </c>
      <c r="U488" s="10">
        <f t="shared" si="79"/>
        <v>38.244920539999995</v>
      </c>
      <c r="V488" s="10">
        <f t="shared" si="80"/>
        <v>38.7420233</v>
      </c>
      <c r="W488" s="10">
        <f t="shared" si="81"/>
        <v>49.926835400000002</v>
      </c>
      <c r="X488" s="10">
        <f t="shared" si="82"/>
        <v>54.897863000000001</v>
      </c>
      <c r="Y488" s="10">
        <f t="shared" si="83"/>
        <v>79.753000999999998</v>
      </c>
      <c r="Z488" s="10">
        <f t="shared" si="84"/>
        <v>28.421254399999995</v>
      </c>
      <c r="AA488" s="10">
        <f t="shared" si="85"/>
        <v>36.541612800000003</v>
      </c>
      <c r="AB488" s="10">
        <f t="shared" si="86"/>
        <v>40.601792000000003</v>
      </c>
      <c r="AC488" s="10">
        <f t="shared" si="87"/>
        <v>60.902687999999998</v>
      </c>
    </row>
    <row r="489" spans="1:29" x14ac:dyDescent="0.25">
      <c r="A489">
        <v>433027</v>
      </c>
      <c r="B489" t="s">
        <v>117</v>
      </c>
      <c r="C489" s="10">
        <v>15.89</v>
      </c>
      <c r="D489" s="10">
        <v>14.98</v>
      </c>
      <c r="E489" s="10">
        <v>0</v>
      </c>
      <c r="F489">
        <v>51</v>
      </c>
      <c r="G489" t="s">
        <v>15</v>
      </c>
      <c r="H489" s="11">
        <v>45989</v>
      </c>
      <c r="I489" t="s">
        <v>13</v>
      </c>
      <c r="J489" s="12">
        <v>8</v>
      </c>
      <c r="K489" s="3">
        <v>240.32</v>
      </c>
      <c r="L489" s="3">
        <f t="shared" si="77"/>
        <v>30.04</v>
      </c>
      <c r="M489" s="13"/>
      <c r="N489">
        <f>_xlfn.XLOOKUP(G489,'Tarievensheet per persoon'!AE:AE,'Tarievensheet per persoon'!AF:AF)</f>
        <v>1.7024999999999999</v>
      </c>
      <c r="O489">
        <f>_xlfn.XLOOKUP(G489,AE:AE,'Tarievensheet per persoon'!AG:AG)</f>
        <v>1.5642</v>
      </c>
      <c r="P489">
        <f>_xlfn.XLOOKUP(G489,AE:AE,'Tarievensheet per persoon'!AH:AH)</f>
        <v>1.3552</v>
      </c>
      <c r="Q489">
        <f>_xlfn.XLOOKUP(G489,AE:AE,'Tarievensheet per persoon'!AI:AI)</f>
        <v>1.3552</v>
      </c>
      <c r="R489">
        <v>0</v>
      </c>
      <c r="S489" s="14">
        <v>2.99</v>
      </c>
      <c r="T489" s="10">
        <f t="shared" si="78"/>
        <v>30.042724999999997</v>
      </c>
      <c r="U489" s="10">
        <f t="shared" si="79"/>
        <v>38.244920539999995</v>
      </c>
      <c r="V489" s="10">
        <f t="shared" si="80"/>
        <v>38.7420233</v>
      </c>
      <c r="W489" s="10">
        <f t="shared" si="81"/>
        <v>49.926835400000002</v>
      </c>
      <c r="X489" s="10">
        <f t="shared" si="82"/>
        <v>54.897863000000001</v>
      </c>
      <c r="Y489" s="10">
        <f t="shared" si="83"/>
        <v>79.753000999999998</v>
      </c>
      <c r="Z489" s="10">
        <f t="shared" si="84"/>
        <v>28.421254399999995</v>
      </c>
      <c r="AA489" s="10">
        <f t="shared" si="85"/>
        <v>36.541612800000003</v>
      </c>
      <c r="AB489" s="10">
        <f t="shared" si="86"/>
        <v>40.601792000000003</v>
      </c>
      <c r="AC489" s="10">
        <f t="shared" si="87"/>
        <v>60.902687999999998</v>
      </c>
    </row>
    <row r="490" spans="1:29" x14ac:dyDescent="0.25">
      <c r="A490">
        <v>434591</v>
      </c>
      <c r="B490" t="s">
        <v>66</v>
      </c>
      <c r="C490" s="10">
        <v>15.89</v>
      </c>
      <c r="D490" s="10">
        <v>14.98</v>
      </c>
      <c r="E490" s="10">
        <v>0</v>
      </c>
      <c r="F490">
        <v>45</v>
      </c>
      <c r="G490" t="s">
        <v>15</v>
      </c>
      <c r="H490" s="11">
        <v>45985</v>
      </c>
      <c r="I490" t="s">
        <v>13</v>
      </c>
      <c r="J490" s="12">
        <v>8</v>
      </c>
      <c r="K490" s="3">
        <v>240.32</v>
      </c>
      <c r="L490" s="3">
        <f t="shared" si="77"/>
        <v>30.04</v>
      </c>
      <c r="M490" s="13"/>
      <c r="N490">
        <f>_xlfn.XLOOKUP(G490,'Tarievensheet per persoon'!AE:AE,'Tarievensheet per persoon'!AF:AF)</f>
        <v>1.7024999999999999</v>
      </c>
      <c r="O490">
        <f>_xlfn.XLOOKUP(G490,AE:AE,'Tarievensheet per persoon'!AG:AG)</f>
        <v>1.5642</v>
      </c>
      <c r="P490">
        <f>_xlfn.XLOOKUP(G490,AE:AE,'Tarievensheet per persoon'!AH:AH)</f>
        <v>1.3552</v>
      </c>
      <c r="Q490">
        <f>_xlfn.XLOOKUP(G490,AE:AE,'Tarievensheet per persoon'!AI:AI)</f>
        <v>1.3552</v>
      </c>
      <c r="R490">
        <v>0</v>
      </c>
      <c r="S490" s="14">
        <v>2.99</v>
      </c>
      <c r="T490" s="10">
        <f t="shared" si="78"/>
        <v>30.042724999999997</v>
      </c>
      <c r="U490" s="10">
        <f t="shared" si="79"/>
        <v>38.244920539999995</v>
      </c>
      <c r="V490" s="10">
        <f t="shared" si="80"/>
        <v>38.7420233</v>
      </c>
      <c r="W490" s="10">
        <f t="shared" si="81"/>
        <v>49.926835400000002</v>
      </c>
      <c r="X490" s="10">
        <f t="shared" si="82"/>
        <v>54.897863000000001</v>
      </c>
      <c r="Y490" s="10">
        <f t="shared" si="83"/>
        <v>79.753000999999998</v>
      </c>
      <c r="Z490" s="10">
        <f t="shared" si="84"/>
        <v>28.421254399999995</v>
      </c>
      <c r="AA490" s="10">
        <f t="shared" si="85"/>
        <v>36.541612800000003</v>
      </c>
      <c r="AB490" s="10">
        <f t="shared" si="86"/>
        <v>40.601792000000003</v>
      </c>
      <c r="AC490" s="10">
        <f t="shared" si="87"/>
        <v>60.902687999999998</v>
      </c>
    </row>
    <row r="491" spans="1:29" x14ac:dyDescent="0.25">
      <c r="A491">
        <v>434591</v>
      </c>
      <c r="B491" t="s">
        <v>66</v>
      </c>
      <c r="C491" s="10">
        <v>15.89</v>
      </c>
      <c r="D491" s="10">
        <v>14.98</v>
      </c>
      <c r="E491" s="10">
        <v>0</v>
      </c>
      <c r="F491">
        <v>45</v>
      </c>
      <c r="G491" t="s">
        <v>15</v>
      </c>
      <c r="H491" s="11">
        <v>45987</v>
      </c>
      <c r="I491" t="s">
        <v>13</v>
      </c>
      <c r="J491" s="12">
        <v>8</v>
      </c>
      <c r="K491" s="3">
        <v>240.32</v>
      </c>
      <c r="L491" s="3">
        <f t="shared" si="77"/>
        <v>30.04</v>
      </c>
      <c r="M491" s="13"/>
      <c r="N491">
        <f>_xlfn.XLOOKUP(G491,'Tarievensheet per persoon'!AE:AE,'Tarievensheet per persoon'!AF:AF)</f>
        <v>1.7024999999999999</v>
      </c>
      <c r="O491">
        <f>_xlfn.XLOOKUP(G491,AE:AE,'Tarievensheet per persoon'!AG:AG)</f>
        <v>1.5642</v>
      </c>
      <c r="P491">
        <f>_xlfn.XLOOKUP(G491,AE:AE,'Tarievensheet per persoon'!AH:AH)</f>
        <v>1.3552</v>
      </c>
      <c r="Q491">
        <f>_xlfn.XLOOKUP(G491,AE:AE,'Tarievensheet per persoon'!AI:AI)</f>
        <v>1.3552</v>
      </c>
      <c r="R491">
        <v>0</v>
      </c>
      <c r="S491" s="14">
        <v>2.99</v>
      </c>
      <c r="T491" s="10">
        <f t="shared" si="78"/>
        <v>30.042724999999997</v>
      </c>
      <c r="U491" s="10">
        <f t="shared" si="79"/>
        <v>38.244920539999995</v>
      </c>
      <c r="V491" s="10">
        <f t="shared" si="80"/>
        <v>38.7420233</v>
      </c>
      <c r="W491" s="10">
        <f t="shared" si="81"/>
        <v>49.926835400000002</v>
      </c>
      <c r="X491" s="10">
        <f t="shared" si="82"/>
        <v>54.897863000000001</v>
      </c>
      <c r="Y491" s="10">
        <f t="shared" si="83"/>
        <v>79.753000999999998</v>
      </c>
      <c r="Z491" s="10">
        <f t="shared" si="84"/>
        <v>28.421254399999995</v>
      </c>
      <c r="AA491" s="10">
        <f t="shared" si="85"/>
        <v>36.541612800000003</v>
      </c>
      <c r="AB491" s="10">
        <f t="shared" si="86"/>
        <v>40.601792000000003</v>
      </c>
      <c r="AC491" s="10">
        <f t="shared" si="87"/>
        <v>60.902687999999998</v>
      </c>
    </row>
    <row r="492" spans="1:29" x14ac:dyDescent="0.25">
      <c r="A492">
        <v>434591</v>
      </c>
      <c r="B492" t="s">
        <v>66</v>
      </c>
      <c r="C492" s="10">
        <v>15.89</v>
      </c>
      <c r="D492" s="10">
        <v>14.98</v>
      </c>
      <c r="E492" s="10">
        <v>0</v>
      </c>
      <c r="F492">
        <v>45</v>
      </c>
      <c r="G492" t="s">
        <v>15</v>
      </c>
      <c r="H492" s="11">
        <v>45988</v>
      </c>
      <c r="I492" t="s">
        <v>13</v>
      </c>
      <c r="J492" s="12">
        <v>8</v>
      </c>
      <c r="K492" s="3">
        <v>240.32</v>
      </c>
      <c r="L492" s="3">
        <f t="shared" si="77"/>
        <v>30.04</v>
      </c>
      <c r="M492" s="13"/>
      <c r="N492">
        <f>_xlfn.XLOOKUP(G492,'Tarievensheet per persoon'!AE:AE,'Tarievensheet per persoon'!AF:AF)</f>
        <v>1.7024999999999999</v>
      </c>
      <c r="O492">
        <f>_xlfn.XLOOKUP(G492,AE:AE,'Tarievensheet per persoon'!AG:AG)</f>
        <v>1.5642</v>
      </c>
      <c r="P492">
        <f>_xlfn.XLOOKUP(G492,AE:AE,'Tarievensheet per persoon'!AH:AH)</f>
        <v>1.3552</v>
      </c>
      <c r="Q492">
        <f>_xlfn.XLOOKUP(G492,AE:AE,'Tarievensheet per persoon'!AI:AI)</f>
        <v>1.3552</v>
      </c>
      <c r="R492">
        <v>0</v>
      </c>
      <c r="S492" s="14">
        <v>2.99</v>
      </c>
      <c r="T492" s="10">
        <f t="shared" si="78"/>
        <v>30.042724999999997</v>
      </c>
      <c r="U492" s="10">
        <f t="shared" si="79"/>
        <v>38.244920539999995</v>
      </c>
      <c r="V492" s="10">
        <f t="shared" si="80"/>
        <v>38.7420233</v>
      </c>
      <c r="W492" s="10">
        <f t="shared" si="81"/>
        <v>49.926835400000002</v>
      </c>
      <c r="X492" s="10">
        <f t="shared" si="82"/>
        <v>54.897863000000001</v>
      </c>
      <c r="Y492" s="10">
        <f t="shared" si="83"/>
        <v>79.753000999999998</v>
      </c>
      <c r="Z492" s="10">
        <f t="shared" si="84"/>
        <v>28.421254399999995</v>
      </c>
      <c r="AA492" s="10">
        <f t="shared" si="85"/>
        <v>36.541612800000003</v>
      </c>
      <c r="AB492" s="10">
        <f t="shared" si="86"/>
        <v>40.601792000000003</v>
      </c>
      <c r="AC492" s="10">
        <f t="shared" si="87"/>
        <v>60.902687999999998</v>
      </c>
    </row>
    <row r="493" spans="1:29" x14ac:dyDescent="0.25">
      <c r="A493">
        <v>434591</v>
      </c>
      <c r="B493" t="s">
        <v>66</v>
      </c>
      <c r="C493" s="10">
        <v>15.89</v>
      </c>
      <c r="D493" s="10">
        <v>14.98</v>
      </c>
      <c r="E493" s="10">
        <v>0</v>
      </c>
      <c r="F493">
        <v>45</v>
      </c>
      <c r="G493" t="s">
        <v>15</v>
      </c>
      <c r="H493" s="11">
        <v>45989</v>
      </c>
      <c r="I493" t="s">
        <v>13</v>
      </c>
      <c r="J493" s="12">
        <v>7.5</v>
      </c>
      <c r="K493" s="3">
        <v>225.3</v>
      </c>
      <c r="L493" s="3">
        <f t="shared" si="77"/>
        <v>30.040000000000003</v>
      </c>
      <c r="M493" s="13"/>
      <c r="N493">
        <f>_xlfn.XLOOKUP(G493,'Tarievensheet per persoon'!AE:AE,'Tarievensheet per persoon'!AF:AF)</f>
        <v>1.7024999999999999</v>
      </c>
      <c r="O493">
        <f>_xlfn.XLOOKUP(G493,AE:AE,'Tarievensheet per persoon'!AG:AG)</f>
        <v>1.5642</v>
      </c>
      <c r="P493">
        <f>_xlfn.XLOOKUP(G493,AE:AE,'Tarievensheet per persoon'!AH:AH)</f>
        <v>1.3552</v>
      </c>
      <c r="Q493">
        <f>_xlfn.XLOOKUP(G493,AE:AE,'Tarievensheet per persoon'!AI:AI)</f>
        <v>1.3552</v>
      </c>
      <c r="R493">
        <v>0</v>
      </c>
      <c r="S493" s="14">
        <v>2.99</v>
      </c>
      <c r="T493" s="10">
        <f t="shared" si="78"/>
        <v>30.042724999999997</v>
      </c>
      <c r="U493" s="10">
        <f t="shared" si="79"/>
        <v>38.244920539999995</v>
      </c>
      <c r="V493" s="10">
        <f t="shared" si="80"/>
        <v>38.7420233</v>
      </c>
      <c r="W493" s="10">
        <f t="shared" si="81"/>
        <v>49.926835400000002</v>
      </c>
      <c r="X493" s="10">
        <f t="shared" si="82"/>
        <v>54.897863000000001</v>
      </c>
      <c r="Y493" s="10">
        <f t="shared" si="83"/>
        <v>79.753000999999998</v>
      </c>
      <c r="Z493" s="10">
        <f t="shared" si="84"/>
        <v>28.421254399999995</v>
      </c>
      <c r="AA493" s="10">
        <f t="shared" si="85"/>
        <v>36.541612800000003</v>
      </c>
      <c r="AB493" s="10">
        <f t="shared" si="86"/>
        <v>40.601792000000003</v>
      </c>
      <c r="AC493" s="10">
        <f t="shared" si="87"/>
        <v>60.902687999999998</v>
      </c>
    </row>
    <row r="494" spans="1:29" x14ac:dyDescent="0.25">
      <c r="A494">
        <v>436824</v>
      </c>
      <c r="B494" t="s">
        <v>67</v>
      </c>
      <c r="C494" s="10">
        <v>16.91</v>
      </c>
      <c r="D494" s="10">
        <v>15.94</v>
      </c>
      <c r="E494" s="10">
        <v>0</v>
      </c>
      <c r="F494">
        <v>9</v>
      </c>
      <c r="G494" t="s">
        <v>15</v>
      </c>
      <c r="H494" s="11">
        <v>45985</v>
      </c>
      <c r="I494" t="s">
        <v>13</v>
      </c>
      <c r="J494" s="12">
        <v>8</v>
      </c>
      <c r="K494" s="3">
        <v>254.24</v>
      </c>
      <c r="L494" s="3">
        <f t="shared" si="77"/>
        <v>31.78</v>
      </c>
      <c r="M494" s="13"/>
      <c r="N494">
        <f>_xlfn.XLOOKUP(G494,'Tarievensheet per persoon'!AE:AE,'Tarievensheet per persoon'!AF:AF)</f>
        <v>1.7024999999999999</v>
      </c>
      <c r="O494">
        <f>_xlfn.XLOOKUP(G494,AE:AE,'Tarievensheet per persoon'!AG:AG)</f>
        <v>1.5642</v>
      </c>
      <c r="P494">
        <f>_xlfn.XLOOKUP(G494,AE:AE,'Tarievensheet per persoon'!AH:AH)</f>
        <v>1.3552</v>
      </c>
      <c r="Q494">
        <f>_xlfn.XLOOKUP(G494,AE:AE,'Tarievensheet per persoon'!AI:AI)</f>
        <v>1.3552</v>
      </c>
      <c r="R494">
        <v>0</v>
      </c>
      <c r="S494" s="14">
        <v>2.99</v>
      </c>
      <c r="T494" s="10">
        <f t="shared" si="78"/>
        <v>31.779274999999998</v>
      </c>
      <c r="U494" s="10">
        <f t="shared" si="79"/>
        <v>40.507980259999997</v>
      </c>
      <c r="V494" s="10">
        <f t="shared" si="80"/>
        <v>41.036992699999999</v>
      </c>
      <c r="W494" s="10">
        <f t="shared" si="81"/>
        <v>52.939772599999998</v>
      </c>
      <c r="X494" s="10">
        <f t="shared" si="82"/>
        <v>58.229896999999994</v>
      </c>
      <c r="Y494" s="10">
        <f t="shared" si="83"/>
        <v>84.680519000000004</v>
      </c>
      <c r="Z494" s="10">
        <f t="shared" si="84"/>
        <v>30.242643199999996</v>
      </c>
      <c r="AA494" s="10">
        <f t="shared" si="85"/>
        <v>38.883398399999997</v>
      </c>
      <c r="AB494" s="10">
        <f t="shared" si="86"/>
        <v>43.203775999999998</v>
      </c>
      <c r="AC494" s="10">
        <f t="shared" si="87"/>
        <v>64.805663999999993</v>
      </c>
    </row>
    <row r="495" spans="1:29" x14ac:dyDescent="0.25">
      <c r="A495">
        <v>436824</v>
      </c>
      <c r="B495" t="s">
        <v>67</v>
      </c>
      <c r="C495" s="10">
        <v>16.91</v>
      </c>
      <c r="D495" s="10">
        <v>15.94</v>
      </c>
      <c r="E495" s="10">
        <v>0</v>
      </c>
      <c r="F495">
        <v>9</v>
      </c>
      <c r="G495" t="s">
        <v>15</v>
      </c>
      <c r="H495" s="11">
        <v>45986</v>
      </c>
      <c r="I495" t="s">
        <v>13</v>
      </c>
      <c r="J495" s="12">
        <v>8</v>
      </c>
      <c r="K495" s="3">
        <v>254.24</v>
      </c>
      <c r="L495" s="3">
        <f t="shared" si="77"/>
        <v>31.78</v>
      </c>
      <c r="M495" s="13"/>
      <c r="N495">
        <f>_xlfn.XLOOKUP(G495,'Tarievensheet per persoon'!AE:AE,'Tarievensheet per persoon'!AF:AF)</f>
        <v>1.7024999999999999</v>
      </c>
      <c r="O495">
        <f>_xlfn.XLOOKUP(G495,AE:AE,'Tarievensheet per persoon'!AG:AG)</f>
        <v>1.5642</v>
      </c>
      <c r="P495">
        <f>_xlfn.XLOOKUP(G495,AE:AE,'Tarievensheet per persoon'!AH:AH)</f>
        <v>1.3552</v>
      </c>
      <c r="Q495">
        <f>_xlfn.XLOOKUP(G495,AE:AE,'Tarievensheet per persoon'!AI:AI)</f>
        <v>1.3552</v>
      </c>
      <c r="R495">
        <v>0</v>
      </c>
      <c r="S495" s="14">
        <v>2.99</v>
      </c>
      <c r="T495" s="10">
        <f t="shared" si="78"/>
        <v>31.779274999999998</v>
      </c>
      <c r="U495" s="10">
        <f t="shared" si="79"/>
        <v>40.507980259999997</v>
      </c>
      <c r="V495" s="10">
        <f t="shared" si="80"/>
        <v>41.036992699999999</v>
      </c>
      <c r="W495" s="10">
        <f t="shared" si="81"/>
        <v>52.939772599999998</v>
      </c>
      <c r="X495" s="10">
        <f t="shared" si="82"/>
        <v>58.229896999999994</v>
      </c>
      <c r="Y495" s="10">
        <f t="shared" si="83"/>
        <v>84.680519000000004</v>
      </c>
      <c r="Z495" s="10">
        <f t="shared" si="84"/>
        <v>30.242643199999996</v>
      </c>
      <c r="AA495" s="10">
        <f t="shared" si="85"/>
        <v>38.883398399999997</v>
      </c>
      <c r="AB495" s="10">
        <f t="shared" si="86"/>
        <v>43.203775999999998</v>
      </c>
      <c r="AC495" s="10">
        <f t="shared" si="87"/>
        <v>64.805663999999993</v>
      </c>
    </row>
    <row r="496" spans="1:29" x14ac:dyDescent="0.25">
      <c r="A496">
        <v>436824</v>
      </c>
      <c r="B496" t="s">
        <v>67</v>
      </c>
      <c r="C496" s="10">
        <v>16.91</v>
      </c>
      <c r="D496" s="10">
        <v>15.94</v>
      </c>
      <c r="E496" s="10">
        <v>0</v>
      </c>
      <c r="F496">
        <v>9</v>
      </c>
      <c r="G496" t="s">
        <v>15</v>
      </c>
      <c r="H496" s="11">
        <v>45987</v>
      </c>
      <c r="I496" t="s">
        <v>13</v>
      </c>
      <c r="J496" s="12">
        <v>8</v>
      </c>
      <c r="K496" s="3">
        <v>254.24</v>
      </c>
      <c r="L496" s="3">
        <f t="shared" si="77"/>
        <v>31.78</v>
      </c>
      <c r="M496" s="13"/>
      <c r="N496">
        <f>_xlfn.XLOOKUP(G496,'Tarievensheet per persoon'!AE:AE,'Tarievensheet per persoon'!AF:AF)</f>
        <v>1.7024999999999999</v>
      </c>
      <c r="O496">
        <f>_xlfn.XLOOKUP(G496,AE:AE,'Tarievensheet per persoon'!AG:AG)</f>
        <v>1.5642</v>
      </c>
      <c r="P496">
        <f>_xlfn.XLOOKUP(G496,AE:AE,'Tarievensheet per persoon'!AH:AH)</f>
        <v>1.3552</v>
      </c>
      <c r="Q496">
        <f>_xlfn.XLOOKUP(G496,AE:AE,'Tarievensheet per persoon'!AI:AI)</f>
        <v>1.3552</v>
      </c>
      <c r="R496">
        <v>0</v>
      </c>
      <c r="S496" s="14">
        <v>2.99</v>
      </c>
      <c r="T496" s="10">
        <f t="shared" si="78"/>
        <v>31.779274999999998</v>
      </c>
      <c r="U496" s="10">
        <f t="shared" si="79"/>
        <v>40.507980259999997</v>
      </c>
      <c r="V496" s="10">
        <f t="shared" si="80"/>
        <v>41.036992699999999</v>
      </c>
      <c r="W496" s="10">
        <f t="shared" si="81"/>
        <v>52.939772599999998</v>
      </c>
      <c r="X496" s="10">
        <f t="shared" si="82"/>
        <v>58.229896999999994</v>
      </c>
      <c r="Y496" s="10">
        <f t="shared" si="83"/>
        <v>84.680519000000004</v>
      </c>
      <c r="Z496" s="10">
        <f t="shared" si="84"/>
        <v>30.242643199999996</v>
      </c>
      <c r="AA496" s="10">
        <f t="shared" si="85"/>
        <v>38.883398399999997</v>
      </c>
      <c r="AB496" s="10">
        <f t="shared" si="86"/>
        <v>43.203775999999998</v>
      </c>
      <c r="AC496" s="10">
        <f t="shared" si="87"/>
        <v>64.805663999999993</v>
      </c>
    </row>
    <row r="497" spans="1:29" x14ac:dyDescent="0.25">
      <c r="A497">
        <v>436824</v>
      </c>
      <c r="B497" t="s">
        <v>67</v>
      </c>
      <c r="C497" s="10">
        <v>16.91</v>
      </c>
      <c r="D497" s="10">
        <v>15.94</v>
      </c>
      <c r="E497" s="10">
        <v>0</v>
      </c>
      <c r="F497">
        <v>9</v>
      </c>
      <c r="G497" t="s">
        <v>15</v>
      </c>
      <c r="H497" s="11">
        <v>45988</v>
      </c>
      <c r="I497" t="s">
        <v>13</v>
      </c>
      <c r="J497" s="12">
        <v>7.25</v>
      </c>
      <c r="K497" s="3">
        <v>230.41</v>
      </c>
      <c r="L497" s="3">
        <f t="shared" si="77"/>
        <v>31.780689655172413</v>
      </c>
      <c r="M497" s="13"/>
      <c r="N497">
        <f>_xlfn.XLOOKUP(G497,'Tarievensheet per persoon'!AE:AE,'Tarievensheet per persoon'!AF:AF)</f>
        <v>1.7024999999999999</v>
      </c>
      <c r="O497">
        <f>_xlfn.XLOOKUP(G497,AE:AE,'Tarievensheet per persoon'!AG:AG)</f>
        <v>1.5642</v>
      </c>
      <c r="P497">
        <f>_xlfn.XLOOKUP(G497,AE:AE,'Tarievensheet per persoon'!AH:AH)</f>
        <v>1.3552</v>
      </c>
      <c r="Q497">
        <f>_xlfn.XLOOKUP(G497,AE:AE,'Tarievensheet per persoon'!AI:AI)</f>
        <v>1.3552</v>
      </c>
      <c r="R497">
        <v>0</v>
      </c>
      <c r="S497" s="14">
        <v>2.99</v>
      </c>
      <c r="T497" s="10">
        <f t="shared" si="78"/>
        <v>31.779274999999998</v>
      </c>
      <c r="U497" s="10">
        <f t="shared" si="79"/>
        <v>40.507980259999997</v>
      </c>
      <c r="V497" s="10">
        <f t="shared" si="80"/>
        <v>41.036992699999999</v>
      </c>
      <c r="W497" s="10">
        <f t="shared" si="81"/>
        <v>52.939772599999998</v>
      </c>
      <c r="X497" s="10">
        <f t="shared" si="82"/>
        <v>58.229896999999994</v>
      </c>
      <c r="Y497" s="10">
        <f t="shared" si="83"/>
        <v>84.680519000000004</v>
      </c>
      <c r="Z497" s="10">
        <f t="shared" si="84"/>
        <v>30.242643199999996</v>
      </c>
      <c r="AA497" s="10">
        <f t="shared" si="85"/>
        <v>38.883398399999997</v>
      </c>
      <c r="AB497" s="10">
        <f t="shared" si="86"/>
        <v>43.203775999999998</v>
      </c>
      <c r="AC497" s="10">
        <f t="shared" si="87"/>
        <v>64.805663999999993</v>
      </c>
    </row>
    <row r="498" spans="1:29" x14ac:dyDescent="0.25">
      <c r="A498">
        <v>436824</v>
      </c>
      <c r="B498" t="s">
        <v>67</v>
      </c>
      <c r="C498" s="10">
        <v>16.91</v>
      </c>
      <c r="D498" s="10">
        <v>15.94</v>
      </c>
      <c r="E498" s="10">
        <v>0</v>
      </c>
      <c r="F498">
        <v>9</v>
      </c>
      <c r="G498" t="s">
        <v>15</v>
      </c>
      <c r="H498" s="11">
        <v>45989</v>
      </c>
      <c r="I498" t="s">
        <v>13</v>
      </c>
      <c r="J498" s="12">
        <v>7.5</v>
      </c>
      <c r="K498" s="3">
        <v>238.35</v>
      </c>
      <c r="L498" s="3">
        <f t="shared" si="77"/>
        <v>31.779999999999998</v>
      </c>
      <c r="M498" s="13"/>
      <c r="N498">
        <f>_xlfn.XLOOKUP(G498,'Tarievensheet per persoon'!AE:AE,'Tarievensheet per persoon'!AF:AF)</f>
        <v>1.7024999999999999</v>
      </c>
      <c r="O498">
        <f>_xlfn.XLOOKUP(G498,AE:AE,'Tarievensheet per persoon'!AG:AG)</f>
        <v>1.5642</v>
      </c>
      <c r="P498">
        <f>_xlfn.XLOOKUP(G498,AE:AE,'Tarievensheet per persoon'!AH:AH)</f>
        <v>1.3552</v>
      </c>
      <c r="Q498">
        <f>_xlfn.XLOOKUP(G498,AE:AE,'Tarievensheet per persoon'!AI:AI)</f>
        <v>1.3552</v>
      </c>
      <c r="R498">
        <v>0</v>
      </c>
      <c r="S498" s="14">
        <v>2.99</v>
      </c>
      <c r="T498" s="10">
        <f t="shared" si="78"/>
        <v>31.779274999999998</v>
      </c>
      <c r="U498" s="10">
        <f t="shared" si="79"/>
        <v>40.507980259999997</v>
      </c>
      <c r="V498" s="10">
        <f t="shared" si="80"/>
        <v>41.036992699999999</v>
      </c>
      <c r="W498" s="10">
        <f t="shared" si="81"/>
        <v>52.939772599999998</v>
      </c>
      <c r="X498" s="10">
        <f t="shared" si="82"/>
        <v>58.229896999999994</v>
      </c>
      <c r="Y498" s="10">
        <f t="shared" si="83"/>
        <v>84.680519000000004</v>
      </c>
      <c r="Z498" s="10">
        <f t="shared" si="84"/>
        <v>30.242643199999996</v>
      </c>
      <c r="AA498" s="10">
        <f t="shared" si="85"/>
        <v>38.883398399999997</v>
      </c>
      <c r="AB498" s="10">
        <f t="shared" si="86"/>
        <v>43.203775999999998</v>
      </c>
      <c r="AC498" s="10">
        <f t="shared" si="87"/>
        <v>64.805663999999993</v>
      </c>
    </row>
    <row r="499" spans="1:29" x14ac:dyDescent="0.25">
      <c r="A499">
        <v>436824</v>
      </c>
      <c r="B499" t="s">
        <v>67</v>
      </c>
      <c r="C499" s="10">
        <v>16.91</v>
      </c>
      <c r="D499" s="10">
        <v>15.94</v>
      </c>
      <c r="E499" s="10">
        <v>0</v>
      </c>
      <c r="F499">
        <v>9</v>
      </c>
      <c r="G499" t="s">
        <v>15</v>
      </c>
      <c r="H499" s="11">
        <v>45990</v>
      </c>
      <c r="I499" t="s">
        <v>13</v>
      </c>
      <c r="J499" s="12">
        <v>1.25</v>
      </c>
      <c r="K499" s="3">
        <v>39.729999999999997</v>
      </c>
      <c r="L499" s="3">
        <f t="shared" si="77"/>
        <v>31.783999999999999</v>
      </c>
      <c r="M499" s="13"/>
      <c r="N499">
        <f>_xlfn.XLOOKUP(G499,'Tarievensheet per persoon'!AE:AE,'Tarievensheet per persoon'!AF:AF)</f>
        <v>1.7024999999999999</v>
      </c>
      <c r="O499">
        <f>_xlfn.XLOOKUP(G499,AE:AE,'Tarievensheet per persoon'!AG:AG)</f>
        <v>1.5642</v>
      </c>
      <c r="P499">
        <f>_xlfn.XLOOKUP(G499,AE:AE,'Tarievensheet per persoon'!AH:AH)</f>
        <v>1.3552</v>
      </c>
      <c r="Q499">
        <f>_xlfn.XLOOKUP(G499,AE:AE,'Tarievensheet per persoon'!AI:AI)</f>
        <v>1.3552</v>
      </c>
      <c r="R499">
        <v>0</v>
      </c>
      <c r="S499" s="14">
        <v>2.99</v>
      </c>
      <c r="T499" s="10">
        <f t="shared" si="78"/>
        <v>31.779274999999998</v>
      </c>
      <c r="U499" s="10">
        <f t="shared" si="79"/>
        <v>40.507980259999997</v>
      </c>
      <c r="V499" s="10">
        <f t="shared" si="80"/>
        <v>41.036992699999999</v>
      </c>
      <c r="W499" s="10">
        <f t="shared" si="81"/>
        <v>52.939772599999998</v>
      </c>
      <c r="X499" s="10">
        <f t="shared" si="82"/>
        <v>58.229896999999994</v>
      </c>
      <c r="Y499" s="10">
        <f t="shared" si="83"/>
        <v>84.680519000000004</v>
      </c>
      <c r="Z499" s="10">
        <f t="shared" si="84"/>
        <v>30.242643199999996</v>
      </c>
      <c r="AA499" s="10">
        <f t="shared" si="85"/>
        <v>38.883398399999997</v>
      </c>
      <c r="AB499" s="10">
        <f t="shared" si="86"/>
        <v>43.203775999999998</v>
      </c>
      <c r="AC499" s="10">
        <f t="shared" si="87"/>
        <v>64.805663999999993</v>
      </c>
    </row>
    <row r="500" spans="1:29" x14ac:dyDescent="0.25">
      <c r="A500">
        <v>436824</v>
      </c>
      <c r="B500" t="s">
        <v>67</v>
      </c>
      <c r="C500" s="10">
        <v>16.91</v>
      </c>
      <c r="D500" s="10">
        <v>15.94</v>
      </c>
      <c r="E500" s="10">
        <v>0</v>
      </c>
      <c r="F500">
        <v>9</v>
      </c>
      <c r="G500" t="s">
        <v>15</v>
      </c>
      <c r="H500" s="11">
        <v>45990</v>
      </c>
      <c r="I500" t="s">
        <v>24</v>
      </c>
      <c r="J500" s="12">
        <v>4.25</v>
      </c>
      <c r="K500" s="3">
        <v>165.24</v>
      </c>
      <c r="L500" s="3">
        <f t="shared" si="77"/>
        <v>38.880000000000003</v>
      </c>
      <c r="M500" s="13"/>
      <c r="N500">
        <f>_xlfn.XLOOKUP(G500,'Tarievensheet per persoon'!AE:AE,'Tarievensheet per persoon'!AF:AF)</f>
        <v>1.7024999999999999</v>
      </c>
      <c r="O500">
        <f>_xlfn.XLOOKUP(G500,AE:AE,'Tarievensheet per persoon'!AG:AG)</f>
        <v>1.5642</v>
      </c>
      <c r="P500">
        <f>_xlfn.XLOOKUP(G500,AE:AE,'Tarievensheet per persoon'!AH:AH)</f>
        <v>1.3552</v>
      </c>
      <c r="Q500">
        <f>_xlfn.XLOOKUP(G500,AE:AE,'Tarievensheet per persoon'!AI:AI)</f>
        <v>1.3552</v>
      </c>
      <c r="R500">
        <v>0</v>
      </c>
      <c r="S500" s="14">
        <v>2.99</v>
      </c>
      <c r="T500" s="10">
        <f t="shared" si="78"/>
        <v>31.779274999999998</v>
      </c>
      <c r="U500" s="10">
        <f t="shared" si="79"/>
        <v>40.507980259999997</v>
      </c>
      <c r="V500" s="10">
        <f t="shared" si="80"/>
        <v>41.036992699999999</v>
      </c>
      <c r="W500" s="10">
        <f t="shared" si="81"/>
        <v>52.939772599999998</v>
      </c>
      <c r="X500" s="10">
        <f t="shared" si="82"/>
        <v>58.229896999999994</v>
      </c>
      <c r="Y500" s="10">
        <f t="shared" si="83"/>
        <v>84.680519000000004</v>
      </c>
      <c r="Z500" s="10">
        <f t="shared" si="84"/>
        <v>30.242643199999996</v>
      </c>
      <c r="AA500" s="10">
        <f t="shared" si="85"/>
        <v>38.883398399999997</v>
      </c>
      <c r="AB500" s="10">
        <f t="shared" si="86"/>
        <v>43.203775999999998</v>
      </c>
      <c r="AC500" s="10">
        <f t="shared" si="87"/>
        <v>64.805663999999993</v>
      </c>
    </row>
    <row r="501" spans="1:29" x14ac:dyDescent="0.25">
      <c r="A501">
        <v>437474</v>
      </c>
      <c r="B501" t="s">
        <v>68</v>
      </c>
      <c r="C501" s="10">
        <v>15.89</v>
      </c>
      <c r="D501" s="10">
        <v>14.98</v>
      </c>
      <c r="E501" s="10">
        <v>0</v>
      </c>
      <c r="F501">
        <v>35</v>
      </c>
      <c r="G501" t="s">
        <v>15</v>
      </c>
      <c r="H501" s="11">
        <v>45985</v>
      </c>
      <c r="I501" t="s">
        <v>13</v>
      </c>
      <c r="J501" s="12">
        <v>2.75</v>
      </c>
      <c r="K501" s="3">
        <v>82.61</v>
      </c>
      <c r="L501" s="3">
        <f t="shared" si="77"/>
        <v>30.04</v>
      </c>
      <c r="M501" s="13"/>
      <c r="N501">
        <f>_xlfn.XLOOKUP(G501,'Tarievensheet per persoon'!AE:AE,'Tarievensheet per persoon'!AF:AF)</f>
        <v>1.7024999999999999</v>
      </c>
      <c r="O501">
        <f>_xlfn.XLOOKUP(G501,AE:AE,'Tarievensheet per persoon'!AG:AG)</f>
        <v>1.5642</v>
      </c>
      <c r="P501">
        <f>_xlfn.XLOOKUP(G501,AE:AE,'Tarievensheet per persoon'!AH:AH)</f>
        <v>1.3552</v>
      </c>
      <c r="Q501">
        <f>_xlfn.XLOOKUP(G501,AE:AE,'Tarievensheet per persoon'!AI:AI)</f>
        <v>1.3552</v>
      </c>
      <c r="R501">
        <v>0</v>
      </c>
      <c r="S501" s="14">
        <v>2.99</v>
      </c>
      <c r="T501" s="10">
        <f t="shared" si="78"/>
        <v>30.042724999999997</v>
      </c>
      <c r="U501" s="10">
        <f t="shared" si="79"/>
        <v>38.244920539999995</v>
      </c>
      <c r="V501" s="10">
        <f t="shared" si="80"/>
        <v>38.7420233</v>
      </c>
      <c r="W501" s="10">
        <f t="shared" si="81"/>
        <v>49.926835400000002</v>
      </c>
      <c r="X501" s="10">
        <f t="shared" si="82"/>
        <v>54.897863000000001</v>
      </c>
      <c r="Y501" s="10">
        <f t="shared" si="83"/>
        <v>79.753000999999998</v>
      </c>
      <c r="Z501" s="10">
        <f t="shared" si="84"/>
        <v>28.421254399999995</v>
      </c>
      <c r="AA501" s="10">
        <f t="shared" si="85"/>
        <v>36.541612800000003</v>
      </c>
      <c r="AB501" s="10">
        <f t="shared" si="86"/>
        <v>40.601792000000003</v>
      </c>
      <c r="AC501" s="10">
        <f t="shared" si="87"/>
        <v>60.902687999999998</v>
      </c>
    </row>
    <row r="502" spans="1:29" x14ac:dyDescent="0.25">
      <c r="A502">
        <v>437474</v>
      </c>
      <c r="B502" t="s">
        <v>68</v>
      </c>
      <c r="C502" s="10">
        <v>15.89</v>
      </c>
      <c r="D502" s="10">
        <v>14.98</v>
      </c>
      <c r="E502" s="10">
        <v>0</v>
      </c>
      <c r="F502">
        <v>35</v>
      </c>
      <c r="G502" t="s">
        <v>15</v>
      </c>
      <c r="H502" s="11">
        <v>45985</v>
      </c>
      <c r="I502" t="s">
        <v>21</v>
      </c>
      <c r="J502" s="12">
        <v>4.5</v>
      </c>
      <c r="K502" s="3">
        <v>172.08</v>
      </c>
      <c r="L502" s="3">
        <f t="shared" si="77"/>
        <v>38.24</v>
      </c>
      <c r="M502" s="13"/>
      <c r="N502">
        <f>_xlfn.XLOOKUP(G502,'Tarievensheet per persoon'!AE:AE,'Tarievensheet per persoon'!AF:AF)</f>
        <v>1.7024999999999999</v>
      </c>
      <c r="O502">
        <f>_xlfn.XLOOKUP(G502,AE:AE,'Tarievensheet per persoon'!AG:AG)</f>
        <v>1.5642</v>
      </c>
      <c r="P502">
        <f>_xlfn.XLOOKUP(G502,AE:AE,'Tarievensheet per persoon'!AH:AH)</f>
        <v>1.3552</v>
      </c>
      <c r="Q502">
        <f>_xlfn.XLOOKUP(G502,AE:AE,'Tarievensheet per persoon'!AI:AI)</f>
        <v>1.3552</v>
      </c>
      <c r="R502">
        <v>0</v>
      </c>
      <c r="S502" s="14">
        <v>2.99</v>
      </c>
      <c r="T502" s="10">
        <f t="shared" si="78"/>
        <v>30.042724999999997</v>
      </c>
      <c r="U502" s="10">
        <f t="shared" si="79"/>
        <v>38.244920539999995</v>
      </c>
      <c r="V502" s="10">
        <f t="shared" si="80"/>
        <v>38.7420233</v>
      </c>
      <c r="W502" s="10">
        <f t="shared" si="81"/>
        <v>49.926835400000002</v>
      </c>
      <c r="X502" s="10">
        <f t="shared" si="82"/>
        <v>54.897863000000001</v>
      </c>
      <c r="Y502" s="10">
        <f t="shared" si="83"/>
        <v>79.753000999999998</v>
      </c>
      <c r="Z502" s="10">
        <f t="shared" si="84"/>
        <v>28.421254399999995</v>
      </c>
      <c r="AA502" s="10">
        <f t="shared" si="85"/>
        <v>36.541612800000003</v>
      </c>
      <c r="AB502" s="10">
        <f t="shared" si="86"/>
        <v>40.601792000000003</v>
      </c>
      <c r="AC502" s="10">
        <f t="shared" si="87"/>
        <v>60.902687999999998</v>
      </c>
    </row>
    <row r="503" spans="1:29" x14ac:dyDescent="0.25">
      <c r="A503">
        <v>437474</v>
      </c>
      <c r="B503" t="s">
        <v>68</v>
      </c>
      <c r="C503" s="10">
        <v>15.89</v>
      </c>
      <c r="D503" s="10">
        <v>14.98</v>
      </c>
      <c r="E503" s="10">
        <v>0</v>
      </c>
      <c r="F503">
        <v>35</v>
      </c>
      <c r="G503" t="s">
        <v>15</v>
      </c>
      <c r="H503" s="11">
        <v>45986</v>
      </c>
      <c r="I503" t="s">
        <v>13</v>
      </c>
      <c r="J503" s="12">
        <v>2.75</v>
      </c>
      <c r="K503" s="3">
        <v>82.61</v>
      </c>
      <c r="L503" s="3">
        <f t="shared" si="77"/>
        <v>30.04</v>
      </c>
      <c r="M503" s="13"/>
      <c r="N503">
        <f>_xlfn.XLOOKUP(G503,'Tarievensheet per persoon'!AE:AE,'Tarievensheet per persoon'!AF:AF)</f>
        <v>1.7024999999999999</v>
      </c>
      <c r="O503">
        <f>_xlfn.XLOOKUP(G503,AE:AE,'Tarievensheet per persoon'!AG:AG)</f>
        <v>1.5642</v>
      </c>
      <c r="P503">
        <f>_xlfn.XLOOKUP(G503,AE:AE,'Tarievensheet per persoon'!AH:AH)</f>
        <v>1.3552</v>
      </c>
      <c r="Q503">
        <f>_xlfn.XLOOKUP(G503,AE:AE,'Tarievensheet per persoon'!AI:AI)</f>
        <v>1.3552</v>
      </c>
      <c r="R503">
        <v>0</v>
      </c>
      <c r="S503" s="14">
        <v>2.99</v>
      </c>
      <c r="T503" s="10">
        <f t="shared" si="78"/>
        <v>30.042724999999997</v>
      </c>
      <c r="U503" s="10">
        <f t="shared" si="79"/>
        <v>38.244920539999995</v>
      </c>
      <c r="V503" s="10">
        <f t="shared" si="80"/>
        <v>38.7420233</v>
      </c>
      <c r="W503" s="10">
        <f t="shared" si="81"/>
        <v>49.926835400000002</v>
      </c>
      <c r="X503" s="10">
        <f t="shared" si="82"/>
        <v>54.897863000000001</v>
      </c>
      <c r="Y503" s="10">
        <f t="shared" si="83"/>
        <v>79.753000999999998</v>
      </c>
      <c r="Z503" s="10">
        <f t="shared" si="84"/>
        <v>28.421254399999995</v>
      </c>
      <c r="AA503" s="10">
        <f t="shared" si="85"/>
        <v>36.541612800000003</v>
      </c>
      <c r="AB503" s="10">
        <f t="shared" si="86"/>
        <v>40.601792000000003</v>
      </c>
      <c r="AC503" s="10">
        <f t="shared" si="87"/>
        <v>60.902687999999998</v>
      </c>
    </row>
    <row r="504" spans="1:29" x14ac:dyDescent="0.25">
      <c r="A504">
        <v>437474</v>
      </c>
      <c r="B504" t="s">
        <v>68</v>
      </c>
      <c r="C504" s="10">
        <v>15.89</v>
      </c>
      <c r="D504" s="10">
        <v>14.98</v>
      </c>
      <c r="E504" s="10">
        <v>0</v>
      </c>
      <c r="F504">
        <v>35</v>
      </c>
      <c r="G504" t="s">
        <v>15</v>
      </c>
      <c r="H504" s="11">
        <v>45986</v>
      </c>
      <c r="I504" t="s">
        <v>21</v>
      </c>
      <c r="J504" s="12">
        <v>5.25</v>
      </c>
      <c r="K504" s="3">
        <v>200.76</v>
      </c>
      <c r="L504" s="3">
        <f t="shared" si="77"/>
        <v>38.239999999999995</v>
      </c>
      <c r="M504" s="13"/>
      <c r="N504">
        <f>_xlfn.XLOOKUP(G504,'Tarievensheet per persoon'!AE:AE,'Tarievensheet per persoon'!AF:AF)</f>
        <v>1.7024999999999999</v>
      </c>
      <c r="O504">
        <f>_xlfn.XLOOKUP(G504,AE:AE,'Tarievensheet per persoon'!AG:AG)</f>
        <v>1.5642</v>
      </c>
      <c r="P504">
        <f>_xlfn.XLOOKUP(G504,AE:AE,'Tarievensheet per persoon'!AH:AH)</f>
        <v>1.3552</v>
      </c>
      <c r="Q504">
        <f>_xlfn.XLOOKUP(G504,AE:AE,'Tarievensheet per persoon'!AI:AI)</f>
        <v>1.3552</v>
      </c>
      <c r="R504">
        <v>0</v>
      </c>
      <c r="S504" s="14">
        <v>2.99</v>
      </c>
      <c r="T504" s="10">
        <f t="shared" si="78"/>
        <v>30.042724999999997</v>
      </c>
      <c r="U504" s="10">
        <f t="shared" si="79"/>
        <v>38.244920539999995</v>
      </c>
      <c r="V504" s="10">
        <f t="shared" si="80"/>
        <v>38.7420233</v>
      </c>
      <c r="W504" s="10">
        <f t="shared" si="81"/>
        <v>49.926835400000002</v>
      </c>
      <c r="X504" s="10">
        <f t="shared" si="82"/>
        <v>54.897863000000001</v>
      </c>
      <c r="Y504" s="10">
        <f t="shared" si="83"/>
        <v>79.753000999999998</v>
      </c>
      <c r="Z504" s="10">
        <f t="shared" si="84"/>
        <v>28.421254399999995</v>
      </c>
      <c r="AA504" s="10">
        <f t="shared" si="85"/>
        <v>36.541612800000003</v>
      </c>
      <c r="AB504" s="10">
        <f t="shared" si="86"/>
        <v>40.601792000000003</v>
      </c>
      <c r="AC504" s="10">
        <f t="shared" si="87"/>
        <v>60.902687999999998</v>
      </c>
    </row>
    <row r="505" spans="1:29" x14ac:dyDescent="0.25">
      <c r="A505">
        <v>437474</v>
      </c>
      <c r="B505" t="s">
        <v>68</v>
      </c>
      <c r="C505" s="10">
        <v>15.89</v>
      </c>
      <c r="D505" s="10">
        <v>14.98</v>
      </c>
      <c r="E505" s="10">
        <v>0</v>
      </c>
      <c r="F505">
        <v>35</v>
      </c>
      <c r="G505" t="s">
        <v>15</v>
      </c>
      <c r="H505" s="11">
        <v>45987</v>
      </c>
      <c r="I505" t="s">
        <v>13</v>
      </c>
      <c r="J505" s="12">
        <v>2.75</v>
      </c>
      <c r="K505" s="3">
        <v>82.61</v>
      </c>
      <c r="L505" s="3">
        <f t="shared" si="77"/>
        <v>30.04</v>
      </c>
      <c r="M505" s="13"/>
      <c r="N505">
        <f>_xlfn.XLOOKUP(G505,'Tarievensheet per persoon'!AE:AE,'Tarievensheet per persoon'!AF:AF)</f>
        <v>1.7024999999999999</v>
      </c>
      <c r="O505">
        <f>_xlfn.XLOOKUP(G505,AE:AE,'Tarievensheet per persoon'!AG:AG)</f>
        <v>1.5642</v>
      </c>
      <c r="P505">
        <f>_xlfn.XLOOKUP(G505,AE:AE,'Tarievensheet per persoon'!AH:AH)</f>
        <v>1.3552</v>
      </c>
      <c r="Q505">
        <f>_xlfn.XLOOKUP(G505,AE:AE,'Tarievensheet per persoon'!AI:AI)</f>
        <v>1.3552</v>
      </c>
      <c r="R505">
        <v>0</v>
      </c>
      <c r="S505" s="14">
        <v>2.99</v>
      </c>
      <c r="T505" s="10">
        <f t="shared" si="78"/>
        <v>30.042724999999997</v>
      </c>
      <c r="U505" s="10">
        <f t="shared" si="79"/>
        <v>38.244920539999995</v>
      </c>
      <c r="V505" s="10">
        <f t="shared" si="80"/>
        <v>38.7420233</v>
      </c>
      <c r="W505" s="10">
        <f t="shared" si="81"/>
        <v>49.926835400000002</v>
      </c>
      <c r="X505" s="10">
        <f t="shared" si="82"/>
        <v>54.897863000000001</v>
      </c>
      <c r="Y505" s="10">
        <f t="shared" si="83"/>
        <v>79.753000999999998</v>
      </c>
      <c r="Z505" s="10">
        <f t="shared" si="84"/>
        <v>28.421254399999995</v>
      </c>
      <c r="AA505" s="10">
        <f t="shared" si="85"/>
        <v>36.541612800000003</v>
      </c>
      <c r="AB505" s="10">
        <f t="shared" si="86"/>
        <v>40.601792000000003</v>
      </c>
      <c r="AC505" s="10">
        <f t="shared" si="87"/>
        <v>60.902687999999998</v>
      </c>
    </row>
    <row r="506" spans="1:29" x14ac:dyDescent="0.25">
      <c r="A506">
        <v>437474</v>
      </c>
      <c r="B506" t="s">
        <v>68</v>
      </c>
      <c r="C506" s="10">
        <v>15.89</v>
      </c>
      <c r="D506" s="10">
        <v>14.98</v>
      </c>
      <c r="E506" s="10">
        <v>0</v>
      </c>
      <c r="F506">
        <v>35</v>
      </c>
      <c r="G506" t="s">
        <v>15</v>
      </c>
      <c r="H506" s="11">
        <v>45987</v>
      </c>
      <c r="I506" t="s">
        <v>21</v>
      </c>
      <c r="J506" s="12">
        <v>5.25</v>
      </c>
      <c r="K506" s="3">
        <v>200.76</v>
      </c>
      <c r="L506" s="3">
        <f t="shared" si="77"/>
        <v>38.239999999999995</v>
      </c>
      <c r="M506" s="13"/>
      <c r="N506">
        <f>_xlfn.XLOOKUP(G506,'Tarievensheet per persoon'!AE:AE,'Tarievensheet per persoon'!AF:AF)</f>
        <v>1.7024999999999999</v>
      </c>
      <c r="O506">
        <f>_xlfn.XLOOKUP(G506,AE:AE,'Tarievensheet per persoon'!AG:AG)</f>
        <v>1.5642</v>
      </c>
      <c r="P506">
        <f>_xlfn.XLOOKUP(G506,AE:AE,'Tarievensheet per persoon'!AH:AH)</f>
        <v>1.3552</v>
      </c>
      <c r="Q506">
        <f>_xlfn.XLOOKUP(G506,AE:AE,'Tarievensheet per persoon'!AI:AI)</f>
        <v>1.3552</v>
      </c>
      <c r="R506">
        <v>0</v>
      </c>
      <c r="S506" s="14">
        <v>2.99</v>
      </c>
      <c r="T506" s="10">
        <f t="shared" si="78"/>
        <v>30.042724999999997</v>
      </c>
      <c r="U506" s="10">
        <f t="shared" si="79"/>
        <v>38.244920539999995</v>
      </c>
      <c r="V506" s="10">
        <f t="shared" si="80"/>
        <v>38.7420233</v>
      </c>
      <c r="W506" s="10">
        <f t="shared" si="81"/>
        <v>49.926835400000002</v>
      </c>
      <c r="X506" s="10">
        <f t="shared" si="82"/>
        <v>54.897863000000001</v>
      </c>
      <c r="Y506" s="10">
        <f t="shared" si="83"/>
        <v>79.753000999999998</v>
      </c>
      <c r="Z506" s="10">
        <f t="shared" si="84"/>
        <v>28.421254399999995</v>
      </c>
      <c r="AA506" s="10">
        <f t="shared" si="85"/>
        <v>36.541612800000003</v>
      </c>
      <c r="AB506" s="10">
        <f t="shared" si="86"/>
        <v>40.601792000000003</v>
      </c>
      <c r="AC506" s="10">
        <f t="shared" si="87"/>
        <v>60.902687999999998</v>
      </c>
    </row>
    <row r="507" spans="1:29" x14ac:dyDescent="0.25">
      <c r="A507">
        <v>437474</v>
      </c>
      <c r="B507" t="s">
        <v>68</v>
      </c>
      <c r="C507" s="10">
        <v>15.89</v>
      </c>
      <c r="D507" s="10">
        <v>14.98</v>
      </c>
      <c r="E507" s="10">
        <v>0</v>
      </c>
      <c r="F507">
        <v>35</v>
      </c>
      <c r="G507" t="s">
        <v>15</v>
      </c>
      <c r="H507" s="11">
        <v>45988</v>
      </c>
      <c r="I507" t="s">
        <v>13</v>
      </c>
      <c r="J507" s="12">
        <v>3</v>
      </c>
      <c r="K507" s="3">
        <v>90.12</v>
      </c>
      <c r="L507" s="3">
        <f t="shared" si="77"/>
        <v>30.040000000000003</v>
      </c>
      <c r="M507" s="13"/>
      <c r="N507">
        <f>_xlfn.XLOOKUP(G507,'Tarievensheet per persoon'!AE:AE,'Tarievensheet per persoon'!AF:AF)</f>
        <v>1.7024999999999999</v>
      </c>
      <c r="O507">
        <f>_xlfn.XLOOKUP(G507,AE:AE,'Tarievensheet per persoon'!AG:AG)</f>
        <v>1.5642</v>
      </c>
      <c r="P507">
        <f>_xlfn.XLOOKUP(G507,AE:AE,'Tarievensheet per persoon'!AH:AH)</f>
        <v>1.3552</v>
      </c>
      <c r="Q507">
        <f>_xlfn.XLOOKUP(G507,AE:AE,'Tarievensheet per persoon'!AI:AI)</f>
        <v>1.3552</v>
      </c>
      <c r="R507">
        <v>0</v>
      </c>
      <c r="S507" s="14">
        <v>2.99</v>
      </c>
      <c r="T507" s="10">
        <f t="shared" si="78"/>
        <v>30.042724999999997</v>
      </c>
      <c r="U507" s="10">
        <f t="shared" si="79"/>
        <v>38.244920539999995</v>
      </c>
      <c r="V507" s="10">
        <f t="shared" si="80"/>
        <v>38.7420233</v>
      </c>
      <c r="W507" s="10">
        <f t="shared" si="81"/>
        <v>49.926835400000002</v>
      </c>
      <c r="X507" s="10">
        <f t="shared" si="82"/>
        <v>54.897863000000001</v>
      </c>
      <c r="Y507" s="10">
        <f t="shared" si="83"/>
        <v>79.753000999999998</v>
      </c>
      <c r="Z507" s="10">
        <f t="shared" si="84"/>
        <v>28.421254399999995</v>
      </c>
      <c r="AA507" s="10">
        <f t="shared" si="85"/>
        <v>36.541612800000003</v>
      </c>
      <c r="AB507" s="10">
        <f t="shared" si="86"/>
        <v>40.601792000000003</v>
      </c>
      <c r="AC507" s="10">
        <f t="shared" si="87"/>
        <v>60.902687999999998</v>
      </c>
    </row>
    <row r="508" spans="1:29" x14ac:dyDescent="0.25">
      <c r="A508">
        <v>437474</v>
      </c>
      <c r="B508" t="s">
        <v>68</v>
      </c>
      <c r="C508" s="10">
        <v>15.89</v>
      </c>
      <c r="D508" s="10">
        <v>14.98</v>
      </c>
      <c r="E508" s="10">
        <v>0</v>
      </c>
      <c r="F508">
        <v>35</v>
      </c>
      <c r="G508" t="s">
        <v>15</v>
      </c>
      <c r="H508" s="11">
        <v>45988</v>
      </c>
      <c r="I508" t="s">
        <v>21</v>
      </c>
      <c r="J508" s="12">
        <v>5</v>
      </c>
      <c r="K508" s="3">
        <v>191.2</v>
      </c>
      <c r="L508" s="3">
        <f t="shared" si="77"/>
        <v>38.239999999999995</v>
      </c>
      <c r="M508" s="13"/>
      <c r="N508">
        <f>_xlfn.XLOOKUP(G508,'Tarievensheet per persoon'!AE:AE,'Tarievensheet per persoon'!AF:AF)</f>
        <v>1.7024999999999999</v>
      </c>
      <c r="O508">
        <f>_xlfn.XLOOKUP(G508,AE:AE,'Tarievensheet per persoon'!AG:AG)</f>
        <v>1.5642</v>
      </c>
      <c r="P508">
        <f>_xlfn.XLOOKUP(G508,AE:AE,'Tarievensheet per persoon'!AH:AH)</f>
        <v>1.3552</v>
      </c>
      <c r="Q508">
        <f>_xlfn.XLOOKUP(G508,AE:AE,'Tarievensheet per persoon'!AI:AI)</f>
        <v>1.3552</v>
      </c>
      <c r="R508">
        <v>0</v>
      </c>
      <c r="S508" s="14">
        <v>2.99</v>
      </c>
      <c r="T508" s="10">
        <f t="shared" si="78"/>
        <v>30.042724999999997</v>
      </c>
      <c r="U508" s="10">
        <f t="shared" si="79"/>
        <v>38.244920539999995</v>
      </c>
      <c r="V508" s="10">
        <f t="shared" si="80"/>
        <v>38.7420233</v>
      </c>
      <c r="W508" s="10">
        <f t="shared" si="81"/>
        <v>49.926835400000002</v>
      </c>
      <c r="X508" s="10">
        <f t="shared" si="82"/>
        <v>54.897863000000001</v>
      </c>
      <c r="Y508" s="10">
        <f t="shared" si="83"/>
        <v>79.753000999999998</v>
      </c>
      <c r="Z508" s="10">
        <f t="shared" si="84"/>
        <v>28.421254399999995</v>
      </c>
      <c r="AA508" s="10">
        <f t="shared" si="85"/>
        <v>36.541612800000003</v>
      </c>
      <c r="AB508" s="10">
        <f t="shared" si="86"/>
        <v>40.601792000000003</v>
      </c>
      <c r="AC508" s="10">
        <f t="shared" si="87"/>
        <v>60.902687999999998</v>
      </c>
    </row>
    <row r="509" spans="1:29" x14ac:dyDescent="0.25">
      <c r="A509">
        <v>437474</v>
      </c>
      <c r="B509" t="s">
        <v>68</v>
      </c>
      <c r="C509" s="10">
        <v>15.89</v>
      </c>
      <c r="D509" s="10">
        <v>14.98</v>
      </c>
      <c r="E509" s="10">
        <v>0</v>
      </c>
      <c r="F509">
        <v>35</v>
      </c>
      <c r="G509" t="s">
        <v>15</v>
      </c>
      <c r="H509" s="11">
        <v>45989</v>
      </c>
      <c r="I509" t="s">
        <v>13</v>
      </c>
      <c r="J509" s="12">
        <v>2.75</v>
      </c>
      <c r="K509" s="3">
        <v>82.61</v>
      </c>
      <c r="L509" s="3">
        <f t="shared" si="77"/>
        <v>30.04</v>
      </c>
      <c r="M509" s="13"/>
      <c r="N509">
        <f>_xlfn.XLOOKUP(G509,'Tarievensheet per persoon'!AE:AE,'Tarievensheet per persoon'!AF:AF)</f>
        <v>1.7024999999999999</v>
      </c>
      <c r="O509">
        <f>_xlfn.XLOOKUP(G509,AE:AE,'Tarievensheet per persoon'!AG:AG)</f>
        <v>1.5642</v>
      </c>
      <c r="P509">
        <f>_xlfn.XLOOKUP(G509,AE:AE,'Tarievensheet per persoon'!AH:AH)</f>
        <v>1.3552</v>
      </c>
      <c r="Q509">
        <f>_xlfn.XLOOKUP(G509,AE:AE,'Tarievensheet per persoon'!AI:AI)</f>
        <v>1.3552</v>
      </c>
      <c r="R509">
        <v>0</v>
      </c>
      <c r="S509" s="14">
        <v>2.99</v>
      </c>
      <c r="T509" s="10">
        <f t="shared" si="78"/>
        <v>30.042724999999997</v>
      </c>
      <c r="U509" s="10">
        <f t="shared" si="79"/>
        <v>38.244920539999995</v>
      </c>
      <c r="V509" s="10">
        <f t="shared" si="80"/>
        <v>38.7420233</v>
      </c>
      <c r="W509" s="10">
        <f t="shared" si="81"/>
        <v>49.926835400000002</v>
      </c>
      <c r="X509" s="10">
        <f t="shared" si="82"/>
        <v>54.897863000000001</v>
      </c>
      <c r="Y509" s="10">
        <f t="shared" si="83"/>
        <v>79.753000999999998</v>
      </c>
      <c r="Z509" s="10">
        <f t="shared" si="84"/>
        <v>28.421254399999995</v>
      </c>
      <c r="AA509" s="10">
        <f t="shared" si="85"/>
        <v>36.541612800000003</v>
      </c>
      <c r="AB509" s="10">
        <f t="shared" si="86"/>
        <v>40.601792000000003</v>
      </c>
      <c r="AC509" s="10">
        <f t="shared" si="87"/>
        <v>60.902687999999998</v>
      </c>
    </row>
    <row r="510" spans="1:29" x14ac:dyDescent="0.25">
      <c r="A510">
        <v>437474</v>
      </c>
      <c r="B510" t="s">
        <v>68</v>
      </c>
      <c r="C510" s="10">
        <v>15.89</v>
      </c>
      <c r="D510" s="10">
        <v>14.98</v>
      </c>
      <c r="E510" s="10">
        <v>0</v>
      </c>
      <c r="F510">
        <v>35</v>
      </c>
      <c r="G510" t="s">
        <v>15</v>
      </c>
      <c r="H510" s="11">
        <v>45989</v>
      </c>
      <c r="I510" t="s">
        <v>21</v>
      </c>
      <c r="J510" s="12">
        <v>4.75</v>
      </c>
      <c r="K510" s="3">
        <v>181.64</v>
      </c>
      <c r="L510" s="3">
        <f t="shared" si="77"/>
        <v>38.239999999999995</v>
      </c>
      <c r="M510" s="13"/>
      <c r="N510">
        <f>_xlfn.XLOOKUP(G510,'Tarievensheet per persoon'!AE:AE,'Tarievensheet per persoon'!AF:AF)</f>
        <v>1.7024999999999999</v>
      </c>
      <c r="O510">
        <f>_xlfn.XLOOKUP(G510,AE:AE,'Tarievensheet per persoon'!AG:AG)</f>
        <v>1.5642</v>
      </c>
      <c r="P510">
        <f>_xlfn.XLOOKUP(G510,AE:AE,'Tarievensheet per persoon'!AH:AH)</f>
        <v>1.3552</v>
      </c>
      <c r="Q510">
        <f>_xlfn.XLOOKUP(G510,AE:AE,'Tarievensheet per persoon'!AI:AI)</f>
        <v>1.3552</v>
      </c>
      <c r="R510">
        <v>0</v>
      </c>
      <c r="S510" s="14">
        <v>2.99</v>
      </c>
      <c r="T510" s="10">
        <f t="shared" si="78"/>
        <v>30.042724999999997</v>
      </c>
      <c r="U510" s="10">
        <f t="shared" si="79"/>
        <v>38.244920539999995</v>
      </c>
      <c r="V510" s="10">
        <f t="shared" si="80"/>
        <v>38.7420233</v>
      </c>
      <c r="W510" s="10">
        <f t="shared" si="81"/>
        <v>49.926835400000002</v>
      </c>
      <c r="X510" s="10">
        <f t="shared" si="82"/>
        <v>54.897863000000001</v>
      </c>
      <c r="Y510" s="10">
        <f t="shared" si="83"/>
        <v>79.753000999999998</v>
      </c>
      <c r="Z510" s="10">
        <f t="shared" si="84"/>
        <v>28.421254399999995</v>
      </c>
      <c r="AA510" s="10">
        <f t="shared" si="85"/>
        <v>36.541612800000003</v>
      </c>
      <c r="AB510" s="10">
        <f t="shared" si="86"/>
        <v>40.601792000000003</v>
      </c>
      <c r="AC510" s="10">
        <f t="shared" si="87"/>
        <v>60.902687999999998</v>
      </c>
    </row>
    <row r="511" spans="1:29" x14ac:dyDescent="0.25">
      <c r="A511">
        <v>437613</v>
      </c>
      <c r="B511" t="s">
        <v>69</v>
      </c>
      <c r="C511" s="10">
        <v>19.14</v>
      </c>
      <c r="D511" s="10">
        <v>18.04</v>
      </c>
      <c r="E511" s="10">
        <v>0</v>
      </c>
      <c r="F511">
        <v>244</v>
      </c>
      <c r="G511" t="s">
        <v>12</v>
      </c>
      <c r="H511" s="11">
        <v>45985</v>
      </c>
      <c r="I511" t="s">
        <v>13</v>
      </c>
      <c r="J511" s="12">
        <v>6.75</v>
      </c>
      <c r="K511" s="3">
        <v>233.35</v>
      </c>
      <c r="L511" s="3">
        <f t="shared" si="77"/>
        <v>34.57037037037037</v>
      </c>
      <c r="M511" s="13"/>
      <c r="N511">
        <f>_xlfn.XLOOKUP(G511,'Tarievensheet per persoon'!AE:AE,'Tarievensheet per persoon'!AF:AF)</f>
        <v>1.6496999999999999</v>
      </c>
      <c r="O511">
        <f>_xlfn.XLOOKUP(G511,AE:AE,'Tarievensheet per persoon'!AG:AG)</f>
        <v>1.5022</v>
      </c>
      <c r="P511">
        <f>_xlfn.XLOOKUP(G511,AE:AE,'Tarievensheet per persoon'!AH:AH)</f>
        <v>1.2898000000000001</v>
      </c>
      <c r="Q511">
        <f>_xlfn.XLOOKUP(G511,AE:AE,'Tarievensheet per persoon'!AI:AI)</f>
        <v>1.2898000000000001</v>
      </c>
      <c r="R511">
        <v>0</v>
      </c>
      <c r="S511" s="14">
        <v>2.99</v>
      </c>
      <c r="T511" s="10">
        <f t="shared" si="78"/>
        <v>34.565258</v>
      </c>
      <c r="U511" s="10">
        <f t="shared" si="79"/>
        <v>44.053453640000001</v>
      </c>
      <c r="V511" s="10">
        <f t="shared" si="80"/>
        <v>44.628495800000003</v>
      </c>
      <c r="W511" s="10">
        <f t="shared" si="81"/>
        <v>57.566944399999997</v>
      </c>
      <c r="X511" s="10">
        <f t="shared" si="82"/>
        <v>63.317366</v>
      </c>
      <c r="Y511" s="10">
        <f t="shared" si="83"/>
        <v>92.069474</v>
      </c>
      <c r="Z511" s="10">
        <f t="shared" si="84"/>
        <v>32.575188799999999</v>
      </c>
      <c r="AA511" s="10">
        <f t="shared" si="85"/>
        <v>41.882385600000006</v>
      </c>
      <c r="AB511" s="10">
        <f t="shared" si="86"/>
        <v>46.535983999999999</v>
      </c>
      <c r="AC511" s="10">
        <f t="shared" si="87"/>
        <v>69.803976000000006</v>
      </c>
    </row>
    <row r="512" spans="1:29" x14ac:dyDescent="0.25">
      <c r="A512">
        <v>437613</v>
      </c>
      <c r="B512" t="s">
        <v>69</v>
      </c>
      <c r="C512" s="10">
        <v>19.14</v>
      </c>
      <c r="D512" s="10">
        <v>18.04</v>
      </c>
      <c r="E512" s="10">
        <v>0</v>
      </c>
      <c r="F512">
        <v>244</v>
      </c>
      <c r="G512" t="s">
        <v>12</v>
      </c>
      <c r="H512" s="11">
        <v>45985</v>
      </c>
      <c r="I512" t="s">
        <v>22</v>
      </c>
      <c r="J512" s="12">
        <v>1</v>
      </c>
      <c r="K512" s="3">
        <v>44.63</v>
      </c>
      <c r="L512" s="3">
        <f t="shared" si="77"/>
        <v>44.63</v>
      </c>
      <c r="M512" s="13"/>
      <c r="N512">
        <f>_xlfn.XLOOKUP(G512,'Tarievensheet per persoon'!AE:AE,'Tarievensheet per persoon'!AF:AF)</f>
        <v>1.6496999999999999</v>
      </c>
      <c r="O512">
        <f>_xlfn.XLOOKUP(G512,AE:AE,'Tarievensheet per persoon'!AG:AG)</f>
        <v>1.5022</v>
      </c>
      <c r="P512">
        <f>_xlfn.XLOOKUP(G512,AE:AE,'Tarievensheet per persoon'!AH:AH)</f>
        <v>1.2898000000000001</v>
      </c>
      <c r="Q512">
        <f>_xlfn.XLOOKUP(G512,AE:AE,'Tarievensheet per persoon'!AI:AI)</f>
        <v>1.2898000000000001</v>
      </c>
      <c r="R512">
        <v>0</v>
      </c>
      <c r="S512" s="14">
        <v>2.99</v>
      </c>
      <c r="T512" s="10">
        <f t="shared" si="78"/>
        <v>34.565258</v>
      </c>
      <c r="U512" s="10">
        <f t="shared" si="79"/>
        <v>44.053453640000001</v>
      </c>
      <c r="V512" s="10">
        <f t="shared" si="80"/>
        <v>44.628495800000003</v>
      </c>
      <c r="W512" s="10">
        <f t="shared" si="81"/>
        <v>57.566944399999997</v>
      </c>
      <c r="X512" s="10">
        <f t="shared" si="82"/>
        <v>63.317366</v>
      </c>
      <c r="Y512" s="10">
        <f t="shared" si="83"/>
        <v>92.069474</v>
      </c>
      <c r="Z512" s="10">
        <f t="shared" si="84"/>
        <v>32.575188799999999</v>
      </c>
      <c r="AA512" s="10">
        <f t="shared" si="85"/>
        <v>41.882385600000006</v>
      </c>
      <c r="AB512" s="10">
        <f t="shared" si="86"/>
        <v>46.535983999999999</v>
      </c>
      <c r="AC512" s="10">
        <f t="shared" si="87"/>
        <v>69.803976000000006</v>
      </c>
    </row>
    <row r="513" spans="1:29" x14ac:dyDescent="0.25">
      <c r="A513">
        <v>437613</v>
      </c>
      <c r="B513" t="s">
        <v>69</v>
      </c>
      <c r="C513" s="10">
        <v>19.14</v>
      </c>
      <c r="D513" s="10">
        <v>18.04</v>
      </c>
      <c r="E513" s="10">
        <v>0</v>
      </c>
      <c r="F513">
        <v>244</v>
      </c>
      <c r="G513" t="s">
        <v>12</v>
      </c>
      <c r="H513" s="11">
        <v>45986</v>
      </c>
      <c r="I513" t="s">
        <v>13</v>
      </c>
      <c r="J513" s="12">
        <v>7</v>
      </c>
      <c r="K513" s="3">
        <v>241.99</v>
      </c>
      <c r="L513" s="3">
        <f t="shared" si="77"/>
        <v>34.57</v>
      </c>
      <c r="M513" s="13"/>
      <c r="N513">
        <f>_xlfn.XLOOKUP(G513,'Tarievensheet per persoon'!AE:AE,'Tarievensheet per persoon'!AF:AF)</f>
        <v>1.6496999999999999</v>
      </c>
      <c r="O513">
        <f>_xlfn.XLOOKUP(G513,AE:AE,'Tarievensheet per persoon'!AG:AG)</f>
        <v>1.5022</v>
      </c>
      <c r="P513">
        <f>_xlfn.XLOOKUP(G513,AE:AE,'Tarievensheet per persoon'!AH:AH)</f>
        <v>1.2898000000000001</v>
      </c>
      <c r="Q513">
        <f>_xlfn.XLOOKUP(G513,AE:AE,'Tarievensheet per persoon'!AI:AI)</f>
        <v>1.2898000000000001</v>
      </c>
      <c r="R513">
        <v>0</v>
      </c>
      <c r="S513" s="14">
        <v>2.99</v>
      </c>
      <c r="T513" s="10">
        <f t="shared" si="78"/>
        <v>34.565258</v>
      </c>
      <c r="U513" s="10">
        <f t="shared" si="79"/>
        <v>44.053453640000001</v>
      </c>
      <c r="V513" s="10">
        <f t="shared" si="80"/>
        <v>44.628495800000003</v>
      </c>
      <c r="W513" s="10">
        <f t="shared" si="81"/>
        <v>57.566944399999997</v>
      </c>
      <c r="X513" s="10">
        <f t="shared" si="82"/>
        <v>63.317366</v>
      </c>
      <c r="Y513" s="10">
        <f t="shared" si="83"/>
        <v>92.069474</v>
      </c>
      <c r="Z513" s="10">
        <f t="shared" si="84"/>
        <v>32.575188799999999</v>
      </c>
      <c r="AA513" s="10">
        <f t="shared" si="85"/>
        <v>41.882385600000006</v>
      </c>
      <c r="AB513" s="10">
        <f t="shared" si="86"/>
        <v>46.535983999999999</v>
      </c>
      <c r="AC513" s="10">
        <f t="shared" si="87"/>
        <v>69.803976000000006</v>
      </c>
    </row>
    <row r="514" spans="1:29" x14ac:dyDescent="0.25">
      <c r="A514">
        <v>437613</v>
      </c>
      <c r="B514" t="s">
        <v>69</v>
      </c>
      <c r="C514" s="10">
        <v>19.14</v>
      </c>
      <c r="D514" s="10">
        <v>18.04</v>
      </c>
      <c r="E514" s="10">
        <v>0</v>
      </c>
      <c r="F514">
        <v>244</v>
      </c>
      <c r="G514" t="s">
        <v>12</v>
      </c>
      <c r="H514" s="11">
        <v>45986</v>
      </c>
      <c r="I514" t="s">
        <v>22</v>
      </c>
      <c r="J514" s="12">
        <v>1</v>
      </c>
      <c r="K514" s="3">
        <v>44.63</v>
      </c>
      <c r="L514" s="3">
        <f t="shared" si="77"/>
        <v>44.63</v>
      </c>
      <c r="M514" s="13"/>
      <c r="N514">
        <f>_xlfn.XLOOKUP(G514,'Tarievensheet per persoon'!AE:AE,'Tarievensheet per persoon'!AF:AF)</f>
        <v>1.6496999999999999</v>
      </c>
      <c r="O514">
        <f>_xlfn.XLOOKUP(G514,AE:AE,'Tarievensheet per persoon'!AG:AG)</f>
        <v>1.5022</v>
      </c>
      <c r="P514">
        <f>_xlfn.XLOOKUP(G514,AE:AE,'Tarievensheet per persoon'!AH:AH)</f>
        <v>1.2898000000000001</v>
      </c>
      <c r="Q514">
        <f>_xlfn.XLOOKUP(G514,AE:AE,'Tarievensheet per persoon'!AI:AI)</f>
        <v>1.2898000000000001</v>
      </c>
      <c r="R514">
        <v>0</v>
      </c>
      <c r="S514" s="14">
        <v>2.99</v>
      </c>
      <c r="T514" s="10">
        <f t="shared" si="78"/>
        <v>34.565258</v>
      </c>
      <c r="U514" s="10">
        <f t="shared" si="79"/>
        <v>44.053453640000001</v>
      </c>
      <c r="V514" s="10">
        <f t="shared" si="80"/>
        <v>44.628495800000003</v>
      </c>
      <c r="W514" s="10">
        <f t="shared" si="81"/>
        <v>57.566944399999997</v>
      </c>
      <c r="X514" s="10">
        <f t="shared" si="82"/>
        <v>63.317366</v>
      </c>
      <c r="Y514" s="10">
        <f t="shared" si="83"/>
        <v>92.069474</v>
      </c>
      <c r="Z514" s="10">
        <f t="shared" si="84"/>
        <v>32.575188799999999</v>
      </c>
      <c r="AA514" s="10">
        <f t="shared" si="85"/>
        <v>41.882385600000006</v>
      </c>
      <c r="AB514" s="10">
        <f t="shared" si="86"/>
        <v>46.535983999999999</v>
      </c>
      <c r="AC514" s="10">
        <f t="shared" si="87"/>
        <v>69.803976000000006</v>
      </c>
    </row>
    <row r="515" spans="1:29" x14ac:dyDescent="0.25">
      <c r="A515">
        <v>437613</v>
      </c>
      <c r="B515" t="s">
        <v>69</v>
      </c>
      <c r="C515" s="10">
        <v>19.14</v>
      </c>
      <c r="D515" s="10">
        <v>18.04</v>
      </c>
      <c r="E515" s="10">
        <v>0</v>
      </c>
      <c r="F515">
        <v>244</v>
      </c>
      <c r="G515" t="s">
        <v>12</v>
      </c>
      <c r="H515" s="11">
        <v>45987</v>
      </c>
      <c r="I515" t="s">
        <v>13</v>
      </c>
      <c r="J515" s="12">
        <v>4.75</v>
      </c>
      <c r="K515" s="3">
        <v>164.21</v>
      </c>
      <c r="L515" s="3">
        <f t="shared" ref="L515:L578" si="88">K515/J515</f>
        <v>34.570526315789472</v>
      </c>
      <c r="M515" s="13"/>
      <c r="N515">
        <f>_xlfn.XLOOKUP(G515,'Tarievensheet per persoon'!AE:AE,'Tarievensheet per persoon'!AF:AF)</f>
        <v>1.6496999999999999</v>
      </c>
      <c r="O515">
        <f>_xlfn.XLOOKUP(G515,AE:AE,'Tarievensheet per persoon'!AG:AG)</f>
        <v>1.5022</v>
      </c>
      <c r="P515">
        <f>_xlfn.XLOOKUP(G515,AE:AE,'Tarievensheet per persoon'!AH:AH)</f>
        <v>1.2898000000000001</v>
      </c>
      <c r="Q515">
        <f>_xlfn.XLOOKUP(G515,AE:AE,'Tarievensheet per persoon'!AI:AI)</f>
        <v>1.2898000000000001</v>
      </c>
      <c r="R515">
        <v>0</v>
      </c>
      <c r="S515" s="14">
        <v>2.99</v>
      </c>
      <c r="T515" s="10">
        <f t="shared" ref="T515:T578" si="89">C515*N515+C515*Q515*R515+S515+(E515*O515)</f>
        <v>34.565258</v>
      </c>
      <c r="U515" s="10">
        <f t="shared" ref="U515:U578" si="90">T515+C515*(U$1-1)*O515</f>
        <v>44.053453640000001</v>
      </c>
      <c r="V515" s="10">
        <f t="shared" ref="V515:V578" si="91">T515+C515*(V$1-1)*O515</f>
        <v>44.628495800000003</v>
      </c>
      <c r="W515" s="10">
        <f t="shared" ref="W515:W578" si="92">T515+C515*(W$1-1)*O515</f>
        <v>57.566944399999997</v>
      </c>
      <c r="X515" s="10">
        <f t="shared" ref="X515:X578" si="93">T515+C515*(X$1-1)*O515</f>
        <v>63.317366</v>
      </c>
      <c r="Y515" s="10">
        <f t="shared" ref="Y515:Y578" si="94">T515+C515*(Y$1-1)*O515</f>
        <v>92.069474</v>
      </c>
      <c r="Z515" s="10">
        <f t="shared" ref="Z515:Z578" si="95">D515*Z$1*P515</f>
        <v>32.575188799999999</v>
      </c>
      <c r="AA515" s="10">
        <f t="shared" ref="AA515:AA578" si="96">D515*AA$1*P515</f>
        <v>41.882385600000006</v>
      </c>
      <c r="AB515" s="10">
        <f t="shared" ref="AB515:AB578" si="97">D515*AB$1*P515</f>
        <v>46.535983999999999</v>
      </c>
      <c r="AC515" s="10">
        <f t="shared" ref="AC515:AC578" si="98">D515*AC$1*P515</f>
        <v>69.803976000000006</v>
      </c>
    </row>
    <row r="516" spans="1:29" x14ac:dyDescent="0.25">
      <c r="A516">
        <v>437613</v>
      </c>
      <c r="B516" t="s">
        <v>69</v>
      </c>
      <c r="C516" s="10">
        <v>19.14</v>
      </c>
      <c r="D516" s="10">
        <v>18.04</v>
      </c>
      <c r="E516" s="10">
        <v>0</v>
      </c>
      <c r="F516">
        <v>244</v>
      </c>
      <c r="G516" t="s">
        <v>12</v>
      </c>
      <c r="H516" s="11">
        <v>45987</v>
      </c>
      <c r="I516" t="s">
        <v>22</v>
      </c>
      <c r="J516" s="12">
        <v>1</v>
      </c>
      <c r="K516" s="3">
        <v>44.63</v>
      </c>
      <c r="L516" s="3">
        <f t="shared" si="88"/>
        <v>44.63</v>
      </c>
      <c r="M516" s="13"/>
      <c r="N516">
        <f>_xlfn.XLOOKUP(G516,'Tarievensheet per persoon'!AE:AE,'Tarievensheet per persoon'!AF:AF)</f>
        <v>1.6496999999999999</v>
      </c>
      <c r="O516">
        <f>_xlfn.XLOOKUP(G516,AE:AE,'Tarievensheet per persoon'!AG:AG)</f>
        <v>1.5022</v>
      </c>
      <c r="P516">
        <f>_xlfn.XLOOKUP(G516,AE:AE,'Tarievensheet per persoon'!AH:AH)</f>
        <v>1.2898000000000001</v>
      </c>
      <c r="Q516">
        <f>_xlfn.XLOOKUP(G516,AE:AE,'Tarievensheet per persoon'!AI:AI)</f>
        <v>1.2898000000000001</v>
      </c>
      <c r="R516">
        <v>0</v>
      </c>
      <c r="S516" s="14">
        <v>2.99</v>
      </c>
      <c r="T516" s="10">
        <f t="shared" si="89"/>
        <v>34.565258</v>
      </c>
      <c r="U516" s="10">
        <f t="shared" si="90"/>
        <v>44.053453640000001</v>
      </c>
      <c r="V516" s="10">
        <f t="shared" si="91"/>
        <v>44.628495800000003</v>
      </c>
      <c r="W516" s="10">
        <f t="shared" si="92"/>
        <v>57.566944399999997</v>
      </c>
      <c r="X516" s="10">
        <f t="shared" si="93"/>
        <v>63.317366</v>
      </c>
      <c r="Y516" s="10">
        <f t="shared" si="94"/>
        <v>92.069474</v>
      </c>
      <c r="Z516" s="10">
        <f t="shared" si="95"/>
        <v>32.575188799999999</v>
      </c>
      <c r="AA516" s="10">
        <f t="shared" si="96"/>
        <v>41.882385600000006</v>
      </c>
      <c r="AB516" s="10">
        <f t="shared" si="97"/>
        <v>46.535983999999999</v>
      </c>
      <c r="AC516" s="10">
        <f t="shared" si="98"/>
        <v>69.803976000000006</v>
      </c>
    </row>
    <row r="517" spans="1:29" x14ac:dyDescent="0.25">
      <c r="A517">
        <v>437613</v>
      </c>
      <c r="B517" t="s">
        <v>69</v>
      </c>
      <c r="C517" s="10">
        <v>19.14</v>
      </c>
      <c r="D517" s="10">
        <v>18.04</v>
      </c>
      <c r="E517" s="10">
        <v>0</v>
      </c>
      <c r="F517">
        <v>244</v>
      </c>
      <c r="G517" t="s">
        <v>12</v>
      </c>
      <c r="H517" s="11">
        <v>45988</v>
      </c>
      <c r="I517" t="s">
        <v>13</v>
      </c>
      <c r="J517" s="12">
        <v>7</v>
      </c>
      <c r="K517" s="3">
        <v>241.99</v>
      </c>
      <c r="L517" s="3">
        <f t="shared" si="88"/>
        <v>34.57</v>
      </c>
      <c r="M517" s="13"/>
      <c r="N517">
        <f>_xlfn.XLOOKUP(G517,'Tarievensheet per persoon'!AE:AE,'Tarievensheet per persoon'!AF:AF)</f>
        <v>1.6496999999999999</v>
      </c>
      <c r="O517">
        <f>_xlfn.XLOOKUP(G517,AE:AE,'Tarievensheet per persoon'!AG:AG)</f>
        <v>1.5022</v>
      </c>
      <c r="P517">
        <f>_xlfn.XLOOKUP(G517,AE:AE,'Tarievensheet per persoon'!AH:AH)</f>
        <v>1.2898000000000001</v>
      </c>
      <c r="Q517">
        <f>_xlfn.XLOOKUP(G517,AE:AE,'Tarievensheet per persoon'!AI:AI)</f>
        <v>1.2898000000000001</v>
      </c>
      <c r="R517">
        <v>0</v>
      </c>
      <c r="S517" s="14">
        <v>2.99</v>
      </c>
      <c r="T517" s="10">
        <f t="shared" si="89"/>
        <v>34.565258</v>
      </c>
      <c r="U517" s="10">
        <f t="shared" si="90"/>
        <v>44.053453640000001</v>
      </c>
      <c r="V517" s="10">
        <f t="shared" si="91"/>
        <v>44.628495800000003</v>
      </c>
      <c r="W517" s="10">
        <f t="shared" si="92"/>
        <v>57.566944399999997</v>
      </c>
      <c r="X517" s="10">
        <f t="shared" si="93"/>
        <v>63.317366</v>
      </c>
      <c r="Y517" s="10">
        <f t="shared" si="94"/>
        <v>92.069474</v>
      </c>
      <c r="Z517" s="10">
        <f t="shared" si="95"/>
        <v>32.575188799999999</v>
      </c>
      <c r="AA517" s="10">
        <f t="shared" si="96"/>
        <v>41.882385600000006</v>
      </c>
      <c r="AB517" s="10">
        <f t="shared" si="97"/>
        <v>46.535983999999999</v>
      </c>
      <c r="AC517" s="10">
        <f t="shared" si="98"/>
        <v>69.803976000000006</v>
      </c>
    </row>
    <row r="518" spans="1:29" x14ac:dyDescent="0.25">
      <c r="A518">
        <v>437613</v>
      </c>
      <c r="B518" t="s">
        <v>69</v>
      </c>
      <c r="C518" s="10">
        <v>19.14</v>
      </c>
      <c r="D518" s="10">
        <v>18.04</v>
      </c>
      <c r="E518" s="10">
        <v>0</v>
      </c>
      <c r="F518">
        <v>244</v>
      </c>
      <c r="G518" t="s">
        <v>12</v>
      </c>
      <c r="H518" s="11">
        <v>45988</v>
      </c>
      <c r="I518" t="s">
        <v>22</v>
      </c>
      <c r="J518" s="12">
        <v>1</v>
      </c>
      <c r="K518" s="3">
        <v>44.63</v>
      </c>
      <c r="L518" s="3">
        <f t="shared" si="88"/>
        <v>44.63</v>
      </c>
      <c r="M518" s="13"/>
      <c r="N518">
        <f>_xlfn.XLOOKUP(G518,'Tarievensheet per persoon'!AE:AE,'Tarievensheet per persoon'!AF:AF)</f>
        <v>1.6496999999999999</v>
      </c>
      <c r="O518">
        <f>_xlfn.XLOOKUP(G518,AE:AE,'Tarievensheet per persoon'!AG:AG)</f>
        <v>1.5022</v>
      </c>
      <c r="P518">
        <f>_xlfn.XLOOKUP(G518,AE:AE,'Tarievensheet per persoon'!AH:AH)</f>
        <v>1.2898000000000001</v>
      </c>
      <c r="Q518">
        <f>_xlfn.XLOOKUP(G518,AE:AE,'Tarievensheet per persoon'!AI:AI)</f>
        <v>1.2898000000000001</v>
      </c>
      <c r="R518">
        <v>0</v>
      </c>
      <c r="S518" s="14">
        <v>2.99</v>
      </c>
      <c r="T518" s="10">
        <f t="shared" si="89"/>
        <v>34.565258</v>
      </c>
      <c r="U518" s="10">
        <f t="shared" si="90"/>
        <v>44.053453640000001</v>
      </c>
      <c r="V518" s="10">
        <f t="shared" si="91"/>
        <v>44.628495800000003</v>
      </c>
      <c r="W518" s="10">
        <f t="shared" si="92"/>
        <v>57.566944399999997</v>
      </c>
      <c r="X518" s="10">
        <f t="shared" si="93"/>
        <v>63.317366</v>
      </c>
      <c r="Y518" s="10">
        <f t="shared" si="94"/>
        <v>92.069474</v>
      </c>
      <c r="Z518" s="10">
        <f t="shared" si="95"/>
        <v>32.575188799999999</v>
      </c>
      <c r="AA518" s="10">
        <f t="shared" si="96"/>
        <v>41.882385600000006</v>
      </c>
      <c r="AB518" s="10">
        <f t="shared" si="97"/>
        <v>46.535983999999999</v>
      </c>
      <c r="AC518" s="10">
        <f t="shared" si="98"/>
        <v>69.803976000000006</v>
      </c>
    </row>
    <row r="519" spans="1:29" x14ac:dyDescent="0.25">
      <c r="A519">
        <v>437613</v>
      </c>
      <c r="B519" t="s">
        <v>69</v>
      </c>
      <c r="C519" s="10">
        <v>19.14</v>
      </c>
      <c r="D519" s="10">
        <v>18.04</v>
      </c>
      <c r="E519" s="10">
        <v>0</v>
      </c>
      <c r="F519">
        <v>244</v>
      </c>
      <c r="G519" t="s">
        <v>12</v>
      </c>
      <c r="H519" s="11">
        <v>45989</v>
      </c>
      <c r="I519" t="s">
        <v>13</v>
      </c>
      <c r="J519" s="12">
        <v>6.75</v>
      </c>
      <c r="K519" s="3">
        <v>233.35</v>
      </c>
      <c r="L519" s="3">
        <f t="shared" si="88"/>
        <v>34.57037037037037</v>
      </c>
      <c r="M519" s="13"/>
      <c r="N519">
        <f>_xlfn.XLOOKUP(G519,'Tarievensheet per persoon'!AE:AE,'Tarievensheet per persoon'!AF:AF)</f>
        <v>1.6496999999999999</v>
      </c>
      <c r="O519">
        <f>_xlfn.XLOOKUP(G519,AE:AE,'Tarievensheet per persoon'!AG:AG)</f>
        <v>1.5022</v>
      </c>
      <c r="P519">
        <f>_xlfn.XLOOKUP(G519,AE:AE,'Tarievensheet per persoon'!AH:AH)</f>
        <v>1.2898000000000001</v>
      </c>
      <c r="Q519">
        <f>_xlfn.XLOOKUP(G519,AE:AE,'Tarievensheet per persoon'!AI:AI)</f>
        <v>1.2898000000000001</v>
      </c>
      <c r="R519">
        <v>0</v>
      </c>
      <c r="S519" s="14">
        <v>2.99</v>
      </c>
      <c r="T519" s="10">
        <f t="shared" si="89"/>
        <v>34.565258</v>
      </c>
      <c r="U519" s="10">
        <f t="shared" si="90"/>
        <v>44.053453640000001</v>
      </c>
      <c r="V519" s="10">
        <f t="shared" si="91"/>
        <v>44.628495800000003</v>
      </c>
      <c r="W519" s="10">
        <f t="shared" si="92"/>
        <v>57.566944399999997</v>
      </c>
      <c r="X519" s="10">
        <f t="shared" si="93"/>
        <v>63.317366</v>
      </c>
      <c r="Y519" s="10">
        <f t="shared" si="94"/>
        <v>92.069474</v>
      </c>
      <c r="Z519" s="10">
        <f t="shared" si="95"/>
        <v>32.575188799999999</v>
      </c>
      <c r="AA519" s="10">
        <f t="shared" si="96"/>
        <v>41.882385600000006</v>
      </c>
      <c r="AB519" s="10">
        <f t="shared" si="97"/>
        <v>46.535983999999999</v>
      </c>
      <c r="AC519" s="10">
        <f t="shared" si="98"/>
        <v>69.803976000000006</v>
      </c>
    </row>
    <row r="520" spans="1:29" x14ac:dyDescent="0.25">
      <c r="A520">
        <v>437613</v>
      </c>
      <c r="B520" t="s">
        <v>69</v>
      </c>
      <c r="C520" s="10">
        <v>19.14</v>
      </c>
      <c r="D520" s="10">
        <v>18.04</v>
      </c>
      <c r="E520" s="10">
        <v>0</v>
      </c>
      <c r="F520">
        <v>244</v>
      </c>
      <c r="G520" t="s">
        <v>12</v>
      </c>
      <c r="H520" s="11">
        <v>45989</v>
      </c>
      <c r="I520" t="s">
        <v>22</v>
      </c>
      <c r="J520" s="12">
        <v>0.75</v>
      </c>
      <c r="K520" s="3">
        <v>33.47</v>
      </c>
      <c r="L520" s="3">
        <f t="shared" si="88"/>
        <v>44.626666666666665</v>
      </c>
      <c r="M520" s="13"/>
      <c r="N520">
        <f>_xlfn.XLOOKUP(G520,'Tarievensheet per persoon'!AE:AE,'Tarievensheet per persoon'!AF:AF)</f>
        <v>1.6496999999999999</v>
      </c>
      <c r="O520">
        <f>_xlfn.XLOOKUP(G520,AE:AE,'Tarievensheet per persoon'!AG:AG)</f>
        <v>1.5022</v>
      </c>
      <c r="P520">
        <f>_xlfn.XLOOKUP(G520,AE:AE,'Tarievensheet per persoon'!AH:AH)</f>
        <v>1.2898000000000001</v>
      </c>
      <c r="Q520">
        <f>_xlfn.XLOOKUP(G520,AE:AE,'Tarievensheet per persoon'!AI:AI)</f>
        <v>1.2898000000000001</v>
      </c>
      <c r="R520">
        <v>0</v>
      </c>
      <c r="S520" s="14">
        <v>2.99</v>
      </c>
      <c r="T520" s="10">
        <f t="shared" si="89"/>
        <v>34.565258</v>
      </c>
      <c r="U520" s="10">
        <f t="shared" si="90"/>
        <v>44.053453640000001</v>
      </c>
      <c r="V520" s="10">
        <f t="shared" si="91"/>
        <v>44.628495800000003</v>
      </c>
      <c r="W520" s="10">
        <f t="shared" si="92"/>
        <v>57.566944399999997</v>
      </c>
      <c r="X520" s="10">
        <f t="shared" si="93"/>
        <v>63.317366</v>
      </c>
      <c r="Y520" s="10">
        <f t="shared" si="94"/>
        <v>92.069474</v>
      </c>
      <c r="Z520" s="10">
        <f t="shared" si="95"/>
        <v>32.575188799999999</v>
      </c>
      <c r="AA520" s="10">
        <f t="shared" si="96"/>
        <v>41.882385600000006</v>
      </c>
      <c r="AB520" s="10">
        <f t="shared" si="97"/>
        <v>46.535983999999999</v>
      </c>
      <c r="AC520" s="10">
        <f t="shared" si="98"/>
        <v>69.803976000000006</v>
      </c>
    </row>
    <row r="521" spans="1:29" x14ac:dyDescent="0.25">
      <c r="A521">
        <v>437659</v>
      </c>
      <c r="B521" t="s">
        <v>101</v>
      </c>
      <c r="C521" s="10">
        <v>19.14</v>
      </c>
      <c r="D521" s="10">
        <v>18.04</v>
      </c>
      <c r="E521" s="10">
        <v>0</v>
      </c>
      <c r="F521">
        <v>243</v>
      </c>
      <c r="G521" t="s">
        <v>12</v>
      </c>
      <c r="H521" s="11">
        <v>45985</v>
      </c>
      <c r="I521" t="s">
        <v>13</v>
      </c>
      <c r="J521" s="12">
        <v>8</v>
      </c>
      <c r="K521" s="3">
        <v>276.56</v>
      </c>
      <c r="L521" s="3">
        <f t="shared" si="88"/>
        <v>34.57</v>
      </c>
      <c r="M521" s="13"/>
      <c r="N521">
        <f>_xlfn.XLOOKUP(G521,'Tarievensheet per persoon'!AE:AE,'Tarievensheet per persoon'!AF:AF)</f>
        <v>1.6496999999999999</v>
      </c>
      <c r="O521">
        <f>_xlfn.XLOOKUP(G521,AE:AE,'Tarievensheet per persoon'!AG:AG)</f>
        <v>1.5022</v>
      </c>
      <c r="P521">
        <f>_xlfn.XLOOKUP(G521,AE:AE,'Tarievensheet per persoon'!AH:AH)</f>
        <v>1.2898000000000001</v>
      </c>
      <c r="Q521">
        <f>_xlfn.XLOOKUP(G521,AE:AE,'Tarievensheet per persoon'!AI:AI)</f>
        <v>1.2898000000000001</v>
      </c>
      <c r="R521">
        <v>0</v>
      </c>
      <c r="S521" s="14">
        <v>2.99</v>
      </c>
      <c r="T521" s="10">
        <f t="shared" si="89"/>
        <v>34.565258</v>
      </c>
      <c r="U521" s="10">
        <f t="shared" si="90"/>
        <v>44.053453640000001</v>
      </c>
      <c r="V521" s="10">
        <f t="shared" si="91"/>
        <v>44.628495800000003</v>
      </c>
      <c r="W521" s="10">
        <f t="shared" si="92"/>
        <v>57.566944399999997</v>
      </c>
      <c r="X521" s="10">
        <f t="shared" si="93"/>
        <v>63.317366</v>
      </c>
      <c r="Y521" s="10">
        <f t="shared" si="94"/>
        <v>92.069474</v>
      </c>
      <c r="Z521" s="10">
        <f t="shared" si="95"/>
        <v>32.575188799999999</v>
      </c>
      <c r="AA521" s="10">
        <f t="shared" si="96"/>
        <v>41.882385600000006</v>
      </c>
      <c r="AB521" s="10">
        <f t="shared" si="97"/>
        <v>46.535983999999999</v>
      </c>
      <c r="AC521" s="10">
        <f t="shared" si="98"/>
        <v>69.803976000000006</v>
      </c>
    </row>
    <row r="522" spans="1:29" x14ac:dyDescent="0.25">
      <c r="A522">
        <v>437659</v>
      </c>
      <c r="B522" t="s">
        <v>101</v>
      </c>
      <c r="C522" s="10">
        <v>19.14</v>
      </c>
      <c r="D522" s="10">
        <v>18.04</v>
      </c>
      <c r="E522" s="10">
        <v>0</v>
      </c>
      <c r="F522">
        <v>243</v>
      </c>
      <c r="G522" t="s">
        <v>12</v>
      </c>
      <c r="H522" s="11">
        <v>45986</v>
      </c>
      <c r="I522" t="s">
        <v>13</v>
      </c>
      <c r="J522" s="12">
        <v>8</v>
      </c>
      <c r="K522" s="3">
        <v>276.56</v>
      </c>
      <c r="L522" s="3">
        <f t="shared" si="88"/>
        <v>34.57</v>
      </c>
      <c r="M522" s="13"/>
      <c r="N522">
        <f>_xlfn.XLOOKUP(G522,'Tarievensheet per persoon'!AE:AE,'Tarievensheet per persoon'!AF:AF)</f>
        <v>1.6496999999999999</v>
      </c>
      <c r="O522">
        <f>_xlfn.XLOOKUP(G522,AE:AE,'Tarievensheet per persoon'!AG:AG)</f>
        <v>1.5022</v>
      </c>
      <c r="P522">
        <f>_xlfn.XLOOKUP(G522,AE:AE,'Tarievensheet per persoon'!AH:AH)</f>
        <v>1.2898000000000001</v>
      </c>
      <c r="Q522">
        <f>_xlfn.XLOOKUP(G522,AE:AE,'Tarievensheet per persoon'!AI:AI)</f>
        <v>1.2898000000000001</v>
      </c>
      <c r="R522">
        <v>0</v>
      </c>
      <c r="S522" s="14">
        <v>2.99</v>
      </c>
      <c r="T522" s="10">
        <f t="shared" si="89"/>
        <v>34.565258</v>
      </c>
      <c r="U522" s="10">
        <f t="shared" si="90"/>
        <v>44.053453640000001</v>
      </c>
      <c r="V522" s="10">
        <f t="shared" si="91"/>
        <v>44.628495800000003</v>
      </c>
      <c r="W522" s="10">
        <f t="shared" si="92"/>
        <v>57.566944399999997</v>
      </c>
      <c r="X522" s="10">
        <f t="shared" si="93"/>
        <v>63.317366</v>
      </c>
      <c r="Y522" s="10">
        <f t="shared" si="94"/>
        <v>92.069474</v>
      </c>
      <c r="Z522" s="10">
        <f t="shared" si="95"/>
        <v>32.575188799999999</v>
      </c>
      <c r="AA522" s="10">
        <f t="shared" si="96"/>
        <v>41.882385600000006</v>
      </c>
      <c r="AB522" s="10">
        <f t="shared" si="97"/>
        <v>46.535983999999999</v>
      </c>
      <c r="AC522" s="10">
        <f t="shared" si="98"/>
        <v>69.803976000000006</v>
      </c>
    </row>
    <row r="523" spans="1:29" x14ac:dyDescent="0.25">
      <c r="A523">
        <v>437659</v>
      </c>
      <c r="B523" t="s">
        <v>101</v>
      </c>
      <c r="C523" s="10">
        <v>19.14</v>
      </c>
      <c r="D523" s="10">
        <v>18.04</v>
      </c>
      <c r="E523" s="10">
        <v>0</v>
      </c>
      <c r="F523">
        <v>243</v>
      </c>
      <c r="G523" t="s">
        <v>12</v>
      </c>
      <c r="H523" s="11">
        <v>45987</v>
      </c>
      <c r="I523" t="s">
        <v>13</v>
      </c>
      <c r="J523" s="12">
        <v>8</v>
      </c>
      <c r="K523" s="3">
        <v>276.56</v>
      </c>
      <c r="L523" s="3">
        <f t="shared" si="88"/>
        <v>34.57</v>
      </c>
      <c r="M523" s="13"/>
      <c r="N523">
        <f>_xlfn.XLOOKUP(G523,'Tarievensheet per persoon'!AE:AE,'Tarievensheet per persoon'!AF:AF)</f>
        <v>1.6496999999999999</v>
      </c>
      <c r="O523">
        <f>_xlfn.XLOOKUP(G523,AE:AE,'Tarievensheet per persoon'!AG:AG)</f>
        <v>1.5022</v>
      </c>
      <c r="P523">
        <f>_xlfn.XLOOKUP(G523,AE:AE,'Tarievensheet per persoon'!AH:AH)</f>
        <v>1.2898000000000001</v>
      </c>
      <c r="Q523">
        <f>_xlfn.XLOOKUP(G523,AE:AE,'Tarievensheet per persoon'!AI:AI)</f>
        <v>1.2898000000000001</v>
      </c>
      <c r="R523">
        <v>0</v>
      </c>
      <c r="S523" s="14">
        <v>2.99</v>
      </c>
      <c r="T523" s="10">
        <f t="shared" si="89"/>
        <v>34.565258</v>
      </c>
      <c r="U523" s="10">
        <f t="shared" si="90"/>
        <v>44.053453640000001</v>
      </c>
      <c r="V523" s="10">
        <f t="shared" si="91"/>
        <v>44.628495800000003</v>
      </c>
      <c r="W523" s="10">
        <f t="shared" si="92"/>
        <v>57.566944399999997</v>
      </c>
      <c r="X523" s="10">
        <f t="shared" si="93"/>
        <v>63.317366</v>
      </c>
      <c r="Y523" s="10">
        <f t="shared" si="94"/>
        <v>92.069474</v>
      </c>
      <c r="Z523" s="10">
        <f t="shared" si="95"/>
        <v>32.575188799999999</v>
      </c>
      <c r="AA523" s="10">
        <f t="shared" si="96"/>
        <v>41.882385600000006</v>
      </c>
      <c r="AB523" s="10">
        <f t="shared" si="97"/>
        <v>46.535983999999999</v>
      </c>
      <c r="AC523" s="10">
        <f t="shared" si="98"/>
        <v>69.803976000000006</v>
      </c>
    </row>
    <row r="524" spans="1:29" x14ac:dyDescent="0.25">
      <c r="A524">
        <v>437659</v>
      </c>
      <c r="B524" t="s">
        <v>101</v>
      </c>
      <c r="C524" s="10">
        <v>19.14</v>
      </c>
      <c r="D524" s="10">
        <v>18.04</v>
      </c>
      <c r="E524" s="10">
        <v>0</v>
      </c>
      <c r="F524">
        <v>243</v>
      </c>
      <c r="G524" t="s">
        <v>12</v>
      </c>
      <c r="H524" s="11">
        <v>45988</v>
      </c>
      <c r="I524" t="s">
        <v>13</v>
      </c>
      <c r="J524" s="12">
        <v>8</v>
      </c>
      <c r="K524" s="3">
        <v>276.56</v>
      </c>
      <c r="L524" s="3">
        <f t="shared" si="88"/>
        <v>34.57</v>
      </c>
      <c r="M524" s="13"/>
      <c r="N524">
        <f>_xlfn.XLOOKUP(G524,'Tarievensheet per persoon'!AE:AE,'Tarievensheet per persoon'!AF:AF)</f>
        <v>1.6496999999999999</v>
      </c>
      <c r="O524">
        <f>_xlfn.XLOOKUP(G524,AE:AE,'Tarievensheet per persoon'!AG:AG)</f>
        <v>1.5022</v>
      </c>
      <c r="P524">
        <f>_xlfn.XLOOKUP(G524,AE:AE,'Tarievensheet per persoon'!AH:AH)</f>
        <v>1.2898000000000001</v>
      </c>
      <c r="Q524">
        <f>_xlfn.XLOOKUP(G524,AE:AE,'Tarievensheet per persoon'!AI:AI)</f>
        <v>1.2898000000000001</v>
      </c>
      <c r="R524">
        <v>0</v>
      </c>
      <c r="S524" s="14">
        <v>2.99</v>
      </c>
      <c r="T524" s="10">
        <f t="shared" si="89"/>
        <v>34.565258</v>
      </c>
      <c r="U524" s="10">
        <f t="shared" si="90"/>
        <v>44.053453640000001</v>
      </c>
      <c r="V524" s="10">
        <f t="shared" si="91"/>
        <v>44.628495800000003</v>
      </c>
      <c r="W524" s="10">
        <f t="shared" si="92"/>
        <v>57.566944399999997</v>
      </c>
      <c r="X524" s="10">
        <f t="shared" si="93"/>
        <v>63.317366</v>
      </c>
      <c r="Y524" s="10">
        <f t="shared" si="94"/>
        <v>92.069474</v>
      </c>
      <c r="Z524" s="10">
        <f t="shared" si="95"/>
        <v>32.575188799999999</v>
      </c>
      <c r="AA524" s="10">
        <f t="shared" si="96"/>
        <v>41.882385600000006</v>
      </c>
      <c r="AB524" s="10">
        <f t="shared" si="97"/>
        <v>46.535983999999999</v>
      </c>
      <c r="AC524" s="10">
        <f t="shared" si="98"/>
        <v>69.803976000000006</v>
      </c>
    </row>
    <row r="525" spans="1:29" x14ac:dyDescent="0.25">
      <c r="A525">
        <v>437659</v>
      </c>
      <c r="B525" t="s">
        <v>101</v>
      </c>
      <c r="C525" s="10">
        <v>19.14</v>
      </c>
      <c r="D525" s="10">
        <v>18.04</v>
      </c>
      <c r="E525" s="10">
        <v>0</v>
      </c>
      <c r="F525">
        <v>243</v>
      </c>
      <c r="G525" t="s">
        <v>12</v>
      </c>
      <c r="H525" s="11">
        <v>45989</v>
      </c>
      <c r="I525" t="s">
        <v>13</v>
      </c>
      <c r="J525" s="12">
        <v>8</v>
      </c>
      <c r="K525" s="3">
        <v>276.56</v>
      </c>
      <c r="L525" s="3">
        <f t="shared" si="88"/>
        <v>34.57</v>
      </c>
      <c r="M525" s="13"/>
      <c r="N525">
        <f>_xlfn.XLOOKUP(G525,'Tarievensheet per persoon'!AE:AE,'Tarievensheet per persoon'!AF:AF)</f>
        <v>1.6496999999999999</v>
      </c>
      <c r="O525">
        <f>_xlfn.XLOOKUP(G525,AE:AE,'Tarievensheet per persoon'!AG:AG)</f>
        <v>1.5022</v>
      </c>
      <c r="P525">
        <f>_xlfn.XLOOKUP(G525,AE:AE,'Tarievensheet per persoon'!AH:AH)</f>
        <v>1.2898000000000001</v>
      </c>
      <c r="Q525">
        <f>_xlfn.XLOOKUP(G525,AE:AE,'Tarievensheet per persoon'!AI:AI)</f>
        <v>1.2898000000000001</v>
      </c>
      <c r="R525">
        <v>0</v>
      </c>
      <c r="S525" s="14">
        <v>2.99</v>
      </c>
      <c r="T525" s="10">
        <f t="shared" si="89"/>
        <v>34.565258</v>
      </c>
      <c r="U525" s="10">
        <f t="shared" si="90"/>
        <v>44.053453640000001</v>
      </c>
      <c r="V525" s="10">
        <f t="shared" si="91"/>
        <v>44.628495800000003</v>
      </c>
      <c r="W525" s="10">
        <f t="shared" si="92"/>
        <v>57.566944399999997</v>
      </c>
      <c r="X525" s="10">
        <f t="shared" si="93"/>
        <v>63.317366</v>
      </c>
      <c r="Y525" s="10">
        <f t="shared" si="94"/>
        <v>92.069474</v>
      </c>
      <c r="Z525" s="10">
        <f t="shared" si="95"/>
        <v>32.575188799999999</v>
      </c>
      <c r="AA525" s="10">
        <f t="shared" si="96"/>
        <v>41.882385600000006</v>
      </c>
      <c r="AB525" s="10">
        <f t="shared" si="97"/>
        <v>46.535983999999999</v>
      </c>
      <c r="AC525" s="10">
        <f t="shared" si="98"/>
        <v>69.803976000000006</v>
      </c>
    </row>
    <row r="526" spans="1:29" x14ac:dyDescent="0.25">
      <c r="A526">
        <v>438076</v>
      </c>
      <c r="B526" t="s">
        <v>149</v>
      </c>
      <c r="C526" s="10">
        <v>15.89</v>
      </c>
      <c r="D526" s="10">
        <v>14.98</v>
      </c>
      <c r="E526" s="10">
        <v>0</v>
      </c>
      <c r="F526">
        <v>34</v>
      </c>
      <c r="G526" t="s">
        <v>15</v>
      </c>
      <c r="H526" s="11">
        <v>45985</v>
      </c>
      <c r="I526" t="s">
        <v>13</v>
      </c>
      <c r="J526" s="12">
        <v>1.25</v>
      </c>
      <c r="K526" s="3">
        <v>37.549999999999997</v>
      </c>
      <c r="L526" s="3">
        <f t="shared" si="88"/>
        <v>30.04</v>
      </c>
      <c r="M526" s="13"/>
      <c r="N526">
        <f>_xlfn.XLOOKUP(G526,'Tarievensheet per persoon'!AE:AE,'Tarievensheet per persoon'!AF:AF)</f>
        <v>1.7024999999999999</v>
      </c>
      <c r="O526">
        <f>_xlfn.XLOOKUP(G526,AE:AE,'Tarievensheet per persoon'!AG:AG)</f>
        <v>1.5642</v>
      </c>
      <c r="P526">
        <f>_xlfn.XLOOKUP(G526,AE:AE,'Tarievensheet per persoon'!AH:AH)</f>
        <v>1.3552</v>
      </c>
      <c r="Q526">
        <f>_xlfn.XLOOKUP(G526,AE:AE,'Tarievensheet per persoon'!AI:AI)</f>
        <v>1.3552</v>
      </c>
      <c r="R526">
        <v>0</v>
      </c>
      <c r="S526" s="14">
        <v>2.99</v>
      </c>
      <c r="T526" s="10">
        <f t="shared" si="89"/>
        <v>30.042724999999997</v>
      </c>
      <c r="U526" s="10">
        <f t="shared" si="90"/>
        <v>38.244920539999995</v>
      </c>
      <c r="V526" s="10">
        <f t="shared" si="91"/>
        <v>38.7420233</v>
      </c>
      <c r="W526" s="10">
        <f t="shared" si="92"/>
        <v>49.926835400000002</v>
      </c>
      <c r="X526" s="10">
        <f t="shared" si="93"/>
        <v>54.897863000000001</v>
      </c>
      <c r="Y526" s="10">
        <f t="shared" si="94"/>
        <v>79.753000999999998</v>
      </c>
      <c r="Z526" s="10">
        <f t="shared" si="95"/>
        <v>28.421254399999995</v>
      </c>
      <c r="AA526" s="10">
        <f t="shared" si="96"/>
        <v>36.541612800000003</v>
      </c>
      <c r="AB526" s="10">
        <f t="shared" si="97"/>
        <v>40.601792000000003</v>
      </c>
      <c r="AC526" s="10">
        <f t="shared" si="98"/>
        <v>60.902687999999998</v>
      </c>
    </row>
    <row r="527" spans="1:29" x14ac:dyDescent="0.25">
      <c r="A527">
        <v>438201</v>
      </c>
      <c r="B527" t="s">
        <v>70</v>
      </c>
      <c r="C527" s="10">
        <v>16.91</v>
      </c>
      <c r="D527" s="10">
        <v>15.94</v>
      </c>
      <c r="E527" s="10">
        <v>0</v>
      </c>
      <c r="F527">
        <v>37</v>
      </c>
      <c r="G527" t="s">
        <v>15</v>
      </c>
      <c r="H527" s="11">
        <v>45985</v>
      </c>
      <c r="I527" t="s">
        <v>13</v>
      </c>
      <c r="J527" s="12">
        <v>7</v>
      </c>
      <c r="K527" s="3">
        <v>222.46</v>
      </c>
      <c r="L527" s="3">
        <f t="shared" si="88"/>
        <v>31.78</v>
      </c>
      <c r="M527" s="13"/>
      <c r="N527">
        <f>_xlfn.XLOOKUP(G527,'Tarievensheet per persoon'!AE:AE,'Tarievensheet per persoon'!AF:AF)</f>
        <v>1.7024999999999999</v>
      </c>
      <c r="O527">
        <f>_xlfn.XLOOKUP(G527,AE:AE,'Tarievensheet per persoon'!AG:AG)</f>
        <v>1.5642</v>
      </c>
      <c r="P527">
        <f>_xlfn.XLOOKUP(G527,AE:AE,'Tarievensheet per persoon'!AH:AH)</f>
        <v>1.3552</v>
      </c>
      <c r="Q527">
        <f>_xlfn.XLOOKUP(G527,AE:AE,'Tarievensheet per persoon'!AI:AI)</f>
        <v>1.3552</v>
      </c>
      <c r="R527">
        <v>0</v>
      </c>
      <c r="S527" s="14">
        <v>2.99</v>
      </c>
      <c r="T527" s="10">
        <f t="shared" si="89"/>
        <v>31.779274999999998</v>
      </c>
      <c r="U527" s="10">
        <f t="shared" si="90"/>
        <v>40.507980259999997</v>
      </c>
      <c r="V527" s="10">
        <f t="shared" si="91"/>
        <v>41.036992699999999</v>
      </c>
      <c r="W527" s="10">
        <f t="shared" si="92"/>
        <v>52.939772599999998</v>
      </c>
      <c r="X527" s="10">
        <f t="shared" si="93"/>
        <v>58.229896999999994</v>
      </c>
      <c r="Y527" s="10">
        <f t="shared" si="94"/>
        <v>84.680519000000004</v>
      </c>
      <c r="Z527" s="10">
        <f t="shared" si="95"/>
        <v>30.242643199999996</v>
      </c>
      <c r="AA527" s="10">
        <f t="shared" si="96"/>
        <v>38.883398399999997</v>
      </c>
      <c r="AB527" s="10">
        <f t="shared" si="97"/>
        <v>43.203775999999998</v>
      </c>
      <c r="AC527" s="10">
        <f t="shared" si="98"/>
        <v>64.805663999999993</v>
      </c>
    </row>
    <row r="528" spans="1:29" x14ac:dyDescent="0.25">
      <c r="A528">
        <v>438201</v>
      </c>
      <c r="B528" t="s">
        <v>70</v>
      </c>
      <c r="C528" s="10">
        <v>16.91</v>
      </c>
      <c r="D528" s="10">
        <v>15.94</v>
      </c>
      <c r="E528" s="10">
        <v>0</v>
      </c>
      <c r="F528">
        <v>37</v>
      </c>
      <c r="G528" t="s">
        <v>15</v>
      </c>
      <c r="H528" s="11">
        <v>45985</v>
      </c>
      <c r="I528" t="s">
        <v>22</v>
      </c>
      <c r="J528" s="12">
        <v>1</v>
      </c>
      <c r="K528" s="3">
        <v>41.04</v>
      </c>
      <c r="L528" s="3">
        <f t="shared" si="88"/>
        <v>41.04</v>
      </c>
      <c r="M528" s="13"/>
      <c r="N528">
        <f>_xlfn.XLOOKUP(G528,'Tarievensheet per persoon'!AE:AE,'Tarievensheet per persoon'!AF:AF)</f>
        <v>1.7024999999999999</v>
      </c>
      <c r="O528">
        <f>_xlfn.XLOOKUP(G528,AE:AE,'Tarievensheet per persoon'!AG:AG)</f>
        <v>1.5642</v>
      </c>
      <c r="P528">
        <f>_xlfn.XLOOKUP(G528,AE:AE,'Tarievensheet per persoon'!AH:AH)</f>
        <v>1.3552</v>
      </c>
      <c r="Q528">
        <f>_xlfn.XLOOKUP(G528,AE:AE,'Tarievensheet per persoon'!AI:AI)</f>
        <v>1.3552</v>
      </c>
      <c r="R528">
        <v>0</v>
      </c>
      <c r="S528" s="14">
        <v>2.99</v>
      </c>
      <c r="T528" s="10">
        <f t="shared" si="89"/>
        <v>31.779274999999998</v>
      </c>
      <c r="U528" s="10">
        <f t="shared" si="90"/>
        <v>40.507980259999997</v>
      </c>
      <c r="V528" s="10">
        <f t="shared" si="91"/>
        <v>41.036992699999999</v>
      </c>
      <c r="W528" s="10">
        <f t="shared" si="92"/>
        <v>52.939772599999998</v>
      </c>
      <c r="X528" s="10">
        <f t="shared" si="93"/>
        <v>58.229896999999994</v>
      </c>
      <c r="Y528" s="10">
        <f t="shared" si="94"/>
        <v>84.680519000000004</v>
      </c>
      <c r="Z528" s="10">
        <f t="shared" si="95"/>
        <v>30.242643199999996</v>
      </c>
      <c r="AA528" s="10">
        <f t="shared" si="96"/>
        <v>38.883398399999997</v>
      </c>
      <c r="AB528" s="10">
        <f t="shared" si="97"/>
        <v>43.203775999999998</v>
      </c>
      <c r="AC528" s="10">
        <f t="shared" si="98"/>
        <v>64.805663999999993</v>
      </c>
    </row>
    <row r="529" spans="1:29" x14ac:dyDescent="0.25">
      <c r="A529">
        <v>438201</v>
      </c>
      <c r="B529" t="s">
        <v>70</v>
      </c>
      <c r="C529" s="10">
        <v>16.91</v>
      </c>
      <c r="D529" s="10">
        <v>15.94</v>
      </c>
      <c r="E529" s="10">
        <v>0</v>
      </c>
      <c r="F529">
        <v>37</v>
      </c>
      <c r="G529" t="s">
        <v>15</v>
      </c>
      <c r="H529" s="11">
        <v>45986</v>
      </c>
      <c r="I529" t="s">
        <v>13</v>
      </c>
      <c r="J529" s="12">
        <v>7</v>
      </c>
      <c r="K529" s="3">
        <v>222.46</v>
      </c>
      <c r="L529" s="3">
        <f t="shared" si="88"/>
        <v>31.78</v>
      </c>
      <c r="M529" s="13"/>
      <c r="N529">
        <f>_xlfn.XLOOKUP(G529,'Tarievensheet per persoon'!AE:AE,'Tarievensheet per persoon'!AF:AF)</f>
        <v>1.7024999999999999</v>
      </c>
      <c r="O529">
        <f>_xlfn.XLOOKUP(G529,AE:AE,'Tarievensheet per persoon'!AG:AG)</f>
        <v>1.5642</v>
      </c>
      <c r="P529">
        <f>_xlfn.XLOOKUP(G529,AE:AE,'Tarievensheet per persoon'!AH:AH)</f>
        <v>1.3552</v>
      </c>
      <c r="Q529">
        <f>_xlfn.XLOOKUP(G529,AE:AE,'Tarievensheet per persoon'!AI:AI)</f>
        <v>1.3552</v>
      </c>
      <c r="R529">
        <v>0</v>
      </c>
      <c r="S529" s="14">
        <v>2.99</v>
      </c>
      <c r="T529" s="10">
        <f t="shared" si="89"/>
        <v>31.779274999999998</v>
      </c>
      <c r="U529" s="10">
        <f t="shared" si="90"/>
        <v>40.507980259999997</v>
      </c>
      <c r="V529" s="10">
        <f t="shared" si="91"/>
        <v>41.036992699999999</v>
      </c>
      <c r="W529" s="10">
        <f t="shared" si="92"/>
        <v>52.939772599999998</v>
      </c>
      <c r="X529" s="10">
        <f t="shared" si="93"/>
        <v>58.229896999999994</v>
      </c>
      <c r="Y529" s="10">
        <f t="shared" si="94"/>
        <v>84.680519000000004</v>
      </c>
      <c r="Z529" s="10">
        <f t="shared" si="95"/>
        <v>30.242643199999996</v>
      </c>
      <c r="AA529" s="10">
        <f t="shared" si="96"/>
        <v>38.883398399999997</v>
      </c>
      <c r="AB529" s="10">
        <f t="shared" si="97"/>
        <v>43.203775999999998</v>
      </c>
      <c r="AC529" s="10">
        <f t="shared" si="98"/>
        <v>64.805663999999993</v>
      </c>
    </row>
    <row r="530" spans="1:29" x14ac:dyDescent="0.25">
      <c r="A530">
        <v>438201</v>
      </c>
      <c r="B530" t="s">
        <v>70</v>
      </c>
      <c r="C530" s="10">
        <v>16.91</v>
      </c>
      <c r="D530" s="10">
        <v>15.94</v>
      </c>
      <c r="E530" s="10">
        <v>0</v>
      </c>
      <c r="F530">
        <v>37</v>
      </c>
      <c r="G530" t="s">
        <v>15</v>
      </c>
      <c r="H530" s="11">
        <v>45986</v>
      </c>
      <c r="I530" t="s">
        <v>22</v>
      </c>
      <c r="J530" s="12">
        <v>1</v>
      </c>
      <c r="K530" s="3">
        <v>41.04</v>
      </c>
      <c r="L530" s="3">
        <f t="shared" si="88"/>
        <v>41.04</v>
      </c>
      <c r="M530" s="13"/>
      <c r="N530">
        <f>_xlfn.XLOOKUP(G530,'Tarievensheet per persoon'!AE:AE,'Tarievensheet per persoon'!AF:AF)</f>
        <v>1.7024999999999999</v>
      </c>
      <c r="O530">
        <f>_xlfn.XLOOKUP(G530,AE:AE,'Tarievensheet per persoon'!AG:AG)</f>
        <v>1.5642</v>
      </c>
      <c r="P530">
        <f>_xlfn.XLOOKUP(G530,AE:AE,'Tarievensheet per persoon'!AH:AH)</f>
        <v>1.3552</v>
      </c>
      <c r="Q530">
        <f>_xlfn.XLOOKUP(G530,AE:AE,'Tarievensheet per persoon'!AI:AI)</f>
        <v>1.3552</v>
      </c>
      <c r="R530">
        <v>0</v>
      </c>
      <c r="S530" s="14">
        <v>2.99</v>
      </c>
      <c r="T530" s="10">
        <f t="shared" si="89"/>
        <v>31.779274999999998</v>
      </c>
      <c r="U530" s="10">
        <f t="shared" si="90"/>
        <v>40.507980259999997</v>
      </c>
      <c r="V530" s="10">
        <f t="shared" si="91"/>
        <v>41.036992699999999</v>
      </c>
      <c r="W530" s="10">
        <f t="shared" si="92"/>
        <v>52.939772599999998</v>
      </c>
      <c r="X530" s="10">
        <f t="shared" si="93"/>
        <v>58.229896999999994</v>
      </c>
      <c r="Y530" s="10">
        <f t="shared" si="94"/>
        <v>84.680519000000004</v>
      </c>
      <c r="Z530" s="10">
        <f t="shared" si="95"/>
        <v>30.242643199999996</v>
      </c>
      <c r="AA530" s="10">
        <f t="shared" si="96"/>
        <v>38.883398399999997</v>
      </c>
      <c r="AB530" s="10">
        <f t="shared" si="97"/>
        <v>43.203775999999998</v>
      </c>
      <c r="AC530" s="10">
        <f t="shared" si="98"/>
        <v>64.805663999999993</v>
      </c>
    </row>
    <row r="531" spans="1:29" x14ac:dyDescent="0.25">
      <c r="A531">
        <v>438201</v>
      </c>
      <c r="B531" t="s">
        <v>70</v>
      </c>
      <c r="C531" s="10">
        <v>16.91</v>
      </c>
      <c r="D531" s="10">
        <v>15.94</v>
      </c>
      <c r="E531" s="10">
        <v>0</v>
      </c>
      <c r="F531">
        <v>37</v>
      </c>
      <c r="G531" t="s">
        <v>15</v>
      </c>
      <c r="H531" s="11">
        <v>45987</v>
      </c>
      <c r="I531" t="s">
        <v>13</v>
      </c>
      <c r="J531" s="12">
        <v>6.75</v>
      </c>
      <c r="K531" s="3">
        <v>214.52</v>
      </c>
      <c r="L531" s="3">
        <f t="shared" si="88"/>
        <v>31.780740740740743</v>
      </c>
      <c r="M531" s="13"/>
      <c r="N531">
        <f>_xlfn.XLOOKUP(G531,'Tarievensheet per persoon'!AE:AE,'Tarievensheet per persoon'!AF:AF)</f>
        <v>1.7024999999999999</v>
      </c>
      <c r="O531">
        <f>_xlfn.XLOOKUP(G531,AE:AE,'Tarievensheet per persoon'!AG:AG)</f>
        <v>1.5642</v>
      </c>
      <c r="P531">
        <f>_xlfn.XLOOKUP(G531,AE:AE,'Tarievensheet per persoon'!AH:AH)</f>
        <v>1.3552</v>
      </c>
      <c r="Q531">
        <f>_xlfn.XLOOKUP(G531,AE:AE,'Tarievensheet per persoon'!AI:AI)</f>
        <v>1.3552</v>
      </c>
      <c r="R531">
        <v>0</v>
      </c>
      <c r="S531" s="14">
        <v>2.99</v>
      </c>
      <c r="T531" s="10">
        <f t="shared" si="89"/>
        <v>31.779274999999998</v>
      </c>
      <c r="U531" s="10">
        <f t="shared" si="90"/>
        <v>40.507980259999997</v>
      </c>
      <c r="V531" s="10">
        <f t="shared" si="91"/>
        <v>41.036992699999999</v>
      </c>
      <c r="W531" s="10">
        <f t="shared" si="92"/>
        <v>52.939772599999998</v>
      </c>
      <c r="X531" s="10">
        <f t="shared" si="93"/>
        <v>58.229896999999994</v>
      </c>
      <c r="Y531" s="10">
        <f t="shared" si="94"/>
        <v>84.680519000000004</v>
      </c>
      <c r="Z531" s="10">
        <f t="shared" si="95"/>
        <v>30.242643199999996</v>
      </c>
      <c r="AA531" s="10">
        <f t="shared" si="96"/>
        <v>38.883398399999997</v>
      </c>
      <c r="AB531" s="10">
        <f t="shared" si="97"/>
        <v>43.203775999999998</v>
      </c>
      <c r="AC531" s="10">
        <f t="shared" si="98"/>
        <v>64.805663999999993</v>
      </c>
    </row>
    <row r="532" spans="1:29" x14ac:dyDescent="0.25">
      <c r="A532">
        <v>438201</v>
      </c>
      <c r="B532" t="s">
        <v>70</v>
      </c>
      <c r="C532" s="10">
        <v>16.91</v>
      </c>
      <c r="D532" s="10">
        <v>15.94</v>
      </c>
      <c r="E532" s="10">
        <v>0</v>
      </c>
      <c r="F532">
        <v>37</v>
      </c>
      <c r="G532" t="s">
        <v>15</v>
      </c>
      <c r="H532" s="11">
        <v>45987</v>
      </c>
      <c r="I532" t="s">
        <v>23</v>
      </c>
      <c r="J532" s="12">
        <v>0.5</v>
      </c>
      <c r="K532" s="3">
        <v>15.12</v>
      </c>
      <c r="L532" s="3">
        <f t="shared" si="88"/>
        <v>30.24</v>
      </c>
      <c r="M532" s="13"/>
      <c r="N532">
        <f>_xlfn.XLOOKUP(G532,'Tarievensheet per persoon'!AE:AE,'Tarievensheet per persoon'!AF:AF)</f>
        <v>1.7024999999999999</v>
      </c>
      <c r="O532">
        <f>_xlfn.XLOOKUP(G532,AE:AE,'Tarievensheet per persoon'!AG:AG)</f>
        <v>1.5642</v>
      </c>
      <c r="P532">
        <f>_xlfn.XLOOKUP(G532,AE:AE,'Tarievensheet per persoon'!AH:AH)</f>
        <v>1.3552</v>
      </c>
      <c r="Q532">
        <f>_xlfn.XLOOKUP(G532,AE:AE,'Tarievensheet per persoon'!AI:AI)</f>
        <v>1.3552</v>
      </c>
      <c r="R532">
        <v>0</v>
      </c>
      <c r="S532" s="14">
        <v>2.99</v>
      </c>
      <c r="T532" s="10">
        <f t="shared" si="89"/>
        <v>31.779274999999998</v>
      </c>
      <c r="U532" s="10">
        <f t="shared" si="90"/>
        <v>40.507980259999997</v>
      </c>
      <c r="V532" s="10">
        <f t="shared" si="91"/>
        <v>41.036992699999999</v>
      </c>
      <c r="W532" s="10">
        <f t="shared" si="92"/>
        <v>52.939772599999998</v>
      </c>
      <c r="X532" s="10">
        <f t="shared" si="93"/>
        <v>58.229896999999994</v>
      </c>
      <c r="Y532" s="10">
        <f t="shared" si="94"/>
        <v>84.680519000000004</v>
      </c>
      <c r="Z532" s="10">
        <f t="shared" si="95"/>
        <v>30.242643199999996</v>
      </c>
      <c r="AA532" s="10">
        <f t="shared" si="96"/>
        <v>38.883398399999997</v>
      </c>
      <c r="AB532" s="10">
        <f t="shared" si="97"/>
        <v>43.203775999999998</v>
      </c>
      <c r="AC532" s="10">
        <f t="shared" si="98"/>
        <v>64.805663999999993</v>
      </c>
    </row>
    <row r="533" spans="1:29" x14ac:dyDescent="0.25">
      <c r="A533">
        <v>438201</v>
      </c>
      <c r="B533" t="s">
        <v>70</v>
      </c>
      <c r="C533" s="10">
        <v>16.91</v>
      </c>
      <c r="D533" s="10">
        <v>15.94</v>
      </c>
      <c r="E533" s="10">
        <v>0</v>
      </c>
      <c r="F533">
        <v>37</v>
      </c>
      <c r="G533" t="s">
        <v>15</v>
      </c>
      <c r="H533" s="11">
        <v>45987</v>
      </c>
      <c r="I533" t="s">
        <v>22</v>
      </c>
      <c r="J533" s="12">
        <v>0.75</v>
      </c>
      <c r="K533" s="3">
        <v>30.78</v>
      </c>
      <c r="L533" s="3">
        <f t="shared" si="88"/>
        <v>41.04</v>
      </c>
      <c r="M533" s="13"/>
      <c r="N533">
        <f>_xlfn.XLOOKUP(G533,'Tarievensheet per persoon'!AE:AE,'Tarievensheet per persoon'!AF:AF)</f>
        <v>1.7024999999999999</v>
      </c>
      <c r="O533">
        <f>_xlfn.XLOOKUP(G533,AE:AE,'Tarievensheet per persoon'!AG:AG)</f>
        <v>1.5642</v>
      </c>
      <c r="P533">
        <f>_xlfn.XLOOKUP(G533,AE:AE,'Tarievensheet per persoon'!AH:AH)</f>
        <v>1.3552</v>
      </c>
      <c r="Q533">
        <f>_xlfn.XLOOKUP(G533,AE:AE,'Tarievensheet per persoon'!AI:AI)</f>
        <v>1.3552</v>
      </c>
      <c r="R533">
        <v>0</v>
      </c>
      <c r="S533" s="14">
        <v>2.99</v>
      </c>
      <c r="T533" s="10">
        <f t="shared" si="89"/>
        <v>31.779274999999998</v>
      </c>
      <c r="U533" s="10">
        <f t="shared" si="90"/>
        <v>40.507980259999997</v>
      </c>
      <c r="V533" s="10">
        <f t="shared" si="91"/>
        <v>41.036992699999999</v>
      </c>
      <c r="W533" s="10">
        <f t="shared" si="92"/>
        <v>52.939772599999998</v>
      </c>
      <c r="X533" s="10">
        <f t="shared" si="93"/>
        <v>58.229896999999994</v>
      </c>
      <c r="Y533" s="10">
        <f t="shared" si="94"/>
        <v>84.680519000000004</v>
      </c>
      <c r="Z533" s="10">
        <f t="shared" si="95"/>
        <v>30.242643199999996</v>
      </c>
      <c r="AA533" s="10">
        <f t="shared" si="96"/>
        <v>38.883398399999997</v>
      </c>
      <c r="AB533" s="10">
        <f t="shared" si="97"/>
        <v>43.203775999999998</v>
      </c>
      <c r="AC533" s="10">
        <f t="shared" si="98"/>
        <v>64.805663999999993</v>
      </c>
    </row>
    <row r="534" spans="1:29" x14ac:dyDescent="0.25">
      <c r="A534">
        <v>438201</v>
      </c>
      <c r="B534" t="s">
        <v>70</v>
      </c>
      <c r="C534" s="10">
        <v>16.91</v>
      </c>
      <c r="D534" s="10">
        <v>15.94</v>
      </c>
      <c r="E534" s="10">
        <v>0</v>
      </c>
      <c r="F534">
        <v>37</v>
      </c>
      <c r="G534" t="s">
        <v>15</v>
      </c>
      <c r="H534" s="11">
        <v>45988</v>
      </c>
      <c r="I534" t="s">
        <v>13</v>
      </c>
      <c r="J534" s="12">
        <v>7</v>
      </c>
      <c r="K534" s="3">
        <v>222.46</v>
      </c>
      <c r="L534" s="3">
        <f t="shared" si="88"/>
        <v>31.78</v>
      </c>
      <c r="M534" s="13"/>
      <c r="N534">
        <f>_xlfn.XLOOKUP(G534,'Tarievensheet per persoon'!AE:AE,'Tarievensheet per persoon'!AF:AF)</f>
        <v>1.7024999999999999</v>
      </c>
      <c r="O534">
        <f>_xlfn.XLOOKUP(G534,AE:AE,'Tarievensheet per persoon'!AG:AG)</f>
        <v>1.5642</v>
      </c>
      <c r="P534">
        <f>_xlfn.XLOOKUP(G534,AE:AE,'Tarievensheet per persoon'!AH:AH)</f>
        <v>1.3552</v>
      </c>
      <c r="Q534">
        <f>_xlfn.XLOOKUP(G534,AE:AE,'Tarievensheet per persoon'!AI:AI)</f>
        <v>1.3552</v>
      </c>
      <c r="R534">
        <v>0</v>
      </c>
      <c r="S534" s="14">
        <v>2.99</v>
      </c>
      <c r="T534" s="10">
        <f t="shared" si="89"/>
        <v>31.779274999999998</v>
      </c>
      <c r="U534" s="10">
        <f t="shared" si="90"/>
        <v>40.507980259999997</v>
      </c>
      <c r="V534" s="10">
        <f t="shared" si="91"/>
        <v>41.036992699999999</v>
      </c>
      <c r="W534" s="10">
        <f t="shared" si="92"/>
        <v>52.939772599999998</v>
      </c>
      <c r="X534" s="10">
        <f t="shared" si="93"/>
        <v>58.229896999999994</v>
      </c>
      <c r="Y534" s="10">
        <f t="shared" si="94"/>
        <v>84.680519000000004</v>
      </c>
      <c r="Z534" s="10">
        <f t="shared" si="95"/>
        <v>30.242643199999996</v>
      </c>
      <c r="AA534" s="10">
        <f t="shared" si="96"/>
        <v>38.883398399999997</v>
      </c>
      <c r="AB534" s="10">
        <f t="shared" si="97"/>
        <v>43.203775999999998</v>
      </c>
      <c r="AC534" s="10">
        <f t="shared" si="98"/>
        <v>64.805663999999993</v>
      </c>
    </row>
    <row r="535" spans="1:29" x14ac:dyDescent="0.25">
      <c r="A535">
        <v>438201</v>
      </c>
      <c r="B535" t="s">
        <v>70</v>
      </c>
      <c r="C535" s="10">
        <v>16.91</v>
      </c>
      <c r="D535" s="10">
        <v>15.94</v>
      </c>
      <c r="E535" s="10">
        <v>0</v>
      </c>
      <c r="F535">
        <v>37</v>
      </c>
      <c r="G535" t="s">
        <v>15</v>
      </c>
      <c r="H535" s="11">
        <v>45988</v>
      </c>
      <c r="I535" t="s">
        <v>22</v>
      </c>
      <c r="J535" s="12">
        <v>1</v>
      </c>
      <c r="K535" s="3">
        <v>41.04</v>
      </c>
      <c r="L535" s="3">
        <f t="shared" si="88"/>
        <v>41.04</v>
      </c>
      <c r="M535" s="13"/>
      <c r="N535">
        <f>_xlfn.XLOOKUP(G535,'Tarievensheet per persoon'!AE:AE,'Tarievensheet per persoon'!AF:AF)</f>
        <v>1.7024999999999999</v>
      </c>
      <c r="O535">
        <f>_xlfn.XLOOKUP(G535,AE:AE,'Tarievensheet per persoon'!AG:AG)</f>
        <v>1.5642</v>
      </c>
      <c r="P535">
        <f>_xlfn.XLOOKUP(G535,AE:AE,'Tarievensheet per persoon'!AH:AH)</f>
        <v>1.3552</v>
      </c>
      <c r="Q535">
        <f>_xlfn.XLOOKUP(G535,AE:AE,'Tarievensheet per persoon'!AI:AI)</f>
        <v>1.3552</v>
      </c>
      <c r="R535">
        <v>0</v>
      </c>
      <c r="S535" s="14">
        <v>2.99</v>
      </c>
      <c r="T535" s="10">
        <f t="shared" si="89"/>
        <v>31.779274999999998</v>
      </c>
      <c r="U535" s="10">
        <f t="shared" si="90"/>
        <v>40.507980259999997</v>
      </c>
      <c r="V535" s="10">
        <f t="shared" si="91"/>
        <v>41.036992699999999</v>
      </c>
      <c r="W535" s="10">
        <f t="shared" si="92"/>
        <v>52.939772599999998</v>
      </c>
      <c r="X535" s="10">
        <f t="shared" si="93"/>
        <v>58.229896999999994</v>
      </c>
      <c r="Y535" s="10">
        <f t="shared" si="94"/>
        <v>84.680519000000004</v>
      </c>
      <c r="Z535" s="10">
        <f t="shared" si="95"/>
        <v>30.242643199999996</v>
      </c>
      <c r="AA535" s="10">
        <f t="shared" si="96"/>
        <v>38.883398399999997</v>
      </c>
      <c r="AB535" s="10">
        <f t="shared" si="97"/>
        <v>43.203775999999998</v>
      </c>
      <c r="AC535" s="10">
        <f t="shared" si="98"/>
        <v>64.805663999999993</v>
      </c>
    </row>
    <row r="536" spans="1:29" x14ac:dyDescent="0.25">
      <c r="A536">
        <v>438201</v>
      </c>
      <c r="B536" t="s">
        <v>70</v>
      </c>
      <c r="C536" s="10">
        <v>16.91</v>
      </c>
      <c r="D536" s="10">
        <v>15.94</v>
      </c>
      <c r="E536" s="10">
        <v>0</v>
      </c>
      <c r="F536">
        <v>37</v>
      </c>
      <c r="G536" t="s">
        <v>15</v>
      </c>
      <c r="H536" s="11">
        <v>45989</v>
      </c>
      <c r="I536" t="s">
        <v>13</v>
      </c>
      <c r="J536" s="12">
        <v>8</v>
      </c>
      <c r="K536" s="3">
        <v>254.24</v>
      </c>
      <c r="L536" s="3">
        <f t="shared" si="88"/>
        <v>31.78</v>
      </c>
      <c r="M536" s="13"/>
      <c r="N536">
        <f>_xlfn.XLOOKUP(G536,'Tarievensheet per persoon'!AE:AE,'Tarievensheet per persoon'!AF:AF)</f>
        <v>1.7024999999999999</v>
      </c>
      <c r="O536">
        <f>_xlfn.XLOOKUP(G536,AE:AE,'Tarievensheet per persoon'!AG:AG)</f>
        <v>1.5642</v>
      </c>
      <c r="P536">
        <f>_xlfn.XLOOKUP(G536,AE:AE,'Tarievensheet per persoon'!AH:AH)</f>
        <v>1.3552</v>
      </c>
      <c r="Q536">
        <f>_xlfn.XLOOKUP(G536,AE:AE,'Tarievensheet per persoon'!AI:AI)</f>
        <v>1.3552</v>
      </c>
      <c r="R536">
        <v>0</v>
      </c>
      <c r="S536" s="14">
        <v>2.99</v>
      </c>
      <c r="T536" s="10">
        <f t="shared" si="89"/>
        <v>31.779274999999998</v>
      </c>
      <c r="U536" s="10">
        <f t="shared" si="90"/>
        <v>40.507980259999997</v>
      </c>
      <c r="V536" s="10">
        <f t="shared" si="91"/>
        <v>41.036992699999999</v>
      </c>
      <c r="W536" s="10">
        <f t="shared" si="92"/>
        <v>52.939772599999998</v>
      </c>
      <c r="X536" s="10">
        <f t="shared" si="93"/>
        <v>58.229896999999994</v>
      </c>
      <c r="Y536" s="10">
        <f t="shared" si="94"/>
        <v>84.680519000000004</v>
      </c>
      <c r="Z536" s="10">
        <f t="shared" si="95"/>
        <v>30.242643199999996</v>
      </c>
      <c r="AA536" s="10">
        <f t="shared" si="96"/>
        <v>38.883398399999997</v>
      </c>
      <c r="AB536" s="10">
        <f t="shared" si="97"/>
        <v>43.203775999999998</v>
      </c>
      <c r="AC536" s="10">
        <f t="shared" si="98"/>
        <v>64.805663999999993</v>
      </c>
    </row>
    <row r="537" spans="1:29" x14ac:dyDescent="0.25">
      <c r="A537">
        <v>438201</v>
      </c>
      <c r="B537" t="s">
        <v>70</v>
      </c>
      <c r="C537" s="10">
        <v>16.91</v>
      </c>
      <c r="D537" s="10">
        <v>15.94</v>
      </c>
      <c r="E537" s="10">
        <v>0</v>
      </c>
      <c r="F537">
        <v>37</v>
      </c>
      <c r="G537" t="s">
        <v>15</v>
      </c>
      <c r="H537" s="11">
        <v>45989</v>
      </c>
      <c r="I537" t="s">
        <v>22</v>
      </c>
      <c r="J537" s="12">
        <v>0.5</v>
      </c>
      <c r="K537" s="3">
        <v>20.52</v>
      </c>
      <c r="L537" s="3">
        <f t="shared" si="88"/>
        <v>41.04</v>
      </c>
      <c r="M537" s="13"/>
      <c r="N537">
        <f>_xlfn.XLOOKUP(G537,'Tarievensheet per persoon'!AE:AE,'Tarievensheet per persoon'!AF:AF)</f>
        <v>1.7024999999999999</v>
      </c>
      <c r="O537">
        <f>_xlfn.XLOOKUP(G537,AE:AE,'Tarievensheet per persoon'!AG:AG)</f>
        <v>1.5642</v>
      </c>
      <c r="P537">
        <f>_xlfn.XLOOKUP(G537,AE:AE,'Tarievensheet per persoon'!AH:AH)</f>
        <v>1.3552</v>
      </c>
      <c r="Q537">
        <f>_xlfn.XLOOKUP(G537,AE:AE,'Tarievensheet per persoon'!AI:AI)</f>
        <v>1.3552</v>
      </c>
      <c r="R537">
        <v>0</v>
      </c>
      <c r="S537" s="14">
        <v>2.99</v>
      </c>
      <c r="T537" s="10">
        <f t="shared" si="89"/>
        <v>31.779274999999998</v>
      </c>
      <c r="U537" s="10">
        <f t="shared" si="90"/>
        <v>40.507980259999997</v>
      </c>
      <c r="V537" s="10">
        <f t="shared" si="91"/>
        <v>41.036992699999999</v>
      </c>
      <c r="W537" s="10">
        <f t="shared" si="92"/>
        <v>52.939772599999998</v>
      </c>
      <c r="X537" s="10">
        <f t="shared" si="93"/>
        <v>58.229896999999994</v>
      </c>
      <c r="Y537" s="10">
        <f t="shared" si="94"/>
        <v>84.680519000000004</v>
      </c>
      <c r="Z537" s="10">
        <f t="shared" si="95"/>
        <v>30.242643199999996</v>
      </c>
      <c r="AA537" s="10">
        <f t="shared" si="96"/>
        <v>38.883398399999997</v>
      </c>
      <c r="AB537" s="10">
        <f t="shared" si="97"/>
        <v>43.203775999999998</v>
      </c>
      <c r="AC537" s="10">
        <f t="shared" si="98"/>
        <v>64.805663999999993</v>
      </c>
    </row>
    <row r="538" spans="1:29" x14ac:dyDescent="0.25">
      <c r="A538">
        <v>439647</v>
      </c>
      <c r="B538" t="s">
        <v>118</v>
      </c>
      <c r="C538" s="10">
        <v>15.89</v>
      </c>
      <c r="D538" s="10">
        <v>14.98</v>
      </c>
      <c r="E538" s="10">
        <v>0</v>
      </c>
      <c r="F538">
        <v>30</v>
      </c>
      <c r="G538" t="s">
        <v>15</v>
      </c>
      <c r="H538" s="11">
        <v>45985</v>
      </c>
      <c r="I538" t="s">
        <v>13</v>
      </c>
      <c r="J538" s="12">
        <v>8</v>
      </c>
      <c r="K538" s="3">
        <v>240.32</v>
      </c>
      <c r="L538" s="3">
        <f t="shared" si="88"/>
        <v>30.04</v>
      </c>
      <c r="M538" s="13"/>
      <c r="N538">
        <f>_xlfn.XLOOKUP(G538,'Tarievensheet per persoon'!AE:AE,'Tarievensheet per persoon'!AF:AF)</f>
        <v>1.7024999999999999</v>
      </c>
      <c r="O538">
        <f>_xlfn.XLOOKUP(G538,AE:AE,'Tarievensheet per persoon'!AG:AG)</f>
        <v>1.5642</v>
      </c>
      <c r="P538">
        <f>_xlfn.XLOOKUP(G538,AE:AE,'Tarievensheet per persoon'!AH:AH)</f>
        <v>1.3552</v>
      </c>
      <c r="Q538">
        <f>_xlfn.XLOOKUP(G538,AE:AE,'Tarievensheet per persoon'!AI:AI)</f>
        <v>1.3552</v>
      </c>
      <c r="R538">
        <v>0</v>
      </c>
      <c r="S538" s="14">
        <v>2.99</v>
      </c>
      <c r="T538" s="10">
        <f t="shared" si="89"/>
        <v>30.042724999999997</v>
      </c>
      <c r="U538" s="10">
        <f t="shared" si="90"/>
        <v>38.244920539999995</v>
      </c>
      <c r="V538" s="10">
        <f t="shared" si="91"/>
        <v>38.7420233</v>
      </c>
      <c r="W538" s="10">
        <f t="shared" si="92"/>
        <v>49.926835400000002</v>
      </c>
      <c r="X538" s="10">
        <f t="shared" si="93"/>
        <v>54.897863000000001</v>
      </c>
      <c r="Y538" s="10">
        <f t="shared" si="94"/>
        <v>79.753000999999998</v>
      </c>
      <c r="Z538" s="10">
        <f t="shared" si="95"/>
        <v>28.421254399999995</v>
      </c>
      <c r="AA538" s="10">
        <f t="shared" si="96"/>
        <v>36.541612800000003</v>
      </c>
      <c r="AB538" s="10">
        <f t="shared" si="97"/>
        <v>40.601792000000003</v>
      </c>
      <c r="AC538" s="10">
        <f t="shared" si="98"/>
        <v>60.902687999999998</v>
      </c>
    </row>
    <row r="539" spans="1:29" x14ac:dyDescent="0.25">
      <c r="A539">
        <v>439647</v>
      </c>
      <c r="B539" t="s">
        <v>118</v>
      </c>
      <c r="C539" s="10">
        <v>15.89</v>
      </c>
      <c r="D539" s="10">
        <v>14.98</v>
      </c>
      <c r="E539" s="10">
        <v>0</v>
      </c>
      <c r="F539">
        <v>30</v>
      </c>
      <c r="G539" t="s">
        <v>15</v>
      </c>
      <c r="H539" s="11">
        <v>45985</v>
      </c>
      <c r="I539" t="s">
        <v>22</v>
      </c>
      <c r="J539" s="12">
        <v>1</v>
      </c>
      <c r="K539" s="3">
        <v>38.74</v>
      </c>
      <c r="L539" s="3">
        <f t="shared" si="88"/>
        <v>38.74</v>
      </c>
      <c r="M539" s="13"/>
      <c r="N539">
        <f>_xlfn.XLOOKUP(G539,'Tarievensheet per persoon'!AE:AE,'Tarievensheet per persoon'!AF:AF)</f>
        <v>1.7024999999999999</v>
      </c>
      <c r="O539">
        <f>_xlfn.XLOOKUP(G539,AE:AE,'Tarievensheet per persoon'!AG:AG)</f>
        <v>1.5642</v>
      </c>
      <c r="P539">
        <f>_xlfn.XLOOKUP(G539,AE:AE,'Tarievensheet per persoon'!AH:AH)</f>
        <v>1.3552</v>
      </c>
      <c r="Q539">
        <f>_xlfn.XLOOKUP(G539,AE:AE,'Tarievensheet per persoon'!AI:AI)</f>
        <v>1.3552</v>
      </c>
      <c r="R539">
        <v>0</v>
      </c>
      <c r="S539" s="14">
        <v>2.99</v>
      </c>
      <c r="T539" s="10">
        <f t="shared" si="89"/>
        <v>30.042724999999997</v>
      </c>
      <c r="U539" s="10">
        <f t="shared" si="90"/>
        <v>38.244920539999995</v>
      </c>
      <c r="V539" s="10">
        <f t="shared" si="91"/>
        <v>38.7420233</v>
      </c>
      <c r="W539" s="10">
        <f t="shared" si="92"/>
        <v>49.926835400000002</v>
      </c>
      <c r="X539" s="10">
        <f t="shared" si="93"/>
        <v>54.897863000000001</v>
      </c>
      <c r="Y539" s="10">
        <f t="shared" si="94"/>
        <v>79.753000999999998</v>
      </c>
      <c r="Z539" s="10">
        <f t="shared" si="95"/>
        <v>28.421254399999995</v>
      </c>
      <c r="AA539" s="10">
        <f t="shared" si="96"/>
        <v>36.541612800000003</v>
      </c>
      <c r="AB539" s="10">
        <f t="shared" si="97"/>
        <v>40.601792000000003</v>
      </c>
      <c r="AC539" s="10">
        <f t="shared" si="98"/>
        <v>60.902687999999998</v>
      </c>
    </row>
    <row r="540" spans="1:29" x14ac:dyDescent="0.25">
      <c r="A540">
        <v>439647</v>
      </c>
      <c r="B540" t="s">
        <v>118</v>
      </c>
      <c r="C540" s="10">
        <v>15.89</v>
      </c>
      <c r="D540" s="10">
        <v>14.98</v>
      </c>
      <c r="E540" s="10">
        <v>0</v>
      </c>
      <c r="F540">
        <v>30</v>
      </c>
      <c r="G540" t="s">
        <v>15</v>
      </c>
      <c r="H540" s="11">
        <v>45986</v>
      </c>
      <c r="I540" t="s">
        <v>13</v>
      </c>
      <c r="J540" s="12">
        <v>7</v>
      </c>
      <c r="K540" s="3">
        <v>210.28</v>
      </c>
      <c r="L540" s="3">
        <f t="shared" si="88"/>
        <v>30.04</v>
      </c>
      <c r="M540" s="13"/>
      <c r="N540">
        <f>_xlfn.XLOOKUP(G540,'Tarievensheet per persoon'!AE:AE,'Tarievensheet per persoon'!AF:AF)</f>
        <v>1.7024999999999999</v>
      </c>
      <c r="O540">
        <f>_xlfn.XLOOKUP(G540,AE:AE,'Tarievensheet per persoon'!AG:AG)</f>
        <v>1.5642</v>
      </c>
      <c r="P540">
        <f>_xlfn.XLOOKUP(G540,AE:AE,'Tarievensheet per persoon'!AH:AH)</f>
        <v>1.3552</v>
      </c>
      <c r="Q540">
        <f>_xlfn.XLOOKUP(G540,AE:AE,'Tarievensheet per persoon'!AI:AI)</f>
        <v>1.3552</v>
      </c>
      <c r="R540">
        <v>0</v>
      </c>
      <c r="S540" s="14">
        <v>2.99</v>
      </c>
      <c r="T540" s="10">
        <f t="shared" si="89"/>
        <v>30.042724999999997</v>
      </c>
      <c r="U540" s="10">
        <f t="shared" si="90"/>
        <v>38.244920539999995</v>
      </c>
      <c r="V540" s="10">
        <f t="shared" si="91"/>
        <v>38.7420233</v>
      </c>
      <c r="W540" s="10">
        <f t="shared" si="92"/>
        <v>49.926835400000002</v>
      </c>
      <c r="X540" s="10">
        <f t="shared" si="93"/>
        <v>54.897863000000001</v>
      </c>
      <c r="Y540" s="10">
        <f t="shared" si="94"/>
        <v>79.753000999999998</v>
      </c>
      <c r="Z540" s="10">
        <f t="shared" si="95"/>
        <v>28.421254399999995</v>
      </c>
      <c r="AA540" s="10">
        <f t="shared" si="96"/>
        <v>36.541612800000003</v>
      </c>
      <c r="AB540" s="10">
        <f t="shared" si="97"/>
        <v>40.601792000000003</v>
      </c>
      <c r="AC540" s="10">
        <f t="shared" si="98"/>
        <v>60.902687999999998</v>
      </c>
    </row>
    <row r="541" spans="1:29" x14ac:dyDescent="0.25">
      <c r="A541">
        <v>439647</v>
      </c>
      <c r="B541" t="s">
        <v>118</v>
      </c>
      <c r="C541" s="10">
        <v>15.89</v>
      </c>
      <c r="D541" s="10">
        <v>14.98</v>
      </c>
      <c r="E541" s="10">
        <v>0</v>
      </c>
      <c r="F541">
        <v>30</v>
      </c>
      <c r="G541" t="s">
        <v>15</v>
      </c>
      <c r="H541" s="11">
        <v>45986</v>
      </c>
      <c r="I541" t="s">
        <v>22</v>
      </c>
      <c r="J541" s="12">
        <v>1</v>
      </c>
      <c r="K541" s="3">
        <v>38.74</v>
      </c>
      <c r="L541" s="3">
        <f t="shared" si="88"/>
        <v>38.74</v>
      </c>
      <c r="M541" s="13"/>
      <c r="N541">
        <f>_xlfn.XLOOKUP(G541,'Tarievensheet per persoon'!AE:AE,'Tarievensheet per persoon'!AF:AF)</f>
        <v>1.7024999999999999</v>
      </c>
      <c r="O541">
        <f>_xlfn.XLOOKUP(G541,AE:AE,'Tarievensheet per persoon'!AG:AG)</f>
        <v>1.5642</v>
      </c>
      <c r="P541">
        <f>_xlfn.XLOOKUP(G541,AE:AE,'Tarievensheet per persoon'!AH:AH)</f>
        <v>1.3552</v>
      </c>
      <c r="Q541">
        <f>_xlfn.XLOOKUP(G541,AE:AE,'Tarievensheet per persoon'!AI:AI)</f>
        <v>1.3552</v>
      </c>
      <c r="R541">
        <v>0</v>
      </c>
      <c r="S541" s="14">
        <v>2.99</v>
      </c>
      <c r="T541" s="10">
        <f t="shared" si="89"/>
        <v>30.042724999999997</v>
      </c>
      <c r="U541" s="10">
        <f t="shared" si="90"/>
        <v>38.244920539999995</v>
      </c>
      <c r="V541" s="10">
        <f t="shared" si="91"/>
        <v>38.7420233</v>
      </c>
      <c r="W541" s="10">
        <f t="shared" si="92"/>
        <v>49.926835400000002</v>
      </c>
      <c r="X541" s="10">
        <f t="shared" si="93"/>
        <v>54.897863000000001</v>
      </c>
      <c r="Y541" s="10">
        <f t="shared" si="94"/>
        <v>79.753000999999998</v>
      </c>
      <c r="Z541" s="10">
        <f t="shared" si="95"/>
        <v>28.421254399999995</v>
      </c>
      <c r="AA541" s="10">
        <f t="shared" si="96"/>
        <v>36.541612800000003</v>
      </c>
      <c r="AB541" s="10">
        <f t="shared" si="97"/>
        <v>40.601792000000003</v>
      </c>
      <c r="AC541" s="10">
        <f t="shared" si="98"/>
        <v>60.902687999999998</v>
      </c>
    </row>
    <row r="542" spans="1:29" x14ac:dyDescent="0.25">
      <c r="A542">
        <v>439647</v>
      </c>
      <c r="B542" t="s">
        <v>118</v>
      </c>
      <c r="C542" s="10">
        <v>15.89</v>
      </c>
      <c r="D542" s="10">
        <v>14.98</v>
      </c>
      <c r="E542" s="10">
        <v>0</v>
      </c>
      <c r="F542">
        <v>30</v>
      </c>
      <c r="G542" t="s">
        <v>15</v>
      </c>
      <c r="H542" s="11">
        <v>45987</v>
      </c>
      <c r="I542" t="s">
        <v>13</v>
      </c>
      <c r="J542" s="12">
        <v>8.25</v>
      </c>
      <c r="K542" s="3">
        <v>247.83</v>
      </c>
      <c r="L542" s="3">
        <f t="shared" si="88"/>
        <v>30.040000000000003</v>
      </c>
      <c r="M542" s="13"/>
      <c r="N542">
        <f>_xlfn.XLOOKUP(G542,'Tarievensheet per persoon'!AE:AE,'Tarievensheet per persoon'!AF:AF)</f>
        <v>1.7024999999999999</v>
      </c>
      <c r="O542">
        <f>_xlfn.XLOOKUP(G542,AE:AE,'Tarievensheet per persoon'!AG:AG)</f>
        <v>1.5642</v>
      </c>
      <c r="P542">
        <f>_xlfn.XLOOKUP(G542,AE:AE,'Tarievensheet per persoon'!AH:AH)</f>
        <v>1.3552</v>
      </c>
      <c r="Q542">
        <f>_xlfn.XLOOKUP(G542,AE:AE,'Tarievensheet per persoon'!AI:AI)</f>
        <v>1.3552</v>
      </c>
      <c r="R542">
        <v>0</v>
      </c>
      <c r="S542" s="14">
        <v>2.99</v>
      </c>
      <c r="T542" s="10">
        <f t="shared" si="89"/>
        <v>30.042724999999997</v>
      </c>
      <c r="U542" s="10">
        <f t="shared" si="90"/>
        <v>38.244920539999995</v>
      </c>
      <c r="V542" s="10">
        <f t="shared" si="91"/>
        <v>38.7420233</v>
      </c>
      <c r="W542" s="10">
        <f t="shared" si="92"/>
        <v>49.926835400000002</v>
      </c>
      <c r="X542" s="10">
        <f t="shared" si="93"/>
        <v>54.897863000000001</v>
      </c>
      <c r="Y542" s="10">
        <f t="shared" si="94"/>
        <v>79.753000999999998</v>
      </c>
      <c r="Z542" s="10">
        <f t="shared" si="95"/>
        <v>28.421254399999995</v>
      </c>
      <c r="AA542" s="10">
        <f t="shared" si="96"/>
        <v>36.541612800000003</v>
      </c>
      <c r="AB542" s="10">
        <f t="shared" si="97"/>
        <v>40.601792000000003</v>
      </c>
      <c r="AC542" s="10">
        <f t="shared" si="98"/>
        <v>60.902687999999998</v>
      </c>
    </row>
    <row r="543" spans="1:29" x14ac:dyDescent="0.25">
      <c r="A543">
        <v>439647</v>
      </c>
      <c r="B543" t="s">
        <v>118</v>
      </c>
      <c r="C543" s="10">
        <v>15.89</v>
      </c>
      <c r="D543" s="10">
        <v>14.98</v>
      </c>
      <c r="E543" s="10">
        <v>0</v>
      </c>
      <c r="F543">
        <v>30</v>
      </c>
      <c r="G543" t="s">
        <v>15</v>
      </c>
      <c r="H543" s="11">
        <v>45987</v>
      </c>
      <c r="I543" t="s">
        <v>22</v>
      </c>
      <c r="J543" s="12">
        <v>1</v>
      </c>
      <c r="K543" s="3">
        <v>38.74</v>
      </c>
      <c r="L543" s="3">
        <f t="shared" si="88"/>
        <v>38.74</v>
      </c>
      <c r="M543" s="13"/>
      <c r="N543">
        <f>_xlfn.XLOOKUP(G543,'Tarievensheet per persoon'!AE:AE,'Tarievensheet per persoon'!AF:AF)</f>
        <v>1.7024999999999999</v>
      </c>
      <c r="O543">
        <f>_xlfn.XLOOKUP(G543,AE:AE,'Tarievensheet per persoon'!AG:AG)</f>
        <v>1.5642</v>
      </c>
      <c r="P543">
        <f>_xlfn.XLOOKUP(G543,AE:AE,'Tarievensheet per persoon'!AH:AH)</f>
        <v>1.3552</v>
      </c>
      <c r="Q543">
        <f>_xlfn.XLOOKUP(G543,AE:AE,'Tarievensheet per persoon'!AI:AI)</f>
        <v>1.3552</v>
      </c>
      <c r="R543">
        <v>0</v>
      </c>
      <c r="S543" s="14">
        <v>2.99</v>
      </c>
      <c r="T543" s="10">
        <f t="shared" si="89"/>
        <v>30.042724999999997</v>
      </c>
      <c r="U543" s="10">
        <f t="shared" si="90"/>
        <v>38.244920539999995</v>
      </c>
      <c r="V543" s="10">
        <f t="shared" si="91"/>
        <v>38.7420233</v>
      </c>
      <c r="W543" s="10">
        <f t="shared" si="92"/>
        <v>49.926835400000002</v>
      </c>
      <c r="X543" s="10">
        <f t="shared" si="93"/>
        <v>54.897863000000001</v>
      </c>
      <c r="Y543" s="10">
        <f t="shared" si="94"/>
        <v>79.753000999999998</v>
      </c>
      <c r="Z543" s="10">
        <f t="shared" si="95"/>
        <v>28.421254399999995</v>
      </c>
      <c r="AA543" s="10">
        <f t="shared" si="96"/>
        <v>36.541612800000003</v>
      </c>
      <c r="AB543" s="10">
        <f t="shared" si="97"/>
        <v>40.601792000000003</v>
      </c>
      <c r="AC543" s="10">
        <f t="shared" si="98"/>
        <v>60.902687999999998</v>
      </c>
    </row>
    <row r="544" spans="1:29" x14ac:dyDescent="0.25">
      <c r="A544">
        <v>439647</v>
      </c>
      <c r="B544" t="s">
        <v>118</v>
      </c>
      <c r="C544" s="10">
        <v>15.89</v>
      </c>
      <c r="D544" s="10">
        <v>14.98</v>
      </c>
      <c r="E544" s="10">
        <v>0</v>
      </c>
      <c r="F544">
        <v>30</v>
      </c>
      <c r="G544" t="s">
        <v>15</v>
      </c>
      <c r="H544" s="11">
        <v>45988</v>
      </c>
      <c r="I544" t="s">
        <v>13</v>
      </c>
      <c r="J544" s="12">
        <v>8</v>
      </c>
      <c r="K544" s="3">
        <v>240.32</v>
      </c>
      <c r="L544" s="3">
        <f t="shared" si="88"/>
        <v>30.04</v>
      </c>
      <c r="M544" s="13"/>
      <c r="N544">
        <f>_xlfn.XLOOKUP(G544,'Tarievensheet per persoon'!AE:AE,'Tarievensheet per persoon'!AF:AF)</f>
        <v>1.7024999999999999</v>
      </c>
      <c r="O544">
        <f>_xlfn.XLOOKUP(G544,AE:AE,'Tarievensheet per persoon'!AG:AG)</f>
        <v>1.5642</v>
      </c>
      <c r="P544">
        <f>_xlfn.XLOOKUP(G544,AE:AE,'Tarievensheet per persoon'!AH:AH)</f>
        <v>1.3552</v>
      </c>
      <c r="Q544">
        <f>_xlfn.XLOOKUP(G544,AE:AE,'Tarievensheet per persoon'!AI:AI)</f>
        <v>1.3552</v>
      </c>
      <c r="R544">
        <v>0</v>
      </c>
      <c r="S544" s="14">
        <v>2.99</v>
      </c>
      <c r="T544" s="10">
        <f t="shared" si="89"/>
        <v>30.042724999999997</v>
      </c>
      <c r="U544" s="10">
        <f t="shared" si="90"/>
        <v>38.244920539999995</v>
      </c>
      <c r="V544" s="10">
        <f t="shared" si="91"/>
        <v>38.7420233</v>
      </c>
      <c r="W544" s="10">
        <f t="shared" si="92"/>
        <v>49.926835400000002</v>
      </c>
      <c r="X544" s="10">
        <f t="shared" si="93"/>
        <v>54.897863000000001</v>
      </c>
      <c r="Y544" s="10">
        <f t="shared" si="94"/>
        <v>79.753000999999998</v>
      </c>
      <c r="Z544" s="10">
        <f t="shared" si="95"/>
        <v>28.421254399999995</v>
      </c>
      <c r="AA544" s="10">
        <f t="shared" si="96"/>
        <v>36.541612800000003</v>
      </c>
      <c r="AB544" s="10">
        <f t="shared" si="97"/>
        <v>40.601792000000003</v>
      </c>
      <c r="AC544" s="10">
        <f t="shared" si="98"/>
        <v>60.902687999999998</v>
      </c>
    </row>
    <row r="545" spans="1:29" x14ac:dyDescent="0.25">
      <c r="A545">
        <v>439647</v>
      </c>
      <c r="B545" t="s">
        <v>118</v>
      </c>
      <c r="C545" s="10">
        <v>15.89</v>
      </c>
      <c r="D545" s="10">
        <v>14.98</v>
      </c>
      <c r="E545" s="10">
        <v>0</v>
      </c>
      <c r="F545">
        <v>30</v>
      </c>
      <c r="G545" t="s">
        <v>15</v>
      </c>
      <c r="H545" s="11">
        <v>45988</v>
      </c>
      <c r="I545" t="s">
        <v>22</v>
      </c>
      <c r="J545" s="12">
        <v>1</v>
      </c>
      <c r="K545" s="3">
        <v>38.74</v>
      </c>
      <c r="L545" s="3">
        <f t="shared" si="88"/>
        <v>38.74</v>
      </c>
      <c r="M545" s="13"/>
      <c r="N545">
        <f>_xlfn.XLOOKUP(G545,'Tarievensheet per persoon'!AE:AE,'Tarievensheet per persoon'!AF:AF)</f>
        <v>1.7024999999999999</v>
      </c>
      <c r="O545">
        <f>_xlfn.XLOOKUP(G545,AE:AE,'Tarievensheet per persoon'!AG:AG)</f>
        <v>1.5642</v>
      </c>
      <c r="P545">
        <f>_xlfn.XLOOKUP(G545,AE:AE,'Tarievensheet per persoon'!AH:AH)</f>
        <v>1.3552</v>
      </c>
      <c r="Q545">
        <f>_xlfn.XLOOKUP(G545,AE:AE,'Tarievensheet per persoon'!AI:AI)</f>
        <v>1.3552</v>
      </c>
      <c r="R545">
        <v>0</v>
      </c>
      <c r="S545" s="14">
        <v>2.99</v>
      </c>
      <c r="T545" s="10">
        <f t="shared" si="89"/>
        <v>30.042724999999997</v>
      </c>
      <c r="U545" s="10">
        <f t="shared" si="90"/>
        <v>38.244920539999995</v>
      </c>
      <c r="V545" s="10">
        <f t="shared" si="91"/>
        <v>38.7420233</v>
      </c>
      <c r="W545" s="10">
        <f t="shared" si="92"/>
        <v>49.926835400000002</v>
      </c>
      <c r="X545" s="10">
        <f t="shared" si="93"/>
        <v>54.897863000000001</v>
      </c>
      <c r="Y545" s="10">
        <f t="shared" si="94"/>
        <v>79.753000999999998</v>
      </c>
      <c r="Z545" s="10">
        <f t="shared" si="95"/>
        <v>28.421254399999995</v>
      </c>
      <c r="AA545" s="10">
        <f t="shared" si="96"/>
        <v>36.541612800000003</v>
      </c>
      <c r="AB545" s="10">
        <f t="shared" si="97"/>
        <v>40.601792000000003</v>
      </c>
      <c r="AC545" s="10">
        <f t="shared" si="98"/>
        <v>60.902687999999998</v>
      </c>
    </row>
    <row r="546" spans="1:29" x14ac:dyDescent="0.25">
      <c r="A546">
        <v>440480</v>
      </c>
      <c r="B546" t="s">
        <v>71</v>
      </c>
      <c r="C546" s="10">
        <v>15.89</v>
      </c>
      <c r="D546" s="10">
        <v>14.98</v>
      </c>
      <c r="E546" s="10">
        <v>0</v>
      </c>
      <c r="F546">
        <v>28</v>
      </c>
      <c r="G546" t="s">
        <v>15</v>
      </c>
      <c r="H546" s="11">
        <v>45985</v>
      </c>
      <c r="I546" t="s">
        <v>13</v>
      </c>
      <c r="J546" s="12">
        <v>6.25</v>
      </c>
      <c r="K546" s="3">
        <v>187.75</v>
      </c>
      <c r="L546" s="3">
        <f t="shared" si="88"/>
        <v>30.04</v>
      </c>
      <c r="M546" s="13"/>
      <c r="N546">
        <f>_xlfn.XLOOKUP(G546,'Tarievensheet per persoon'!AE:AE,'Tarievensheet per persoon'!AF:AF)</f>
        <v>1.7024999999999999</v>
      </c>
      <c r="O546">
        <f>_xlfn.XLOOKUP(G546,AE:AE,'Tarievensheet per persoon'!AG:AG)</f>
        <v>1.5642</v>
      </c>
      <c r="P546">
        <f>_xlfn.XLOOKUP(G546,AE:AE,'Tarievensheet per persoon'!AH:AH)</f>
        <v>1.3552</v>
      </c>
      <c r="Q546">
        <f>_xlfn.XLOOKUP(G546,AE:AE,'Tarievensheet per persoon'!AI:AI)</f>
        <v>1.3552</v>
      </c>
      <c r="R546">
        <v>0</v>
      </c>
      <c r="S546" s="14">
        <v>2.99</v>
      </c>
      <c r="T546" s="10">
        <f t="shared" si="89"/>
        <v>30.042724999999997</v>
      </c>
      <c r="U546" s="10">
        <f t="shared" si="90"/>
        <v>38.244920539999995</v>
      </c>
      <c r="V546" s="10">
        <f t="shared" si="91"/>
        <v>38.7420233</v>
      </c>
      <c r="W546" s="10">
        <f t="shared" si="92"/>
        <v>49.926835400000002</v>
      </c>
      <c r="X546" s="10">
        <f t="shared" si="93"/>
        <v>54.897863000000001</v>
      </c>
      <c r="Y546" s="10">
        <f t="shared" si="94"/>
        <v>79.753000999999998</v>
      </c>
      <c r="Z546" s="10">
        <f t="shared" si="95"/>
        <v>28.421254399999995</v>
      </c>
      <c r="AA546" s="10">
        <f t="shared" si="96"/>
        <v>36.541612800000003</v>
      </c>
      <c r="AB546" s="10">
        <f t="shared" si="97"/>
        <v>40.601792000000003</v>
      </c>
      <c r="AC546" s="10">
        <f t="shared" si="98"/>
        <v>60.902687999999998</v>
      </c>
    </row>
    <row r="547" spans="1:29" x14ac:dyDescent="0.25">
      <c r="A547">
        <v>440480</v>
      </c>
      <c r="B547" t="s">
        <v>71</v>
      </c>
      <c r="C547" s="10">
        <v>15.89</v>
      </c>
      <c r="D547" s="10">
        <v>14.98</v>
      </c>
      <c r="E547" s="10">
        <v>0</v>
      </c>
      <c r="F547">
        <v>28</v>
      </c>
      <c r="G547" t="s">
        <v>15</v>
      </c>
      <c r="H547" s="11">
        <v>45987</v>
      </c>
      <c r="I547" t="s">
        <v>13</v>
      </c>
      <c r="J547" s="12">
        <v>8</v>
      </c>
      <c r="K547" s="3">
        <v>240.32</v>
      </c>
      <c r="L547" s="3">
        <f t="shared" si="88"/>
        <v>30.04</v>
      </c>
      <c r="M547" s="13"/>
      <c r="N547">
        <f>_xlfn.XLOOKUP(G547,'Tarievensheet per persoon'!AE:AE,'Tarievensheet per persoon'!AF:AF)</f>
        <v>1.7024999999999999</v>
      </c>
      <c r="O547">
        <f>_xlfn.XLOOKUP(G547,AE:AE,'Tarievensheet per persoon'!AG:AG)</f>
        <v>1.5642</v>
      </c>
      <c r="P547">
        <f>_xlfn.XLOOKUP(G547,AE:AE,'Tarievensheet per persoon'!AH:AH)</f>
        <v>1.3552</v>
      </c>
      <c r="Q547">
        <f>_xlfn.XLOOKUP(G547,AE:AE,'Tarievensheet per persoon'!AI:AI)</f>
        <v>1.3552</v>
      </c>
      <c r="R547">
        <v>0</v>
      </c>
      <c r="S547" s="14">
        <v>2.99</v>
      </c>
      <c r="T547" s="10">
        <f t="shared" si="89"/>
        <v>30.042724999999997</v>
      </c>
      <c r="U547" s="10">
        <f t="shared" si="90"/>
        <v>38.244920539999995</v>
      </c>
      <c r="V547" s="10">
        <f t="shared" si="91"/>
        <v>38.7420233</v>
      </c>
      <c r="W547" s="10">
        <f t="shared" si="92"/>
        <v>49.926835400000002</v>
      </c>
      <c r="X547" s="10">
        <f t="shared" si="93"/>
        <v>54.897863000000001</v>
      </c>
      <c r="Y547" s="10">
        <f t="shared" si="94"/>
        <v>79.753000999999998</v>
      </c>
      <c r="Z547" s="10">
        <f t="shared" si="95"/>
        <v>28.421254399999995</v>
      </c>
      <c r="AA547" s="10">
        <f t="shared" si="96"/>
        <v>36.541612800000003</v>
      </c>
      <c r="AB547" s="10">
        <f t="shared" si="97"/>
        <v>40.601792000000003</v>
      </c>
      <c r="AC547" s="10">
        <f t="shared" si="98"/>
        <v>60.902687999999998</v>
      </c>
    </row>
    <row r="548" spans="1:29" x14ac:dyDescent="0.25">
      <c r="A548">
        <v>440480</v>
      </c>
      <c r="B548" t="s">
        <v>71</v>
      </c>
      <c r="C548" s="10">
        <v>15.89</v>
      </c>
      <c r="D548" s="10">
        <v>14.98</v>
      </c>
      <c r="E548" s="10">
        <v>0</v>
      </c>
      <c r="F548">
        <v>28</v>
      </c>
      <c r="G548" t="s">
        <v>15</v>
      </c>
      <c r="H548" s="11">
        <v>45988</v>
      </c>
      <c r="I548" t="s">
        <v>13</v>
      </c>
      <c r="J548" s="12">
        <v>8</v>
      </c>
      <c r="K548" s="3">
        <v>240.32</v>
      </c>
      <c r="L548" s="3">
        <f t="shared" si="88"/>
        <v>30.04</v>
      </c>
      <c r="M548" s="13"/>
      <c r="N548">
        <f>_xlfn.XLOOKUP(G548,'Tarievensheet per persoon'!AE:AE,'Tarievensheet per persoon'!AF:AF)</f>
        <v>1.7024999999999999</v>
      </c>
      <c r="O548">
        <f>_xlfn.XLOOKUP(G548,AE:AE,'Tarievensheet per persoon'!AG:AG)</f>
        <v>1.5642</v>
      </c>
      <c r="P548">
        <f>_xlfn.XLOOKUP(G548,AE:AE,'Tarievensheet per persoon'!AH:AH)</f>
        <v>1.3552</v>
      </c>
      <c r="Q548">
        <f>_xlfn.XLOOKUP(G548,AE:AE,'Tarievensheet per persoon'!AI:AI)</f>
        <v>1.3552</v>
      </c>
      <c r="R548">
        <v>0</v>
      </c>
      <c r="S548" s="14">
        <v>2.99</v>
      </c>
      <c r="T548" s="10">
        <f t="shared" si="89"/>
        <v>30.042724999999997</v>
      </c>
      <c r="U548" s="10">
        <f t="shared" si="90"/>
        <v>38.244920539999995</v>
      </c>
      <c r="V548" s="10">
        <f t="shared" si="91"/>
        <v>38.7420233</v>
      </c>
      <c r="W548" s="10">
        <f t="shared" si="92"/>
        <v>49.926835400000002</v>
      </c>
      <c r="X548" s="10">
        <f t="shared" si="93"/>
        <v>54.897863000000001</v>
      </c>
      <c r="Y548" s="10">
        <f t="shared" si="94"/>
        <v>79.753000999999998</v>
      </c>
      <c r="Z548" s="10">
        <f t="shared" si="95"/>
        <v>28.421254399999995</v>
      </c>
      <c r="AA548" s="10">
        <f t="shared" si="96"/>
        <v>36.541612800000003</v>
      </c>
      <c r="AB548" s="10">
        <f t="shared" si="97"/>
        <v>40.601792000000003</v>
      </c>
      <c r="AC548" s="10">
        <f t="shared" si="98"/>
        <v>60.902687999999998</v>
      </c>
    </row>
    <row r="549" spans="1:29" x14ac:dyDescent="0.25">
      <c r="A549">
        <v>440480</v>
      </c>
      <c r="B549" t="s">
        <v>71</v>
      </c>
      <c r="C549" s="10">
        <v>15.89</v>
      </c>
      <c r="D549" s="10">
        <v>14.98</v>
      </c>
      <c r="E549" s="10">
        <v>0</v>
      </c>
      <c r="F549">
        <v>28</v>
      </c>
      <c r="G549" t="s">
        <v>15</v>
      </c>
      <c r="H549" s="11">
        <v>45989</v>
      </c>
      <c r="I549" t="s">
        <v>13</v>
      </c>
      <c r="J549" s="12">
        <v>7.5</v>
      </c>
      <c r="K549" s="3">
        <v>225.3</v>
      </c>
      <c r="L549" s="3">
        <f t="shared" si="88"/>
        <v>30.040000000000003</v>
      </c>
      <c r="M549" s="13"/>
      <c r="N549">
        <f>_xlfn.XLOOKUP(G549,'Tarievensheet per persoon'!AE:AE,'Tarievensheet per persoon'!AF:AF)</f>
        <v>1.7024999999999999</v>
      </c>
      <c r="O549">
        <f>_xlfn.XLOOKUP(G549,AE:AE,'Tarievensheet per persoon'!AG:AG)</f>
        <v>1.5642</v>
      </c>
      <c r="P549">
        <f>_xlfn.XLOOKUP(G549,AE:AE,'Tarievensheet per persoon'!AH:AH)</f>
        <v>1.3552</v>
      </c>
      <c r="Q549">
        <f>_xlfn.XLOOKUP(G549,AE:AE,'Tarievensheet per persoon'!AI:AI)</f>
        <v>1.3552</v>
      </c>
      <c r="R549">
        <v>0</v>
      </c>
      <c r="S549" s="14">
        <v>2.99</v>
      </c>
      <c r="T549" s="10">
        <f t="shared" si="89"/>
        <v>30.042724999999997</v>
      </c>
      <c r="U549" s="10">
        <f t="shared" si="90"/>
        <v>38.244920539999995</v>
      </c>
      <c r="V549" s="10">
        <f t="shared" si="91"/>
        <v>38.7420233</v>
      </c>
      <c r="W549" s="10">
        <f t="shared" si="92"/>
        <v>49.926835400000002</v>
      </c>
      <c r="X549" s="10">
        <f t="shared" si="93"/>
        <v>54.897863000000001</v>
      </c>
      <c r="Y549" s="10">
        <f t="shared" si="94"/>
        <v>79.753000999999998</v>
      </c>
      <c r="Z549" s="10">
        <f t="shared" si="95"/>
        <v>28.421254399999995</v>
      </c>
      <c r="AA549" s="10">
        <f t="shared" si="96"/>
        <v>36.541612800000003</v>
      </c>
      <c r="AB549" s="10">
        <f t="shared" si="97"/>
        <v>40.601792000000003</v>
      </c>
      <c r="AC549" s="10">
        <f t="shared" si="98"/>
        <v>60.902687999999998</v>
      </c>
    </row>
    <row r="550" spans="1:29" x14ac:dyDescent="0.25">
      <c r="A550">
        <v>440540</v>
      </c>
      <c r="B550" t="s">
        <v>72</v>
      </c>
      <c r="C550" s="10">
        <v>16.91</v>
      </c>
      <c r="D550" s="10">
        <v>15.94</v>
      </c>
      <c r="E550" s="10">
        <v>0</v>
      </c>
      <c r="F550">
        <v>30</v>
      </c>
      <c r="G550" t="s">
        <v>15</v>
      </c>
      <c r="H550" s="11">
        <v>45986</v>
      </c>
      <c r="I550" t="s">
        <v>13</v>
      </c>
      <c r="J550" s="12">
        <v>7.25</v>
      </c>
      <c r="K550" s="3">
        <v>230.41</v>
      </c>
      <c r="L550" s="3">
        <f t="shared" si="88"/>
        <v>31.780689655172413</v>
      </c>
      <c r="M550" s="13"/>
      <c r="N550">
        <f>_xlfn.XLOOKUP(G550,'Tarievensheet per persoon'!AE:AE,'Tarievensheet per persoon'!AF:AF)</f>
        <v>1.7024999999999999</v>
      </c>
      <c r="O550">
        <f>_xlfn.XLOOKUP(G550,AE:AE,'Tarievensheet per persoon'!AG:AG)</f>
        <v>1.5642</v>
      </c>
      <c r="P550">
        <f>_xlfn.XLOOKUP(G550,AE:AE,'Tarievensheet per persoon'!AH:AH)</f>
        <v>1.3552</v>
      </c>
      <c r="Q550">
        <f>_xlfn.XLOOKUP(G550,AE:AE,'Tarievensheet per persoon'!AI:AI)</f>
        <v>1.3552</v>
      </c>
      <c r="R550">
        <v>0</v>
      </c>
      <c r="S550" s="14">
        <v>2.99</v>
      </c>
      <c r="T550" s="10">
        <f t="shared" si="89"/>
        <v>31.779274999999998</v>
      </c>
      <c r="U550" s="10">
        <f t="shared" si="90"/>
        <v>40.507980259999997</v>
      </c>
      <c r="V550" s="10">
        <f t="shared" si="91"/>
        <v>41.036992699999999</v>
      </c>
      <c r="W550" s="10">
        <f t="shared" si="92"/>
        <v>52.939772599999998</v>
      </c>
      <c r="X550" s="10">
        <f t="shared" si="93"/>
        <v>58.229896999999994</v>
      </c>
      <c r="Y550" s="10">
        <f t="shared" si="94"/>
        <v>84.680519000000004</v>
      </c>
      <c r="Z550" s="10">
        <f t="shared" si="95"/>
        <v>30.242643199999996</v>
      </c>
      <c r="AA550" s="10">
        <f t="shared" si="96"/>
        <v>38.883398399999997</v>
      </c>
      <c r="AB550" s="10">
        <f t="shared" si="97"/>
        <v>43.203775999999998</v>
      </c>
      <c r="AC550" s="10">
        <f t="shared" si="98"/>
        <v>64.805663999999993</v>
      </c>
    </row>
    <row r="551" spans="1:29" x14ac:dyDescent="0.25">
      <c r="A551">
        <v>440540</v>
      </c>
      <c r="B551" t="s">
        <v>72</v>
      </c>
      <c r="C551" s="10">
        <v>16.91</v>
      </c>
      <c r="D551" s="10">
        <v>15.94</v>
      </c>
      <c r="E551" s="10">
        <v>0</v>
      </c>
      <c r="F551">
        <v>30</v>
      </c>
      <c r="G551" t="s">
        <v>15</v>
      </c>
      <c r="H551" s="11">
        <v>45987</v>
      </c>
      <c r="I551" t="s">
        <v>13</v>
      </c>
      <c r="J551" s="12">
        <v>7.25</v>
      </c>
      <c r="K551" s="3">
        <v>230.41</v>
      </c>
      <c r="L551" s="3">
        <f t="shared" si="88"/>
        <v>31.780689655172413</v>
      </c>
      <c r="M551" s="13"/>
      <c r="N551">
        <f>_xlfn.XLOOKUP(G551,'Tarievensheet per persoon'!AE:AE,'Tarievensheet per persoon'!AF:AF)</f>
        <v>1.7024999999999999</v>
      </c>
      <c r="O551">
        <f>_xlfn.XLOOKUP(G551,AE:AE,'Tarievensheet per persoon'!AG:AG)</f>
        <v>1.5642</v>
      </c>
      <c r="P551">
        <f>_xlfn.XLOOKUP(G551,AE:AE,'Tarievensheet per persoon'!AH:AH)</f>
        <v>1.3552</v>
      </c>
      <c r="Q551">
        <f>_xlfn.XLOOKUP(G551,AE:AE,'Tarievensheet per persoon'!AI:AI)</f>
        <v>1.3552</v>
      </c>
      <c r="R551">
        <v>0</v>
      </c>
      <c r="S551" s="14">
        <v>2.99</v>
      </c>
      <c r="T551" s="10">
        <f t="shared" si="89"/>
        <v>31.779274999999998</v>
      </c>
      <c r="U551" s="10">
        <f t="shared" si="90"/>
        <v>40.507980259999997</v>
      </c>
      <c r="V551" s="10">
        <f t="shared" si="91"/>
        <v>41.036992699999999</v>
      </c>
      <c r="W551" s="10">
        <f t="shared" si="92"/>
        <v>52.939772599999998</v>
      </c>
      <c r="X551" s="10">
        <f t="shared" si="93"/>
        <v>58.229896999999994</v>
      </c>
      <c r="Y551" s="10">
        <f t="shared" si="94"/>
        <v>84.680519000000004</v>
      </c>
      <c r="Z551" s="10">
        <f t="shared" si="95"/>
        <v>30.242643199999996</v>
      </c>
      <c r="AA551" s="10">
        <f t="shared" si="96"/>
        <v>38.883398399999997</v>
      </c>
      <c r="AB551" s="10">
        <f t="shared" si="97"/>
        <v>43.203775999999998</v>
      </c>
      <c r="AC551" s="10">
        <f t="shared" si="98"/>
        <v>64.805663999999993</v>
      </c>
    </row>
    <row r="552" spans="1:29" x14ac:dyDescent="0.25">
      <c r="A552">
        <v>440540</v>
      </c>
      <c r="B552" t="s">
        <v>72</v>
      </c>
      <c r="C552" s="10">
        <v>16.91</v>
      </c>
      <c r="D552" s="10">
        <v>15.94</v>
      </c>
      <c r="E552" s="10">
        <v>0</v>
      </c>
      <c r="F552">
        <v>30</v>
      </c>
      <c r="G552" t="s">
        <v>15</v>
      </c>
      <c r="H552" s="11">
        <v>45988</v>
      </c>
      <c r="I552" t="s">
        <v>13</v>
      </c>
      <c r="J552" s="12">
        <v>8</v>
      </c>
      <c r="K552" s="3">
        <v>254.24</v>
      </c>
      <c r="L552" s="3">
        <f t="shared" si="88"/>
        <v>31.78</v>
      </c>
      <c r="M552" s="13"/>
      <c r="N552">
        <f>_xlfn.XLOOKUP(G552,'Tarievensheet per persoon'!AE:AE,'Tarievensheet per persoon'!AF:AF)</f>
        <v>1.7024999999999999</v>
      </c>
      <c r="O552">
        <f>_xlfn.XLOOKUP(G552,AE:AE,'Tarievensheet per persoon'!AG:AG)</f>
        <v>1.5642</v>
      </c>
      <c r="P552">
        <f>_xlfn.XLOOKUP(G552,AE:AE,'Tarievensheet per persoon'!AH:AH)</f>
        <v>1.3552</v>
      </c>
      <c r="Q552">
        <f>_xlfn.XLOOKUP(G552,AE:AE,'Tarievensheet per persoon'!AI:AI)</f>
        <v>1.3552</v>
      </c>
      <c r="R552">
        <v>0</v>
      </c>
      <c r="S552" s="14">
        <v>2.99</v>
      </c>
      <c r="T552" s="10">
        <f t="shared" si="89"/>
        <v>31.779274999999998</v>
      </c>
      <c r="U552" s="10">
        <f t="shared" si="90"/>
        <v>40.507980259999997</v>
      </c>
      <c r="V552" s="10">
        <f t="shared" si="91"/>
        <v>41.036992699999999</v>
      </c>
      <c r="W552" s="10">
        <f t="shared" si="92"/>
        <v>52.939772599999998</v>
      </c>
      <c r="X552" s="10">
        <f t="shared" si="93"/>
        <v>58.229896999999994</v>
      </c>
      <c r="Y552" s="10">
        <f t="shared" si="94"/>
        <v>84.680519000000004</v>
      </c>
      <c r="Z552" s="10">
        <f t="shared" si="95"/>
        <v>30.242643199999996</v>
      </c>
      <c r="AA552" s="10">
        <f t="shared" si="96"/>
        <v>38.883398399999997</v>
      </c>
      <c r="AB552" s="10">
        <f t="shared" si="97"/>
        <v>43.203775999999998</v>
      </c>
      <c r="AC552" s="10">
        <f t="shared" si="98"/>
        <v>64.805663999999993</v>
      </c>
    </row>
    <row r="553" spans="1:29" x14ac:dyDescent="0.25">
      <c r="A553">
        <v>440540</v>
      </c>
      <c r="B553" t="s">
        <v>72</v>
      </c>
      <c r="C553" s="10">
        <v>16.91</v>
      </c>
      <c r="D553" s="10">
        <v>15.94</v>
      </c>
      <c r="E553" s="10">
        <v>0</v>
      </c>
      <c r="F553">
        <v>30</v>
      </c>
      <c r="G553" t="s">
        <v>15</v>
      </c>
      <c r="H553" s="11">
        <v>45989</v>
      </c>
      <c r="I553" t="s">
        <v>13</v>
      </c>
      <c r="J553" s="12">
        <v>7.5</v>
      </c>
      <c r="K553" s="3">
        <v>238.35</v>
      </c>
      <c r="L553" s="3">
        <f t="shared" si="88"/>
        <v>31.779999999999998</v>
      </c>
      <c r="M553" s="13"/>
      <c r="N553">
        <f>_xlfn.XLOOKUP(G553,'Tarievensheet per persoon'!AE:AE,'Tarievensheet per persoon'!AF:AF)</f>
        <v>1.7024999999999999</v>
      </c>
      <c r="O553">
        <f>_xlfn.XLOOKUP(G553,AE:AE,'Tarievensheet per persoon'!AG:AG)</f>
        <v>1.5642</v>
      </c>
      <c r="P553">
        <f>_xlfn.XLOOKUP(G553,AE:AE,'Tarievensheet per persoon'!AH:AH)</f>
        <v>1.3552</v>
      </c>
      <c r="Q553">
        <f>_xlfn.XLOOKUP(G553,AE:AE,'Tarievensheet per persoon'!AI:AI)</f>
        <v>1.3552</v>
      </c>
      <c r="R553">
        <v>0</v>
      </c>
      <c r="S553" s="14">
        <v>2.99</v>
      </c>
      <c r="T553" s="10">
        <f t="shared" si="89"/>
        <v>31.779274999999998</v>
      </c>
      <c r="U553" s="10">
        <f t="shared" si="90"/>
        <v>40.507980259999997</v>
      </c>
      <c r="V553" s="10">
        <f t="shared" si="91"/>
        <v>41.036992699999999</v>
      </c>
      <c r="W553" s="10">
        <f t="shared" si="92"/>
        <v>52.939772599999998</v>
      </c>
      <c r="X553" s="10">
        <f t="shared" si="93"/>
        <v>58.229896999999994</v>
      </c>
      <c r="Y553" s="10">
        <f t="shared" si="94"/>
        <v>84.680519000000004</v>
      </c>
      <c r="Z553" s="10">
        <f t="shared" si="95"/>
        <v>30.242643199999996</v>
      </c>
      <c r="AA553" s="10">
        <f t="shared" si="96"/>
        <v>38.883398399999997</v>
      </c>
      <c r="AB553" s="10">
        <f t="shared" si="97"/>
        <v>43.203775999999998</v>
      </c>
      <c r="AC553" s="10">
        <f t="shared" si="98"/>
        <v>64.805663999999993</v>
      </c>
    </row>
    <row r="554" spans="1:29" x14ac:dyDescent="0.25">
      <c r="A554">
        <v>441215</v>
      </c>
      <c r="B554" t="s">
        <v>150</v>
      </c>
      <c r="C554" s="10">
        <v>15.89</v>
      </c>
      <c r="D554" s="10">
        <v>14.98</v>
      </c>
      <c r="E554" s="10">
        <v>0</v>
      </c>
      <c r="F554">
        <v>27</v>
      </c>
      <c r="G554" t="s">
        <v>15</v>
      </c>
      <c r="H554" s="11">
        <v>45985</v>
      </c>
      <c r="I554" t="s">
        <v>13</v>
      </c>
      <c r="J554" s="12">
        <v>10.5</v>
      </c>
      <c r="K554" s="3">
        <v>315.42</v>
      </c>
      <c r="L554" s="3">
        <f t="shared" si="88"/>
        <v>30.040000000000003</v>
      </c>
      <c r="M554" s="13"/>
      <c r="N554">
        <f>_xlfn.XLOOKUP(G554,'Tarievensheet per persoon'!AE:AE,'Tarievensheet per persoon'!AF:AF)</f>
        <v>1.7024999999999999</v>
      </c>
      <c r="O554">
        <f>_xlfn.XLOOKUP(G554,AE:AE,'Tarievensheet per persoon'!AG:AG)</f>
        <v>1.5642</v>
      </c>
      <c r="P554">
        <f>_xlfn.XLOOKUP(G554,AE:AE,'Tarievensheet per persoon'!AH:AH)</f>
        <v>1.3552</v>
      </c>
      <c r="Q554">
        <f>_xlfn.XLOOKUP(G554,AE:AE,'Tarievensheet per persoon'!AI:AI)</f>
        <v>1.3552</v>
      </c>
      <c r="R554">
        <v>0</v>
      </c>
      <c r="S554" s="14">
        <v>2.99</v>
      </c>
      <c r="T554" s="10">
        <f t="shared" si="89"/>
        <v>30.042724999999997</v>
      </c>
      <c r="U554" s="10">
        <f t="shared" si="90"/>
        <v>38.244920539999995</v>
      </c>
      <c r="V554" s="10">
        <f t="shared" si="91"/>
        <v>38.7420233</v>
      </c>
      <c r="W554" s="10">
        <f t="shared" si="92"/>
        <v>49.926835400000002</v>
      </c>
      <c r="X554" s="10">
        <f t="shared" si="93"/>
        <v>54.897863000000001</v>
      </c>
      <c r="Y554" s="10">
        <f t="shared" si="94"/>
        <v>79.753000999999998</v>
      </c>
      <c r="Z554" s="10">
        <f t="shared" si="95"/>
        <v>28.421254399999995</v>
      </c>
      <c r="AA554" s="10">
        <f t="shared" si="96"/>
        <v>36.541612800000003</v>
      </c>
      <c r="AB554" s="10">
        <f t="shared" si="97"/>
        <v>40.601792000000003</v>
      </c>
      <c r="AC554" s="10">
        <f t="shared" si="98"/>
        <v>60.902687999999998</v>
      </c>
    </row>
    <row r="555" spans="1:29" x14ac:dyDescent="0.25">
      <c r="A555">
        <v>441215</v>
      </c>
      <c r="B555" t="s">
        <v>150</v>
      </c>
      <c r="C555" s="10">
        <v>15.89</v>
      </c>
      <c r="D555" s="10">
        <v>14.98</v>
      </c>
      <c r="E555" s="10">
        <v>0</v>
      </c>
      <c r="F555">
        <v>27</v>
      </c>
      <c r="G555" t="s">
        <v>15</v>
      </c>
      <c r="H555" s="11">
        <v>45986</v>
      </c>
      <c r="I555" t="s">
        <v>13</v>
      </c>
      <c r="J555" s="12">
        <v>8.5</v>
      </c>
      <c r="K555" s="3">
        <v>255.34</v>
      </c>
      <c r="L555" s="3">
        <f t="shared" si="88"/>
        <v>30.04</v>
      </c>
      <c r="M555" s="13"/>
      <c r="N555">
        <f>_xlfn.XLOOKUP(G555,'Tarievensheet per persoon'!AE:AE,'Tarievensheet per persoon'!AF:AF)</f>
        <v>1.7024999999999999</v>
      </c>
      <c r="O555">
        <f>_xlfn.XLOOKUP(G555,AE:AE,'Tarievensheet per persoon'!AG:AG)</f>
        <v>1.5642</v>
      </c>
      <c r="P555">
        <f>_xlfn.XLOOKUP(G555,AE:AE,'Tarievensheet per persoon'!AH:AH)</f>
        <v>1.3552</v>
      </c>
      <c r="Q555">
        <f>_xlfn.XLOOKUP(G555,AE:AE,'Tarievensheet per persoon'!AI:AI)</f>
        <v>1.3552</v>
      </c>
      <c r="R555">
        <v>0</v>
      </c>
      <c r="S555" s="14">
        <v>2.99</v>
      </c>
      <c r="T555" s="10">
        <f t="shared" si="89"/>
        <v>30.042724999999997</v>
      </c>
      <c r="U555" s="10">
        <f t="shared" si="90"/>
        <v>38.244920539999995</v>
      </c>
      <c r="V555" s="10">
        <f t="shared" si="91"/>
        <v>38.7420233</v>
      </c>
      <c r="W555" s="10">
        <f t="shared" si="92"/>
        <v>49.926835400000002</v>
      </c>
      <c r="X555" s="10">
        <f t="shared" si="93"/>
        <v>54.897863000000001</v>
      </c>
      <c r="Y555" s="10">
        <f t="shared" si="94"/>
        <v>79.753000999999998</v>
      </c>
      <c r="Z555" s="10">
        <f t="shared" si="95"/>
        <v>28.421254399999995</v>
      </c>
      <c r="AA555" s="10">
        <f t="shared" si="96"/>
        <v>36.541612800000003</v>
      </c>
      <c r="AB555" s="10">
        <f t="shared" si="97"/>
        <v>40.601792000000003</v>
      </c>
      <c r="AC555" s="10">
        <f t="shared" si="98"/>
        <v>60.902687999999998</v>
      </c>
    </row>
    <row r="556" spans="1:29" x14ac:dyDescent="0.25">
      <c r="A556">
        <v>441215</v>
      </c>
      <c r="B556" t="s">
        <v>150</v>
      </c>
      <c r="C556" s="10">
        <v>15.89</v>
      </c>
      <c r="D556" s="10">
        <v>14.98</v>
      </c>
      <c r="E556" s="10">
        <v>0</v>
      </c>
      <c r="F556">
        <v>27</v>
      </c>
      <c r="G556" t="s">
        <v>15</v>
      </c>
      <c r="H556" s="11">
        <v>45987</v>
      </c>
      <c r="I556" t="s">
        <v>13</v>
      </c>
      <c r="J556" s="12">
        <v>3.5</v>
      </c>
      <c r="K556" s="3">
        <v>105.14</v>
      </c>
      <c r="L556" s="3">
        <f t="shared" si="88"/>
        <v>30.04</v>
      </c>
      <c r="M556" s="13"/>
      <c r="N556">
        <f>_xlfn.XLOOKUP(G556,'Tarievensheet per persoon'!AE:AE,'Tarievensheet per persoon'!AF:AF)</f>
        <v>1.7024999999999999</v>
      </c>
      <c r="O556">
        <f>_xlfn.XLOOKUP(G556,AE:AE,'Tarievensheet per persoon'!AG:AG)</f>
        <v>1.5642</v>
      </c>
      <c r="P556">
        <f>_xlfn.XLOOKUP(G556,AE:AE,'Tarievensheet per persoon'!AH:AH)</f>
        <v>1.3552</v>
      </c>
      <c r="Q556">
        <f>_xlfn.XLOOKUP(G556,AE:AE,'Tarievensheet per persoon'!AI:AI)</f>
        <v>1.3552</v>
      </c>
      <c r="R556">
        <v>0</v>
      </c>
      <c r="S556" s="14">
        <v>2.99</v>
      </c>
      <c r="T556" s="10">
        <f t="shared" si="89"/>
        <v>30.042724999999997</v>
      </c>
      <c r="U556" s="10">
        <f t="shared" si="90"/>
        <v>38.244920539999995</v>
      </c>
      <c r="V556" s="10">
        <f t="shared" si="91"/>
        <v>38.7420233</v>
      </c>
      <c r="W556" s="10">
        <f t="shared" si="92"/>
        <v>49.926835400000002</v>
      </c>
      <c r="X556" s="10">
        <f t="shared" si="93"/>
        <v>54.897863000000001</v>
      </c>
      <c r="Y556" s="10">
        <f t="shared" si="94"/>
        <v>79.753000999999998</v>
      </c>
      <c r="Z556" s="10">
        <f t="shared" si="95"/>
        <v>28.421254399999995</v>
      </c>
      <c r="AA556" s="10">
        <f t="shared" si="96"/>
        <v>36.541612800000003</v>
      </c>
      <c r="AB556" s="10">
        <f t="shared" si="97"/>
        <v>40.601792000000003</v>
      </c>
      <c r="AC556" s="10">
        <f t="shared" si="98"/>
        <v>60.902687999999998</v>
      </c>
    </row>
    <row r="557" spans="1:29" x14ac:dyDescent="0.25">
      <c r="A557">
        <v>441215</v>
      </c>
      <c r="B557" t="s">
        <v>150</v>
      </c>
      <c r="C557" s="10">
        <v>15.89</v>
      </c>
      <c r="D557" s="10">
        <v>14.98</v>
      </c>
      <c r="E557" s="10">
        <v>0</v>
      </c>
      <c r="F557">
        <v>27</v>
      </c>
      <c r="G557" t="s">
        <v>15</v>
      </c>
      <c r="H557" s="11">
        <v>45987</v>
      </c>
      <c r="I557" t="s">
        <v>23</v>
      </c>
      <c r="J557" s="12">
        <v>6</v>
      </c>
      <c r="K557" s="3">
        <v>170.52</v>
      </c>
      <c r="L557" s="3">
        <f t="shared" si="88"/>
        <v>28.42</v>
      </c>
      <c r="M557" s="13"/>
      <c r="N557">
        <f>_xlfn.XLOOKUP(G557,'Tarievensheet per persoon'!AE:AE,'Tarievensheet per persoon'!AF:AF)</f>
        <v>1.7024999999999999</v>
      </c>
      <c r="O557">
        <f>_xlfn.XLOOKUP(G557,AE:AE,'Tarievensheet per persoon'!AG:AG)</f>
        <v>1.5642</v>
      </c>
      <c r="P557">
        <f>_xlfn.XLOOKUP(G557,AE:AE,'Tarievensheet per persoon'!AH:AH)</f>
        <v>1.3552</v>
      </c>
      <c r="Q557">
        <f>_xlfn.XLOOKUP(G557,AE:AE,'Tarievensheet per persoon'!AI:AI)</f>
        <v>1.3552</v>
      </c>
      <c r="R557">
        <v>0</v>
      </c>
      <c r="S557" s="14">
        <v>2.99</v>
      </c>
      <c r="T557" s="10">
        <f t="shared" si="89"/>
        <v>30.042724999999997</v>
      </c>
      <c r="U557" s="10">
        <f t="shared" si="90"/>
        <v>38.244920539999995</v>
      </c>
      <c r="V557" s="10">
        <f t="shared" si="91"/>
        <v>38.7420233</v>
      </c>
      <c r="W557" s="10">
        <f t="shared" si="92"/>
        <v>49.926835400000002</v>
      </c>
      <c r="X557" s="10">
        <f t="shared" si="93"/>
        <v>54.897863000000001</v>
      </c>
      <c r="Y557" s="10">
        <f t="shared" si="94"/>
        <v>79.753000999999998</v>
      </c>
      <c r="Z557" s="10">
        <f t="shared" si="95"/>
        <v>28.421254399999995</v>
      </c>
      <c r="AA557" s="10">
        <f t="shared" si="96"/>
        <v>36.541612800000003</v>
      </c>
      <c r="AB557" s="10">
        <f t="shared" si="97"/>
        <v>40.601792000000003</v>
      </c>
      <c r="AC557" s="10">
        <f t="shared" si="98"/>
        <v>60.902687999999998</v>
      </c>
    </row>
    <row r="558" spans="1:29" x14ac:dyDescent="0.25">
      <c r="A558">
        <v>441215</v>
      </c>
      <c r="B558" t="s">
        <v>150</v>
      </c>
      <c r="C558" s="10">
        <v>15.89</v>
      </c>
      <c r="D558" s="10">
        <v>14.98</v>
      </c>
      <c r="E558" s="10">
        <v>0</v>
      </c>
      <c r="F558">
        <v>27</v>
      </c>
      <c r="G558" t="s">
        <v>15</v>
      </c>
      <c r="H558" s="11">
        <v>45988</v>
      </c>
      <c r="I558" t="s">
        <v>13</v>
      </c>
      <c r="J558" s="12">
        <v>9</v>
      </c>
      <c r="K558" s="3">
        <v>270.36</v>
      </c>
      <c r="L558" s="3">
        <f t="shared" si="88"/>
        <v>30.040000000000003</v>
      </c>
      <c r="M558" s="13"/>
      <c r="N558">
        <f>_xlfn.XLOOKUP(G558,'Tarievensheet per persoon'!AE:AE,'Tarievensheet per persoon'!AF:AF)</f>
        <v>1.7024999999999999</v>
      </c>
      <c r="O558">
        <f>_xlfn.XLOOKUP(G558,AE:AE,'Tarievensheet per persoon'!AG:AG)</f>
        <v>1.5642</v>
      </c>
      <c r="P558">
        <f>_xlfn.XLOOKUP(G558,AE:AE,'Tarievensheet per persoon'!AH:AH)</f>
        <v>1.3552</v>
      </c>
      <c r="Q558">
        <f>_xlfn.XLOOKUP(G558,AE:AE,'Tarievensheet per persoon'!AI:AI)</f>
        <v>1.3552</v>
      </c>
      <c r="R558">
        <v>0</v>
      </c>
      <c r="S558" s="14">
        <v>2.99</v>
      </c>
      <c r="T558" s="10">
        <f t="shared" si="89"/>
        <v>30.042724999999997</v>
      </c>
      <c r="U558" s="10">
        <f t="shared" si="90"/>
        <v>38.244920539999995</v>
      </c>
      <c r="V558" s="10">
        <f t="shared" si="91"/>
        <v>38.7420233</v>
      </c>
      <c r="W558" s="10">
        <f t="shared" si="92"/>
        <v>49.926835400000002</v>
      </c>
      <c r="X558" s="10">
        <f t="shared" si="93"/>
        <v>54.897863000000001</v>
      </c>
      <c r="Y558" s="10">
        <f t="shared" si="94"/>
        <v>79.753000999999998</v>
      </c>
      <c r="Z558" s="10">
        <f t="shared" si="95"/>
        <v>28.421254399999995</v>
      </c>
      <c r="AA558" s="10">
        <f t="shared" si="96"/>
        <v>36.541612800000003</v>
      </c>
      <c r="AB558" s="10">
        <f t="shared" si="97"/>
        <v>40.601792000000003</v>
      </c>
      <c r="AC558" s="10">
        <f t="shared" si="98"/>
        <v>60.902687999999998</v>
      </c>
    </row>
    <row r="559" spans="1:29" x14ac:dyDescent="0.25">
      <c r="A559">
        <v>441215</v>
      </c>
      <c r="B559" t="s">
        <v>150</v>
      </c>
      <c r="C559" s="10">
        <v>15.89</v>
      </c>
      <c r="D559" s="10">
        <v>14.98</v>
      </c>
      <c r="E559" s="10">
        <v>0</v>
      </c>
      <c r="F559">
        <v>27</v>
      </c>
      <c r="G559" t="s">
        <v>15</v>
      </c>
      <c r="H559" s="11">
        <v>45989</v>
      </c>
      <c r="I559" t="s">
        <v>13</v>
      </c>
      <c r="J559" s="12">
        <v>8.5</v>
      </c>
      <c r="K559" s="3">
        <v>255.34</v>
      </c>
      <c r="L559" s="3">
        <f t="shared" si="88"/>
        <v>30.04</v>
      </c>
      <c r="M559" s="13"/>
      <c r="N559">
        <f>_xlfn.XLOOKUP(G559,'Tarievensheet per persoon'!AE:AE,'Tarievensheet per persoon'!AF:AF)</f>
        <v>1.7024999999999999</v>
      </c>
      <c r="O559">
        <f>_xlfn.XLOOKUP(G559,AE:AE,'Tarievensheet per persoon'!AG:AG)</f>
        <v>1.5642</v>
      </c>
      <c r="P559">
        <f>_xlfn.XLOOKUP(G559,AE:AE,'Tarievensheet per persoon'!AH:AH)</f>
        <v>1.3552</v>
      </c>
      <c r="Q559">
        <f>_xlfn.XLOOKUP(G559,AE:AE,'Tarievensheet per persoon'!AI:AI)</f>
        <v>1.3552</v>
      </c>
      <c r="R559">
        <v>0</v>
      </c>
      <c r="S559" s="14">
        <v>2.99</v>
      </c>
      <c r="T559" s="10">
        <f t="shared" si="89"/>
        <v>30.042724999999997</v>
      </c>
      <c r="U559" s="10">
        <f t="shared" si="90"/>
        <v>38.244920539999995</v>
      </c>
      <c r="V559" s="10">
        <f t="shared" si="91"/>
        <v>38.7420233</v>
      </c>
      <c r="W559" s="10">
        <f t="shared" si="92"/>
        <v>49.926835400000002</v>
      </c>
      <c r="X559" s="10">
        <f t="shared" si="93"/>
        <v>54.897863000000001</v>
      </c>
      <c r="Y559" s="10">
        <f t="shared" si="94"/>
        <v>79.753000999999998</v>
      </c>
      <c r="Z559" s="10">
        <f t="shared" si="95"/>
        <v>28.421254399999995</v>
      </c>
      <c r="AA559" s="10">
        <f t="shared" si="96"/>
        <v>36.541612800000003</v>
      </c>
      <c r="AB559" s="10">
        <f t="shared" si="97"/>
        <v>40.601792000000003</v>
      </c>
      <c r="AC559" s="10">
        <f t="shared" si="98"/>
        <v>60.902687999999998</v>
      </c>
    </row>
    <row r="560" spans="1:29" x14ac:dyDescent="0.25">
      <c r="A560">
        <v>441218</v>
      </c>
      <c r="B560" t="s">
        <v>151</v>
      </c>
      <c r="C560" s="10">
        <v>15.89</v>
      </c>
      <c r="D560" s="10">
        <v>14.98</v>
      </c>
      <c r="E560" s="10">
        <v>0</v>
      </c>
      <c r="F560">
        <v>28</v>
      </c>
      <c r="G560" t="s">
        <v>15</v>
      </c>
      <c r="H560" s="11">
        <v>45985</v>
      </c>
      <c r="I560" t="s">
        <v>13</v>
      </c>
      <c r="J560" s="12">
        <v>9</v>
      </c>
      <c r="K560" s="3">
        <v>270.36</v>
      </c>
      <c r="L560" s="3">
        <f t="shared" si="88"/>
        <v>30.040000000000003</v>
      </c>
      <c r="M560" s="13"/>
      <c r="N560">
        <f>_xlfn.XLOOKUP(G560,'Tarievensheet per persoon'!AE:AE,'Tarievensheet per persoon'!AF:AF)</f>
        <v>1.7024999999999999</v>
      </c>
      <c r="O560">
        <f>_xlfn.XLOOKUP(G560,AE:AE,'Tarievensheet per persoon'!AG:AG)</f>
        <v>1.5642</v>
      </c>
      <c r="P560">
        <f>_xlfn.XLOOKUP(G560,AE:AE,'Tarievensheet per persoon'!AH:AH)</f>
        <v>1.3552</v>
      </c>
      <c r="Q560">
        <f>_xlfn.XLOOKUP(G560,AE:AE,'Tarievensheet per persoon'!AI:AI)</f>
        <v>1.3552</v>
      </c>
      <c r="R560">
        <v>0</v>
      </c>
      <c r="S560" s="14">
        <v>2.99</v>
      </c>
      <c r="T560" s="10">
        <f t="shared" si="89"/>
        <v>30.042724999999997</v>
      </c>
      <c r="U560" s="10">
        <f t="shared" si="90"/>
        <v>38.244920539999995</v>
      </c>
      <c r="V560" s="10">
        <f t="shared" si="91"/>
        <v>38.7420233</v>
      </c>
      <c r="W560" s="10">
        <f t="shared" si="92"/>
        <v>49.926835400000002</v>
      </c>
      <c r="X560" s="10">
        <f t="shared" si="93"/>
        <v>54.897863000000001</v>
      </c>
      <c r="Y560" s="10">
        <f t="shared" si="94"/>
        <v>79.753000999999998</v>
      </c>
      <c r="Z560" s="10">
        <f t="shared" si="95"/>
        <v>28.421254399999995</v>
      </c>
      <c r="AA560" s="10">
        <f t="shared" si="96"/>
        <v>36.541612800000003</v>
      </c>
      <c r="AB560" s="10">
        <f t="shared" si="97"/>
        <v>40.601792000000003</v>
      </c>
      <c r="AC560" s="10">
        <f t="shared" si="98"/>
        <v>60.902687999999998</v>
      </c>
    </row>
    <row r="561" spans="1:29" x14ac:dyDescent="0.25">
      <c r="A561">
        <v>441218</v>
      </c>
      <c r="B561" t="s">
        <v>151</v>
      </c>
      <c r="C561" s="10">
        <v>15.89</v>
      </c>
      <c r="D561" s="10">
        <v>14.98</v>
      </c>
      <c r="E561" s="10">
        <v>0</v>
      </c>
      <c r="F561">
        <v>28</v>
      </c>
      <c r="G561" t="s">
        <v>15</v>
      </c>
      <c r="H561" s="11">
        <v>45986</v>
      </c>
      <c r="I561" t="s">
        <v>13</v>
      </c>
      <c r="J561" s="12">
        <v>8</v>
      </c>
      <c r="K561" s="3">
        <v>240.32</v>
      </c>
      <c r="L561" s="3">
        <f t="shared" si="88"/>
        <v>30.04</v>
      </c>
      <c r="M561" s="13"/>
      <c r="N561">
        <f>_xlfn.XLOOKUP(G561,'Tarievensheet per persoon'!AE:AE,'Tarievensheet per persoon'!AF:AF)</f>
        <v>1.7024999999999999</v>
      </c>
      <c r="O561">
        <f>_xlfn.XLOOKUP(G561,AE:AE,'Tarievensheet per persoon'!AG:AG)</f>
        <v>1.5642</v>
      </c>
      <c r="P561">
        <f>_xlfn.XLOOKUP(G561,AE:AE,'Tarievensheet per persoon'!AH:AH)</f>
        <v>1.3552</v>
      </c>
      <c r="Q561">
        <f>_xlfn.XLOOKUP(G561,AE:AE,'Tarievensheet per persoon'!AI:AI)</f>
        <v>1.3552</v>
      </c>
      <c r="R561">
        <v>0</v>
      </c>
      <c r="S561" s="14">
        <v>2.99</v>
      </c>
      <c r="T561" s="10">
        <f t="shared" si="89"/>
        <v>30.042724999999997</v>
      </c>
      <c r="U561" s="10">
        <f t="shared" si="90"/>
        <v>38.244920539999995</v>
      </c>
      <c r="V561" s="10">
        <f t="shared" si="91"/>
        <v>38.7420233</v>
      </c>
      <c r="W561" s="10">
        <f t="shared" si="92"/>
        <v>49.926835400000002</v>
      </c>
      <c r="X561" s="10">
        <f t="shared" si="93"/>
        <v>54.897863000000001</v>
      </c>
      <c r="Y561" s="10">
        <f t="shared" si="94"/>
        <v>79.753000999999998</v>
      </c>
      <c r="Z561" s="10">
        <f t="shared" si="95"/>
        <v>28.421254399999995</v>
      </c>
      <c r="AA561" s="10">
        <f t="shared" si="96"/>
        <v>36.541612800000003</v>
      </c>
      <c r="AB561" s="10">
        <f t="shared" si="97"/>
        <v>40.601792000000003</v>
      </c>
      <c r="AC561" s="10">
        <f t="shared" si="98"/>
        <v>60.902687999999998</v>
      </c>
    </row>
    <row r="562" spans="1:29" x14ac:dyDescent="0.25">
      <c r="A562">
        <v>441218</v>
      </c>
      <c r="B562" t="s">
        <v>151</v>
      </c>
      <c r="C562" s="10">
        <v>15.89</v>
      </c>
      <c r="D562" s="10">
        <v>14.98</v>
      </c>
      <c r="E562" s="10">
        <v>0</v>
      </c>
      <c r="F562">
        <v>28</v>
      </c>
      <c r="G562" t="s">
        <v>15</v>
      </c>
      <c r="H562" s="11">
        <v>45987</v>
      </c>
      <c r="I562" t="s">
        <v>13</v>
      </c>
      <c r="J562" s="12">
        <v>7</v>
      </c>
      <c r="K562" s="3">
        <v>210.28</v>
      </c>
      <c r="L562" s="3">
        <f t="shared" si="88"/>
        <v>30.04</v>
      </c>
      <c r="M562" s="13"/>
      <c r="N562">
        <f>_xlfn.XLOOKUP(G562,'Tarievensheet per persoon'!AE:AE,'Tarievensheet per persoon'!AF:AF)</f>
        <v>1.7024999999999999</v>
      </c>
      <c r="O562">
        <f>_xlfn.XLOOKUP(G562,AE:AE,'Tarievensheet per persoon'!AG:AG)</f>
        <v>1.5642</v>
      </c>
      <c r="P562">
        <f>_xlfn.XLOOKUP(G562,AE:AE,'Tarievensheet per persoon'!AH:AH)</f>
        <v>1.3552</v>
      </c>
      <c r="Q562">
        <f>_xlfn.XLOOKUP(G562,AE:AE,'Tarievensheet per persoon'!AI:AI)</f>
        <v>1.3552</v>
      </c>
      <c r="R562">
        <v>0</v>
      </c>
      <c r="S562" s="14">
        <v>2.99</v>
      </c>
      <c r="T562" s="10">
        <f t="shared" si="89"/>
        <v>30.042724999999997</v>
      </c>
      <c r="U562" s="10">
        <f t="shared" si="90"/>
        <v>38.244920539999995</v>
      </c>
      <c r="V562" s="10">
        <f t="shared" si="91"/>
        <v>38.7420233</v>
      </c>
      <c r="W562" s="10">
        <f t="shared" si="92"/>
        <v>49.926835400000002</v>
      </c>
      <c r="X562" s="10">
        <f t="shared" si="93"/>
        <v>54.897863000000001</v>
      </c>
      <c r="Y562" s="10">
        <f t="shared" si="94"/>
        <v>79.753000999999998</v>
      </c>
      <c r="Z562" s="10">
        <f t="shared" si="95"/>
        <v>28.421254399999995</v>
      </c>
      <c r="AA562" s="10">
        <f t="shared" si="96"/>
        <v>36.541612800000003</v>
      </c>
      <c r="AB562" s="10">
        <f t="shared" si="97"/>
        <v>40.601792000000003</v>
      </c>
      <c r="AC562" s="10">
        <f t="shared" si="98"/>
        <v>60.902687999999998</v>
      </c>
    </row>
    <row r="563" spans="1:29" x14ac:dyDescent="0.25">
      <c r="A563">
        <v>441218</v>
      </c>
      <c r="B563" t="s">
        <v>151</v>
      </c>
      <c r="C563" s="10">
        <v>15.89</v>
      </c>
      <c r="D563" s="10">
        <v>14.98</v>
      </c>
      <c r="E563" s="10">
        <v>0</v>
      </c>
      <c r="F563">
        <v>28</v>
      </c>
      <c r="G563" t="s">
        <v>15</v>
      </c>
      <c r="H563" s="11">
        <v>45987</v>
      </c>
      <c r="I563" t="s">
        <v>23</v>
      </c>
      <c r="J563" s="12">
        <v>0.5</v>
      </c>
      <c r="K563" s="3">
        <v>14.21</v>
      </c>
      <c r="L563" s="3">
        <f t="shared" si="88"/>
        <v>28.42</v>
      </c>
      <c r="M563" s="13"/>
      <c r="N563">
        <f>_xlfn.XLOOKUP(G563,'Tarievensheet per persoon'!AE:AE,'Tarievensheet per persoon'!AF:AF)</f>
        <v>1.7024999999999999</v>
      </c>
      <c r="O563">
        <f>_xlfn.XLOOKUP(G563,AE:AE,'Tarievensheet per persoon'!AG:AG)</f>
        <v>1.5642</v>
      </c>
      <c r="P563">
        <f>_xlfn.XLOOKUP(G563,AE:AE,'Tarievensheet per persoon'!AH:AH)</f>
        <v>1.3552</v>
      </c>
      <c r="Q563">
        <f>_xlfn.XLOOKUP(G563,AE:AE,'Tarievensheet per persoon'!AI:AI)</f>
        <v>1.3552</v>
      </c>
      <c r="R563">
        <v>0</v>
      </c>
      <c r="S563" s="14">
        <v>2.99</v>
      </c>
      <c r="T563" s="10">
        <f t="shared" si="89"/>
        <v>30.042724999999997</v>
      </c>
      <c r="U563" s="10">
        <f t="shared" si="90"/>
        <v>38.244920539999995</v>
      </c>
      <c r="V563" s="10">
        <f t="shared" si="91"/>
        <v>38.7420233</v>
      </c>
      <c r="W563" s="10">
        <f t="shared" si="92"/>
        <v>49.926835400000002</v>
      </c>
      <c r="X563" s="10">
        <f t="shared" si="93"/>
        <v>54.897863000000001</v>
      </c>
      <c r="Y563" s="10">
        <f t="shared" si="94"/>
        <v>79.753000999999998</v>
      </c>
      <c r="Z563" s="10">
        <f t="shared" si="95"/>
        <v>28.421254399999995</v>
      </c>
      <c r="AA563" s="10">
        <f t="shared" si="96"/>
        <v>36.541612800000003</v>
      </c>
      <c r="AB563" s="10">
        <f t="shared" si="97"/>
        <v>40.601792000000003</v>
      </c>
      <c r="AC563" s="10">
        <f t="shared" si="98"/>
        <v>60.902687999999998</v>
      </c>
    </row>
    <row r="564" spans="1:29" x14ac:dyDescent="0.25">
      <c r="A564">
        <v>441218</v>
      </c>
      <c r="B564" t="s">
        <v>151</v>
      </c>
      <c r="C564" s="10">
        <v>15.89</v>
      </c>
      <c r="D564" s="10">
        <v>14.98</v>
      </c>
      <c r="E564" s="10">
        <v>0</v>
      </c>
      <c r="F564">
        <v>28</v>
      </c>
      <c r="G564" t="s">
        <v>15</v>
      </c>
      <c r="H564" s="11">
        <v>45988</v>
      </c>
      <c r="I564" t="s">
        <v>13</v>
      </c>
      <c r="J564" s="12">
        <v>8</v>
      </c>
      <c r="K564" s="3">
        <v>240.32</v>
      </c>
      <c r="L564" s="3">
        <f t="shared" si="88"/>
        <v>30.04</v>
      </c>
      <c r="M564" s="13"/>
      <c r="N564">
        <f>_xlfn.XLOOKUP(G564,'Tarievensheet per persoon'!AE:AE,'Tarievensheet per persoon'!AF:AF)</f>
        <v>1.7024999999999999</v>
      </c>
      <c r="O564">
        <f>_xlfn.XLOOKUP(G564,AE:AE,'Tarievensheet per persoon'!AG:AG)</f>
        <v>1.5642</v>
      </c>
      <c r="P564">
        <f>_xlfn.XLOOKUP(G564,AE:AE,'Tarievensheet per persoon'!AH:AH)</f>
        <v>1.3552</v>
      </c>
      <c r="Q564">
        <f>_xlfn.XLOOKUP(G564,AE:AE,'Tarievensheet per persoon'!AI:AI)</f>
        <v>1.3552</v>
      </c>
      <c r="R564">
        <v>0</v>
      </c>
      <c r="S564" s="14">
        <v>2.99</v>
      </c>
      <c r="T564" s="10">
        <f t="shared" si="89"/>
        <v>30.042724999999997</v>
      </c>
      <c r="U564" s="10">
        <f t="shared" si="90"/>
        <v>38.244920539999995</v>
      </c>
      <c r="V564" s="10">
        <f t="shared" si="91"/>
        <v>38.7420233</v>
      </c>
      <c r="W564" s="10">
        <f t="shared" si="92"/>
        <v>49.926835400000002</v>
      </c>
      <c r="X564" s="10">
        <f t="shared" si="93"/>
        <v>54.897863000000001</v>
      </c>
      <c r="Y564" s="10">
        <f t="shared" si="94"/>
        <v>79.753000999999998</v>
      </c>
      <c r="Z564" s="10">
        <f t="shared" si="95"/>
        <v>28.421254399999995</v>
      </c>
      <c r="AA564" s="10">
        <f t="shared" si="96"/>
        <v>36.541612800000003</v>
      </c>
      <c r="AB564" s="10">
        <f t="shared" si="97"/>
        <v>40.601792000000003</v>
      </c>
      <c r="AC564" s="10">
        <f t="shared" si="98"/>
        <v>60.902687999999998</v>
      </c>
    </row>
    <row r="565" spans="1:29" x14ac:dyDescent="0.25">
      <c r="A565">
        <v>441218</v>
      </c>
      <c r="B565" t="s">
        <v>151</v>
      </c>
      <c r="C565" s="10">
        <v>15.89</v>
      </c>
      <c r="D565" s="10">
        <v>14.98</v>
      </c>
      <c r="E565" s="10">
        <v>0</v>
      </c>
      <c r="F565">
        <v>28</v>
      </c>
      <c r="G565" t="s">
        <v>15</v>
      </c>
      <c r="H565" s="11">
        <v>45989</v>
      </c>
      <c r="I565" t="s">
        <v>13</v>
      </c>
      <c r="J565" s="12">
        <v>8</v>
      </c>
      <c r="K565" s="3">
        <v>240.32</v>
      </c>
      <c r="L565" s="3">
        <f t="shared" si="88"/>
        <v>30.04</v>
      </c>
      <c r="M565" s="13"/>
      <c r="N565">
        <f>_xlfn.XLOOKUP(G565,'Tarievensheet per persoon'!AE:AE,'Tarievensheet per persoon'!AF:AF)</f>
        <v>1.7024999999999999</v>
      </c>
      <c r="O565">
        <f>_xlfn.XLOOKUP(G565,AE:AE,'Tarievensheet per persoon'!AG:AG)</f>
        <v>1.5642</v>
      </c>
      <c r="P565">
        <f>_xlfn.XLOOKUP(G565,AE:AE,'Tarievensheet per persoon'!AH:AH)</f>
        <v>1.3552</v>
      </c>
      <c r="Q565">
        <f>_xlfn.XLOOKUP(G565,AE:AE,'Tarievensheet per persoon'!AI:AI)</f>
        <v>1.3552</v>
      </c>
      <c r="R565">
        <v>0</v>
      </c>
      <c r="S565" s="14">
        <v>2.99</v>
      </c>
      <c r="T565" s="10">
        <f t="shared" si="89"/>
        <v>30.042724999999997</v>
      </c>
      <c r="U565" s="10">
        <f t="shared" si="90"/>
        <v>38.244920539999995</v>
      </c>
      <c r="V565" s="10">
        <f t="shared" si="91"/>
        <v>38.7420233</v>
      </c>
      <c r="W565" s="10">
        <f t="shared" si="92"/>
        <v>49.926835400000002</v>
      </c>
      <c r="X565" s="10">
        <f t="shared" si="93"/>
        <v>54.897863000000001</v>
      </c>
      <c r="Y565" s="10">
        <f t="shared" si="94"/>
        <v>79.753000999999998</v>
      </c>
      <c r="Z565" s="10">
        <f t="shared" si="95"/>
        <v>28.421254399999995</v>
      </c>
      <c r="AA565" s="10">
        <f t="shared" si="96"/>
        <v>36.541612800000003</v>
      </c>
      <c r="AB565" s="10">
        <f t="shared" si="97"/>
        <v>40.601792000000003</v>
      </c>
      <c r="AC565" s="10">
        <f t="shared" si="98"/>
        <v>60.902687999999998</v>
      </c>
    </row>
    <row r="566" spans="1:29" x14ac:dyDescent="0.25">
      <c r="A566">
        <v>441264</v>
      </c>
      <c r="B566" t="s">
        <v>120</v>
      </c>
      <c r="C566" s="10">
        <v>16.91</v>
      </c>
      <c r="D566" s="10">
        <v>15.94</v>
      </c>
      <c r="E566" s="10">
        <v>0</v>
      </c>
      <c r="F566">
        <v>27</v>
      </c>
      <c r="G566" t="s">
        <v>15</v>
      </c>
      <c r="H566" s="11">
        <v>45985</v>
      </c>
      <c r="I566" t="s">
        <v>13</v>
      </c>
      <c r="J566" s="12">
        <v>9</v>
      </c>
      <c r="K566" s="3">
        <v>286.02</v>
      </c>
      <c r="L566" s="3">
        <f t="shared" si="88"/>
        <v>31.779999999999998</v>
      </c>
      <c r="M566" s="13"/>
      <c r="N566">
        <f>_xlfn.XLOOKUP(G566,'Tarievensheet per persoon'!AE:AE,'Tarievensheet per persoon'!AF:AF)</f>
        <v>1.7024999999999999</v>
      </c>
      <c r="O566">
        <f>_xlfn.XLOOKUP(G566,AE:AE,'Tarievensheet per persoon'!AG:AG)</f>
        <v>1.5642</v>
      </c>
      <c r="P566">
        <f>_xlfn.XLOOKUP(G566,AE:AE,'Tarievensheet per persoon'!AH:AH)</f>
        <v>1.3552</v>
      </c>
      <c r="Q566">
        <f>_xlfn.XLOOKUP(G566,AE:AE,'Tarievensheet per persoon'!AI:AI)</f>
        <v>1.3552</v>
      </c>
      <c r="R566">
        <v>0</v>
      </c>
      <c r="S566" s="14">
        <v>2.99</v>
      </c>
      <c r="T566" s="10">
        <f t="shared" si="89"/>
        <v>31.779274999999998</v>
      </c>
      <c r="U566" s="10">
        <f t="shared" si="90"/>
        <v>40.507980259999997</v>
      </c>
      <c r="V566" s="10">
        <f t="shared" si="91"/>
        <v>41.036992699999999</v>
      </c>
      <c r="W566" s="10">
        <f t="shared" si="92"/>
        <v>52.939772599999998</v>
      </c>
      <c r="X566" s="10">
        <f t="shared" si="93"/>
        <v>58.229896999999994</v>
      </c>
      <c r="Y566" s="10">
        <f t="shared" si="94"/>
        <v>84.680519000000004</v>
      </c>
      <c r="Z566" s="10">
        <f t="shared" si="95"/>
        <v>30.242643199999996</v>
      </c>
      <c r="AA566" s="10">
        <f t="shared" si="96"/>
        <v>38.883398399999997</v>
      </c>
      <c r="AB566" s="10">
        <f t="shared" si="97"/>
        <v>43.203775999999998</v>
      </c>
      <c r="AC566" s="10">
        <f t="shared" si="98"/>
        <v>64.805663999999993</v>
      </c>
    </row>
    <row r="567" spans="1:29" x14ac:dyDescent="0.25">
      <c r="A567">
        <v>441264</v>
      </c>
      <c r="B567" t="s">
        <v>120</v>
      </c>
      <c r="C567" s="10">
        <v>16.91</v>
      </c>
      <c r="D567" s="10">
        <v>15.94</v>
      </c>
      <c r="E567" s="10">
        <v>0</v>
      </c>
      <c r="F567">
        <v>27</v>
      </c>
      <c r="G567" t="s">
        <v>15</v>
      </c>
      <c r="H567" s="11">
        <v>45986</v>
      </c>
      <c r="I567" t="s">
        <v>13</v>
      </c>
      <c r="J567" s="12">
        <v>9</v>
      </c>
      <c r="K567" s="3">
        <v>286.02</v>
      </c>
      <c r="L567" s="3">
        <f t="shared" si="88"/>
        <v>31.779999999999998</v>
      </c>
      <c r="M567" s="13"/>
      <c r="N567">
        <f>_xlfn.XLOOKUP(G567,'Tarievensheet per persoon'!AE:AE,'Tarievensheet per persoon'!AF:AF)</f>
        <v>1.7024999999999999</v>
      </c>
      <c r="O567">
        <f>_xlfn.XLOOKUP(G567,AE:AE,'Tarievensheet per persoon'!AG:AG)</f>
        <v>1.5642</v>
      </c>
      <c r="P567">
        <f>_xlfn.XLOOKUP(G567,AE:AE,'Tarievensheet per persoon'!AH:AH)</f>
        <v>1.3552</v>
      </c>
      <c r="Q567">
        <f>_xlfn.XLOOKUP(G567,AE:AE,'Tarievensheet per persoon'!AI:AI)</f>
        <v>1.3552</v>
      </c>
      <c r="R567">
        <v>0</v>
      </c>
      <c r="S567" s="14">
        <v>2.99</v>
      </c>
      <c r="T567" s="10">
        <f t="shared" si="89"/>
        <v>31.779274999999998</v>
      </c>
      <c r="U567" s="10">
        <f t="shared" si="90"/>
        <v>40.507980259999997</v>
      </c>
      <c r="V567" s="10">
        <f t="shared" si="91"/>
        <v>41.036992699999999</v>
      </c>
      <c r="W567" s="10">
        <f t="shared" si="92"/>
        <v>52.939772599999998</v>
      </c>
      <c r="X567" s="10">
        <f t="shared" si="93"/>
        <v>58.229896999999994</v>
      </c>
      <c r="Y567" s="10">
        <f t="shared" si="94"/>
        <v>84.680519000000004</v>
      </c>
      <c r="Z567" s="10">
        <f t="shared" si="95"/>
        <v>30.242643199999996</v>
      </c>
      <c r="AA567" s="10">
        <f t="shared" si="96"/>
        <v>38.883398399999997</v>
      </c>
      <c r="AB567" s="10">
        <f t="shared" si="97"/>
        <v>43.203775999999998</v>
      </c>
      <c r="AC567" s="10">
        <f t="shared" si="98"/>
        <v>64.805663999999993</v>
      </c>
    </row>
    <row r="568" spans="1:29" x14ac:dyDescent="0.25">
      <c r="A568">
        <v>441264</v>
      </c>
      <c r="B568" t="s">
        <v>120</v>
      </c>
      <c r="C568" s="10">
        <v>16.91</v>
      </c>
      <c r="D568" s="10">
        <v>15.94</v>
      </c>
      <c r="E568" s="10">
        <v>0</v>
      </c>
      <c r="F568">
        <v>27</v>
      </c>
      <c r="G568" t="s">
        <v>15</v>
      </c>
      <c r="H568" s="11">
        <v>45987</v>
      </c>
      <c r="I568" t="s">
        <v>13</v>
      </c>
      <c r="J568" s="12">
        <v>8.25</v>
      </c>
      <c r="K568" s="3">
        <v>262.19</v>
      </c>
      <c r="L568" s="3">
        <f t="shared" si="88"/>
        <v>31.780606060606061</v>
      </c>
      <c r="M568" s="13"/>
      <c r="N568">
        <f>_xlfn.XLOOKUP(G568,'Tarievensheet per persoon'!AE:AE,'Tarievensheet per persoon'!AF:AF)</f>
        <v>1.7024999999999999</v>
      </c>
      <c r="O568">
        <f>_xlfn.XLOOKUP(G568,AE:AE,'Tarievensheet per persoon'!AG:AG)</f>
        <v>1.5642</v>
      </c>
      <c r="P568">
        <f>_xlfn.XLOOKUP(G568,AE:AE,'Tarievensheet per persoon'!AH:AH)</f>
        <v>1.3552</v>
      </c>
      <c r="Q568">
        <f>_xlfn.XLOOKUP(G568,AE:AE,'Tarievensheet per persoon'!AI:AI)</f>
        <v>1.3552</v>
      </c>
      <c r="R568">
        <v>0</v>
      </c>
      <c r="S568" s="14">
        <v>2.99</v>
      </c>
      <c r="T568" s="10">
        <f t="shared" si="89"/>
        <v>31.779274999999998</v>
      </c>
      <c r="U568" s="10">
        <f t="shared" si="90"/>
        <v>40.507980259999997</v>
      </c>
      <c r="V568" s="10">
        <f t="shared" si="91"/>
        <v>41.036992699999999</v>
      </c>
      <c r="W568" s="10">
        <f t="shared" si="92"/>
        <v>52.939772599999998</v>
      </c>
      <c r="X568" s="10">
        <f t="shared" si="93"/>
        <v>58.229896999999994</v>
      </c>
      <c r="Y568" s="10">
        <f t="shared" si="94"/>
        <v>84.680519000000004</v>
      </c>
      <c r="Z568" s="10">
        <f t="shared" si="95"/>
        <v>30.242643199999996</v>
      </c>
      <c r="AA568" s="10">
        <f t="shared" si="96"/>
        <v>38.883398399999997</v>
      </c>
      <c r="AB568" s="10">
        <f t="shared" si="97"/>
        <v>43.203775999999998</v>
      </c>
      <c r="AC568" s="10">
        <f t="shared" si="98"/>
        <v>64.805663999999993</v>
      </c>
    </row>
    <row r="569" spans="1:29" x14ac:dyDescent="0.25">
      <c r="A569">
        <v>441264</v>
      </c>
      <c r="B569" t="s">
        <v>120</v>
      </c>
      <c r="C569" s="10">
        <v>16.91</v>
      </c>
      <c r="D569" s="10">
        <v>15.94</v>
      </c>
      <c r="E569" s="10">
        <v>0</v>
      </c>
      <c r="F569">
        <v>27</v>
      </c>
      <c r="G569" t="s">
        <v>15</v>
      </c>
      <c r="H569" s="11">
        <v>45988</v>
      </c>
      <c r="I569" t="s">
        <v>13</v>
      </c>
      <c r="J569" s="12">
        <v>9</v>
      </c>
      <c r="K569" s="3">
        <v>286.02</v>
      </c>
      <c r="L569" s="3">
        <f t="shared" si="88"/>
        <v>31.779999999999998</v>
      </c>
      <c r="M569" s="13"/>
      <c r="N569">
        <f>_xlfn.XLOOKUP(G569,'Tarievensheet per persoon'!AE:AE,'Tarievensheet per persoon'!AF:AF)</f>
        <v>1.7024999999999999</v>
      </c>
      <c r="O569">
        <f>_xlfn.XLOOKUP(G569,AE:AE,'Tarievensheet per persoon'!AG:AG)</f>
        <v>1.5642</v>
      </c>
      <c r="P569">
        <f>_xlfn.XLOOKUP(G569,AE:AE,'Tarievensheet per persoon'!AH:AH)</f>
        <v>1.3552</v>
      </c>
      <c r="Q569">
        <f>_xlfn.XLOOKUP(G569,AE:AE,'Tarievensheet per persoon'!AI:AI)</f>
        <v>1.3552</v>
      </c>
      <c r="R569">
        <v>0</v>
      </c>
      <c r="S569" s="14">
        <v>2.99</v>
      </c>
      <c r="T569" s="10">
        <f t="shared" si="89"/>
        <v>31.779274999999998</v>
      </c>
      <c r="U569" s="10">
        <f t="shared" si="90"/>
        <v>40.507980259999997</v>
      </c>
      <c r="V569" s="10">
        <f t="shared" si="91"/>
        <v>41.036992699999999</v>
      </c>
      <c r="W569" s="10">
        <f t="shared" si="92"/>
        <v>52.939772599999998</v>
      </c>
      <c r="X569" s="10">
        <f t="shared" si="93"/>
        <v>58.229896999999994</v>
      </c>
      <c r="Y569" s="10">
        <f t="shared" si="94"/>
        <v>84.680519000000004</v>
      </c>
      <c r="Z569" s="10">
        <f t="shared" si="95"/>
        <v>30.242643199999996</v>
      </c>
      <c r="AA569" s="10">
        <f t="shared" si="96"/>
        <v>38.883398399999997</v>
      </c>
      <c r="AB569" s="10">
        <f t="shared" si="97"/>
        <v>43.203775999999998</v>
      </c>
      <c r="AC569" s="10">
        <f t="shared" si="98"/>
        <v>64.805663999999993</v>
      </c>
    </row>
    <row r="570" spans="1:29" x14ac:dyDescent="0.25">
      <c r="A570">
        <v>441359</v>
      </c>
      <c r="B570" t="s">
        <v>121</v>
      </c>
      <c r="C570" s="10">
        <v>15.89</v>
      </c>
      <c r="D570" s="10">
        <v>14.98</v>
      </c>
      <c r="E570" s="10">
        <v>0</v>
      </c>
      <c r="F570">
        <v>28</v>
      </c>
      <c r="G570" t="s">
        <v>15</v>
      </c>
      <c r="H570" s="11">
        <v>45985</v>
      </c>
      <c r="I570" t="s">
        <v>13</v>
      </c>
      <c r="J570" s="12">
        <v>9.75</v>
      </c>
      <c r="K570" s="3">
        <v>292.89</v>
      </c>
      <c r="L570" s="3">
        <f t="shared" si="88"/>
        <v>30.04</v>
      </c>
      <c r="M570" s="13"/>
      <c r="N570">
        <f>_xlfn.XLOOKUP(G570,'Tarievensheet per persoon'!AE:AE,'Tarievensheet per persoon'!AF:AF)</f>
        <v>1.7024999999999999</v>
      </c>
      <c r="O570">
        <f>_xlfn.XLOOKUP(G570,AE:AE,'Tarievensheet per persoon'!AG:AG)</f>
        <v>1.5642</v>
      </c>
      <c r="P570">
        <f>_xlfn.XLOOKUP(G570,AE:AE,'Tarievensheet per persoon'!AH:AH)</f>
        <v>1.3552</v>
      </c>
      <c r="Q570">
        <f>_xlfn.XLOOKUP(G570,AE:AE,'Tarievensheet per persoon'!AI:AI)</f>
        <v>1.3552</v>
      </c>
      <c r="R570">
        <v>0</v>
      </c>
      <c r="S570" s="14">
        <v>2.99</v>
      </c>
      <c r="T570" s="10">
        <f t="shared" si="89"/>
        <v>30.042724999999997</v>
      </c>
      <c r="U570" s="10">
        <f t="shared" si="90"/>
        <v>38.244920539999995</v>
      </c>
      <c r="V570" s="10">
        <f t="shared" si="91"/>
        <v>38.7420233</v>
      </c>
      <c r="W570" s="10">
        <f t="shared" si="92"/>
        <v>49.926835400000002</v>
      </c>
      <c r="X570" s="10">
        <f t="shared" si="93"/>
        <v>54.897863000000001</v>
      </c>
      <c r="Y570" s="10">
        <f t="shared" si="94"/>
        <v>79.753000999999998</v>
      </c>
      <c r="Z570" s="10">
        <f t="shared" si="95"/>
        <v>28.421254399999995</v>
      </c>
      <c r="AA570" s="10">
        <f t="shared" si="96"/>
        <v>36.541612800000003</v>
      </c>
      <c r="AB570" s="10">
        <f t="shared" si="97"/>
        <v>40.601792000000003</v>
      </c>
      <c r="AC570" s="10">
        <f t="shared" si="98"/>
        <v>60.902687999999998</v>
      </c>
    </row>
    <row r="571" spans="1:29" x14ac:dyDescent="0.25">
      <c r="A571">
        <v>441359</v>
      </c>
      <c r="B571" t="s">
        <v>121</v>
      </c>
      <c r="C571" s="10">
        <v>15.89</v>
      </c>
      <c r="D571" s="10">
        <v>14.98</v>
      </c>
      <c r="E571" s="10">
        <v>0</v>
      </c>
      <c r="F571">
        <v>28</v>
      </c>
      <c r="G571" t="s">
        <v>15</v>
      </c>
      <c r="H571" s="11">
        <v>45985</v>
      </c>
      <c r="I571" t="s">
        <v>21</v>
      </c>
      <c r="J571" s="12">
        <v>0.75</v>
      </c>
      <c r="K571" s="3">
        <v>28.68</v>
      </c>
      <c r="L571" s="3">
        <f t="shared" si="88"/>
        <v>38.24</v>
      </c>
      <c r="M571" s="13"/>
      <c r="N571">
        <f>_xlfn.XLOOKUP(G571,'Tarievensheet per persoon'!AE:AE,'Tarievensheet per persoon'!AF:AF)</f>
        <v>1.7024999999999999</v>
      </c>
      <c r="O571">
        <f>_xlfn.XLOOKUP(G571,AE:AE,'Tarievensheet per persoon'!AG:AG)</f>
        <v>1.5642</v>
      </c>
      <c r="P571">
        <f>_xlfn.XLOOKUP(G571,AE:AE,'Tarievensheet per persoon'!AH:AH)</f>
        <v>1.3552</v>
      </c>
      <c r="Q571">
        <f>_xlfn.XLOOKUP(G571,AE:AE,'Tarievensheet per persoon'!AI:AI)</f>
        <v>1.3552</v>
      </c>
      <c r="R571">
        <v>0</v>
      </c>
      <c r="S571" s="14">
        <v>2.99</v>
      </c>
      <c r="T571" s="10">
        <f t="shared" si="89"/>
        <v>30.042724999999997</v>
      </c>
      <c r="U571" s="10">
        <f t="shared" si="90"/>
        <v>38.244920539999995</v>
      </c>
      <c r="V571" s="10">
        <f t="shared" si="91"/>
        <v>38.7420233</v>
      </c>
      <c r="W571" s="10">
        <f t="shared" si="92"/>
        <v>49.926835400000002</v>
      </c>
      <c r="X571" s="10">
        <f t="shared" si="93"/>
        <v>54.897863000000001</v>
      </c>
      <c r="Y571" s="10">
        <f t="shared" si="94"/>
        <v>79.753000999999998</v>
      </c>
      <c r="Z571" s="10">
        <f t="shared" si="95"/>
        <v>28.421254399999995</v>
      </c>
      <c r="AA571" s="10">
        <f t="shared" si="96"/>
        <v>36.541612800000003</v>
      </c>
      <c r="AB571" s="10">
        <f t="shared" si="97"/>
        <v>40.601792000000003</v>
      </c>
      <c r="AC571" s="10">
        <f t="shared" si="98"/>
        <v>60.902687999999998</v>
      </c>
    </row>
    <row r="572" spans="1:29" x14ac:dyDescent="0.25">
      <c r="A572">
        <v>441359</v>
      </c>
      <c r="B572" t="s">
        <v>121</v>
      </c>
      <c r="C572" s="10">
        <v>15.89</v>
      </c>
      <c r="D572" s="10">
        <v>14.98</v>
      </c>
      <c r="E572" s="10">
        <v>0</v>
      </c>
      <c r="F572">
        <v>28</v>
      </c>
      <c r="G572" t="s">
        <v>15</v>
      </c>
      <c r="H572" s="11">
        <v>45986</v>
      </c>
      <c r="I572" t="s">
        <v>13</v>
      </c>
      <c r="J572" s="12">
        <v>8</v>
      </c>
      <c r="K572" s="3">
        <v>240.32</v>
      </c>
      <c r="L572" s="3">
        <f t="shared" si="88"/>
        <v>30.04</v>
      </c>
      <c r="M572" s="13"/>
      <c r="N572">
        <f>_xlfn.XLOOKUP(G572,'Tarievensheet per persoon'!AE:AE,'Tarievensheet per persoon'!AF:AF)</f>
        <v>1.7024999999999999</v>
      </c>
      <c r="O572">
        <f>_xlfn.XLOOKUP(G572,AE:AE,'Tarievensheet per persoon'!AG:AG)</f>
        <v>1.5642</v>
      </c>
      <c r="P572">
        <f>_xlfn.XLOOKUP(G572,AE:AE,'Tarievensheet per persoon'!AH:AH)</f>
        <v>1.3552</v>
      </c>
      <c r="Q572">
        <f>_xlfn.XLOOKUP(G572,AE:AE,'Tarievensheet per persoon'!AI:AI)</f>
        <v>1.3552</v>
      </c>
      <c r="R572">
        <v>0</v>
      </c>
      <c r="S572" s="14">
        <v>2.99</v>
      </c>
      <c r="T572" s="10">
        <f t="shared" si="89"/>
        <v>30.042724999999997</v>
      </c>
      <c r="U572" s="10">
        <f t="shared" si="90"/>
        <v>38.244920539999995</v>
      </c>
      <c r="V572" s="10">
        <f t="shared" si="91"/>
        <v>38.7420233</v>
      </c>
      <c r="W572" s="10">
        <f t="shared" si="92"/>
        <v>49.926835400000002</v>
      </c>
      <c r="X572" s="10">
        <f t="shared" si="93"/>
        <v>54.897863000000001</v>
      </c>
      <c r="Y572" s="10">
        <f t="shared" si="94"/>
        <v>79.753000999999998</v>
      </c>
      <c r="Z572" s="10">
        <f t="shared" si="95"/>
        <v>28.421254399999995</v>
      </c>
      <c r="AA572" s="10">
        <f t="shared" si="96"/>
        <v>36.541612800000003</v>
      </c>
      <c r="AB572" s="10">
        <f t="shared" si="97"/>
        <v>40.601792000000003</v>
      </c>
      <c r="AC572" s="10">
        <f t="shared" si="98"/>
        <v>60.902687999999998</v>
      </c>
    </row>
    <row r="573" spans="1:29" x14ac:dyDescent="0.25">
      <c r="A573">
        <v>441359</v>
      </c>
      <c r="B573" t="s">
        <v>121</v>
      </c>
      <c r="C573" s="10">
        <v>15.89</v>
      </c>
      <c r="D573" s="10">
        <v>14.98</v>
      </c>
      <c r="E573" s="10">
        <v>0</v>
      </c>
      <c r="F573">
        <v>28</v>
      </c>
      <c r="G573" t="s">
        <v>15</v>
      </c>
      <c r="H573" s="11">
        <v>45987</v>
      </c>
      <c r="I573" t="s">
        <v>13</v>
      </c>
      <c r="J573" s="12">
        <v>7</v>
      </c>
      <c r="K573" s="3">
        <v>210.28</v>
      </c>
      <c r="L573" s="3">
        <f t="shared" si="88"/>
        <v>30.04</v>
      </c>
      <c r="M573" s="13"/>
      <c r="N573">
        <f>_xlfn.XLOOKUP(G573,'Tarievensheet per persoon'!AE:AE,'Tarievensheet per persoon'!AF:AF)</f>
        <v>1.7024999999999999</v>
      </c>
      <c r="O573">
        <f>_xlfn.XLOOKUP(G573,AE:AE,'Tarievensheet per persoon'!AG:AG)</f>
        <v>1.5642</v>
      </c>
      <c r="P573">
        <f>_xlfn.XLOOKUP(G573,AE:AE,'Tarievensheet per persoon'!AH:AH)</f>
        <v>1.3552</v>
      </c>
      <c r="Q573">
        <f>_xlfn.XLOOKUP(G573,AE:AE,'Tarievensheet per persoon'!AI:AI)</f>
        <v>1.3552</v>
      </c>
      <c r="R573">
        <v>0</v>
      </c>
      <c r="S573" s="14">
        <v>2.99</v>
      </c>
      <c r="T573" s="10">
        <f t="shared" si="89"/>
        <v>30.042724999999997</v>
      </c>
      <c r="U573" s="10">
        <f t="shared" si="90"/>
        <v>38.244920539999995</v>
      </c>
      <c r="V573" s="10">
        <f t="shared" si="91"/>
        <v>38.7420233</v>
      </c>
      <c r="W573" s="10">
        <f t="shared" si="92"/>
        <v>49.926835400000002</v>
      </c>
      <c r="X573" s="10">
        <f t="shared" si="93"/>
        <v>54.897863000000001</v>
      </c>
      <c r="Y573" s="10">
        <f t="shared" si="94"/>
        <v>79.753000999999998</v>
      </c>
      <c r="Z573" s="10">
        <f t="shared" si="95"/>
        <v>28.421254399999995</v>
      </c>
      <c r="AA573" s="10">
        <f t="shared" si="96"/>
        <v>36.541612800000003</v>
      </c>
      <c r="AB573" s="10">
        <f t="shared" si="97"/>
        <v>40.601792000000003</v>
      </c>
      <c r="AC573" s="10">
        <f t="shared" si="98"/>
        <v>60.902687999999998</v>
      </c>
    </row>
    <row r="574" spans="1:29" x14ac:dyDescent="0.25">
      <c r="A574">
        <v>441359</v>
      </c>
      <c r="B574" t="s">
        <v>121</v>
      </c>
      <c r="C574" s="10">
        <v>15.89</v>
      </c>
      <c r="D574" s="10">
        <v>14.98</v>
      </c>
      <c r="E574" s="10">
        <v>0</v>
      </c>
      <c r="F574">
        <v>28</v>
      </c>
      <c r="G574" t="s">
        <v>15</v>
      </c>
      <c r="H574" s="11">
        <v>45987</v>
      </c>
      <c r="I574" t="s">
        <v>23</v>
      </c>
      <c r="J574" s="12">
        <v>1</v>
      </c>
      <c r="K574" s="3">
        <v>28.42</v>
      </c>
      <c r="L574" s="3">
        <f t="shared" si="88"/>
        <v>28.42</v>
      </c>
      <c r="M574" s="13"/>
      <c r="N574">
        <f>_xlfn.XLOOKUP(G574,'Tarievensheet per persoon'!AE:AE,'Tarievensheet per persoon'!AF:AF)</f>
        <v>1.7024999999999999</v>
      </c>
      <c r="O574">
        <f>_xlfn.XLOOKUP(G574,AE:AE,'Tarievensheet per persoon'!AG:AG)</f>
        <v>1.5642</v>
      </c>
      <c r="P574">
        <f>_xlfn.XLOOKUP(G574,AE:AE,'Tarievensheet per persoon'!AH:AH)</f>
        <v>1.3552</v>
      </c>
      <c r="Q574">
        <f>_xlfn.XLOOKUP(G574,AE:AE,'Tarievensheet per persoon'!AI:AI)</f>
        <v>1.3552</v>
      </c>
      <c r="R574">
        <v>0</v>
      </c>
      <c r="S574" s="14">
        <v>2.99</v>
      </c>
      <c r="T574" s="10">
        <f t="shared" si="89"/>
        <v>30.042724999999997</v>
      </c>
      <c r="U574" s="10">
        <f t="shared" si="90"/>
        <v>38.244920539999995</v>
      </c>
      <c r="V574" s="10">
        <f t="shared" si="91"/>
        <v>38.7420233</v>
      </c>
      <c r="W574" s="10">
        <f t="shared" si="92"/>
        <v>49.926835400000002</v>
      </c>
      <c r="X574" s="10">
        <f t="shared" si="93"/>
        <v>54.897863000000001</v>
      </c>
      <c r="Y574" s="10">
        <f t="shared" si="94"/>
        <v>79.753000999999998</v>
      </c>
      <c r="Z574" s="10">
        <f t="shared" si="95"/>
        <v>28.421254399999995</v>
      </c>
      <c r="AA574" s="10">
        <f t="shared" si="96"/>
        <v>36.541612800000003</v>
      </c>
      <c r="AB574" s="10">
        <f t="shared" si="97"/>
        <v>40.601792000000003</v>
      </c>
      <c r="AC574" s="10">
        <f t="shared" si="98"/>
        <v>60.902687999999998</v>
      </c>
    </row>
    <row r="575" spans="1:29" x14ac:dyDescent="0.25">
      <c r="A575">
        <v>441359</v>
      </c>
      <c r="B575" t="s">
        <v>121</v>
      </c>
      <c r="C575" s="10">
        <v>15.89</v>
      </c>
      <c r="D575" s="10">
        <v>14.98</v>
      </c>
      <c r="E575" s="10">
        <v>0</v>
      </c>
      <c r="F575">
        <v>28</v>
      </c>
      <c r="G575" t="s">
        <v>15</v>
      </c>
      <c r="H575" s="11">
        <v>45988</v>
      </c>
      <c r="I575" t="s">
        <v>13</v>
      </c>
      <c r="J575" s="12">
        <v>8</v>
      </c>
      <c r="K575" s="3">
        <v>240.32</v>
      </c>
      <c r="L575" s="3">
        <f t="shared" si="88"/>
        <v>30.04</v>
      </c>
      <c r="M575" s="13"/>
      <c r="N575">
        <f>_xlfn.XLOOKUP(G575,'Tarievensheet per persoon'!AE:AE,'Tarievensheet per persoon'!AF:AF)</f>
        <v>1.7024999999999999</v>
      </c>
      <c r="O575">
        <f>_xlfn.XLOOKUP(G575,AE:AE,'Tarievensheet per persoon'!AG:AG)</f>
        <v>1.5642</v>
      </c>
      <c r="P575">
        <f>_xlfn.XLOOKUP(G575,AE:AE,'Tarievensheet per persoon'!AH:AH)</f>
        <v>1.3552</v>
      </c>
      <c r="Q575">
        <f>_xlfn.XLOOKUP(G575,AE:AE,'Tarievensheet per persoon'!AI:AI)</f>
        <v>1.3552</v>
      </c>
      <c r="R575">
        <v>0</v>
      </c>
      <c r="S575" s="14">
        <v>2.99</v>
      </c>
      <c r="T575" s="10">
        <f t="shared" si="89"/>
        <v>30.042724999999997</v>
      </c>
      <c r="U575" s="10">
        <f t="shared" si="90"/>
        <v>38.244920539999995</v>
      </c>
      <c r="V575" s="10">
        <f t="shared" si="91"/>
        <v>38.7420233</v>
      </c>
      <c r="W575" s="10">
        <f t="shared" si="92"/>
        <v>49.926835400000002</v>
      </c>
      <c r="X575" s="10">
        <f t="shared" si="93"/>
        <v>54.897863000000001</v>
      </c>
      <c r="Y575" s="10">
        <f t="shared" si="94"/>
        <v>79.753000999999998</v>
      </c>
      <c r="Z575" s="10">
        <f t="shared" si="95"/>
        <v>28.421254399999995</v>
      </c>
      <c r="AA575" s="10">
        <f t="shared" si="96"/>
        <v>36.541612800000003</v>
      </c>
      <c r="AB575" s="10">
        <f t="shared" si="97"/>
        <v>40.601792000000003</v>
      </c>
      <c r="AC575" s="10">
        <f t="shared" si="98"/>
        <v>60.902687999999998</v>
      </c>
    </row>
    <row r="576" spans="1:29" x14ac:dyDescent="0.25">
      <c r="A576">
        <v>441359</v>
      </c>
      <c r="B576" t="s">
        <v>121</v>
      </c>
      <c r="C576" s="10">
        <v>15.89</v>
      </c>
      <c r="D576" s="10">
        <v>14.98</v>
      </c>
      <c r="E576" s="10">
        <v>0</v>
      </c>
      <c r="F576">
        <v>28</v>
      </c>
      <c r="G576" t="s">
        <v>15</v>
      </c>
      <c r="H576" s="11">
        <v>45989</v>
      </c>
      <c r="I576" t="s">
        <v>13</v>
      </c>
      <c r="J576" s="12">
        <v>6.5</v>
      </c>
      <c r="K576" s="3">
        <v>195.26</v>
      </c>
      <c r="L576" s="3">
        <f t="shared" si="88"/>
        <v>30.04</v>
      </c>
      <c r="M576" s="13"/>
      <c r="N576">
        <f>_xlfn.XLOOKUP(G576,'Tarievensheet per persoon'!AE:AE,'Tarievensheet per persoon'!AF:AF)</f>
        <v>1.7024999999999999</v>
      </c>
      <c r="O576">
        <f>_xlfn.XLOOKUP(G576,AE:AE,'Tarievensheet per persoon'!AG:AG)</f>
        <v>1.5642</v>
      </c>
      <c r="P576">
        <f>_xlfn.XLOOKUP(G576,AE:AE,'Tarievensheet per persoon'!AH:AH)</f>
        <v>1.3552</v>
      </c>
      <c r="Q576">
        <f>_xlfn.XLOOKUP(G576,AE:AE,'Tarievensheet per persoon'!AI:AI)</f>
        <v>1.3552</v>
      </c>
      <c r="R576">
        <v>0</v>
      </c>
      <c r="S576" s="14">
        <v>2.99</v>
      </c>
      <c r="T576" s="10">
        <f t="shared" si="89"/>
        <v>30.042724999999997</v>
      </c>
      <c r="U576" s="10">
        <f t="shared" si="90"/>
        <v>38.244920539999995</v>
      </c>
      <c r="V576" s="10">
        <f t="shared" si="91"/>
        <v>38.7420233</v>
      </c>
      <c r="W576" s="10">
        <f t="shared" si="92"/>
        <v>49.926835400000002</v>
      </c>
      <c r="X576" s="10">
        <f t="shared" si="93"/>
        <v>54.897863000000001</v>
      </c>
      <c r="Y576" s="10">
        <f t="shared" si="94"/>
        <v>79.753000999999998</v>
      </c>
      <c r="Z576" s="10">
        <f t="shared" si="95"/>
        <v>28.421254399999995</v>
      </c>
      <c r="AA576" s="10">
        <f t="shared" si="96"/>
        <v>36.541612800000003</v>
      </c>
      <c r="AB576" s="10">
        <f t="shared" si="97"/>
        <v>40.601792000000003</v>
      </c>
      <c r="AC576" s="10">
        <f t="shared" si="98"/>
        <v>60.902687999999998</v>
      </c>
    </row>
    <row r="577" spans="1:29" x14ac:dyDescent="0.25">
      <c r="A577">
        <v>441763</v>
      </c>
      <c r="B577" t="s">
        <v>73</v>
      </c>
      <c r="C577" s="10">
        <v>15.89</v>
      </c>
      <c r="D577" s="10">
        <v>14.98</v>
      </c>
      <c r="E577" s="10">
        <v>0</v>
      </c>
      <c r="F577">
        <v>26</v>
      </c>
      <c r="G577" t="s">
        <v>15</v>
      </c>
      <c r="H577" s="11">
        <v>45985</v>
      </c>
      <c r="I577" t="s">
        <v>13</v>
      </c>
      <c r="J577" s="12">
        <v>2.25</v>
      </c>
      <c r="K577" s="3">
        <v>67.59</v>
      </c>
      <c r="L577" s="3">
        <f t="shared" si="88"/>
        <v>30.040000000000003</v>
      </c>
      <c r="M577" s="13"/>
      <c r="N577">
        <f>_xlfn.XLOOKUP(G577,'Tarievensheet per persoon'!AE:AE,'Tarievensheet per persoon'!AF:AF)</f>
        <v>1.7024999999999999</v>
      </c>
      <c r="O577">
        <f>_xlfn.XLOOKUP(G577,AE:AE,'Tarievensheet per persoon'!AG:AG)</f>
        <v>1.5642</v>
      </c>
      <c r="P577">
        <f>_xlfn.XLOOKUP(G577,AE:AE,'Tarievensheet per persoon'!AH:AH)</f>
        <v>1.3552</v>
      </c>
      <c r="Q577">
        <f>_xlfn.XLOOKUP(G577,AE:AE,'Tarievensheet per persoon'!AI:AI)</f>
        <v>1.3552</v>
      </c>
      <c r="R577">
        <v>0</v>
      </c>
      <c r="S577" s="14">
        <v>2.99</v>
      </c>
      <c r="T577" s="10">
        <f t="shared" si="89"/>
        <v>30.042724999999997</v>
      </c>
      <c r="U577" s="10">
        <f t="shared" si="90"/>
        <v>38.244920539999995</v>
      </c>
      <c r="V577" s="10">
        <f t="shared" si="91"/>
        <v>38.7420233</v>
      </c>
      <c r="W577" s="10">
        <f t="shared" si="92"/>
        <v>49.926835400000002</v>
      </c>
      <c r="X577" s="10">
        <f t="shared" si="93"/>
        <v>54.897863000000001</v>
      </c>
      <c r="Y577" s="10">
        <f t="shared" si="94"/>
        <v>79.753000999999998</v>
      </c>
      <c r="Z577" s="10">
        <f t="shared" si="95"/>
        <v>28.421254399999995</v>
      </c>
      <c r="AA577" s="10">
        <f t="shared" si="96"/>
        <v>36.541612800000003</v>
      </c>
      <c r="AB577" s="10">
        <f t="shared" si="97"/>
        <v>40.601792000000003</v>
      </c>
      <c r="AC577" s="10">
        <f t="shared" si="98"/>
        <v>60.902687999999998</v>
      </c>
    </row>
    <row r="578" spans="1:29" x14ac:dyDescent="0.25">
      <c r="A578">
        <v>441763</v>
      </c>
      <c r="B578" t="s">
        <v>73</v>
      </c>
      <c r="C578" s="10">
        <v>15.89</v>
      </c>
      <c r="D578" s="10">
        <v>14.98</v>
      </c>
      <c r="E578" s="10">
        <v>0</v>
      </c>
      <c r="F578">
        <v>26</v>
      </c>
      <c r="G578" t="s">
        <v>15</v>
      </c>
      <c r="H578" s="11">
        <v>45985</v>
      </c>
      <c r="I578" t="s">
        <v>21</v>
      </c>
      <c r="J578" s="12">
        <v>4.75</v>
      </c>
      <c r="K578" s="3">
        <v>181.64</v>
      </c>
      <c r="L578" s="3">
        <f t="shared" si="88"/>
        <v>38.239999999999995</v>
      </c>
      <c r="M578" s="13"/>
      <c r="N578">
        <f>_xlfn.XLOOKUP(G578,'Tarievensheet per persoon'!AE:AE,'Tarievensheet per persoon'!AF:AF)</f>
        <v>1.7024999999999999</v>
      </c>
      <c r="O578">
        <f>_xlfn.XLOOKUP(G578,AE:AE,'Tarievensheet per persoon'!AG:AG)</f>
        <v>1.5642</v>
      </c>
      <c r="P578">
        <f>_xlfn.XLOOKUP(G578,AE:AE,'Tarievensheet per persoon'!AH:AH)</f>
        <v>1.3552</v>
      </c>
      <c r="Q578">
        <f>_xlfn.XLOOKUP(G578,AE:AE,'Tarievensheet per persoon'!AI:AI)</f>
        <v>1.3552</v>
      </c>
      <c r="R578">
        <v>0</v>
      </c>
      <c r="S578" s="14">
        <v>2.99</v>
      </c>
      <c r="T578" s="10">
        <f t="shared" si="89"/>
        <v>30.042724999999997</v>
      </c>
      <c r="U578" s="10">
        <f t="shared" si="90"/>
        <v>38.244920539999995</v>
      </c>
      <c r="V578" s="10">
        <f t="shared" si="91"/>
        <v>38.7420233</v>
      </c>
      <c r="W578" s="10">
        <f t="shared" si="92"/>
        <v>49.926835400000002</v>
      </c>
      <c r="X578" s="10">
        <f t="shared" si="93"/>
        <v>54.897863000000001</v>
      </c>
      <c r="Y578" s="10">
        <f t="shared" si="94"/>
        <v>79.753000999999998</v>
      </c>
      <c r="Z578" s="10">
        <f t="shared" si="95"/>
        <v>28.421254399999995</v>
      </c>
      <c r="AA578" s="10">
        <f t="shared" si="96"/>
        <v>36.541612800000003</v>
      </c>
      <c r="AB578" s="10">
        <f t="shared" si="97"/>
        <v>40.601792000000003</v>
      </c>
      <c r="AC578" s="10">
        <f t="shared" si="98"/>
        <v>60.902687999999998</v>
      </c>
    </row>
    <row r="579" spans="1:29" x14ac:dyDescent="0.25">
      <c r="A579">
        <v>441763</v>
      </c>
      <c r="B579" t="s">
        <v>73</v>
      </c>
      <c r="C579" s="10">
        <v>15.89</v>
      </c>
      <c r="D579" s="10">
        <v>14.98</v>
      </c>
      <c r="E579" s="10">
        <v>0</v>
      </c>
      <c r="F579">
        <v>26</v>
      </c>
      <c r="G579" t="s">
        <v>15</v>
      </c>
      <c r="H579" s="11">
        <v>45986</v>
      </c>
      <c r="I579" t="s">
        <v>13</v>
      </c>
      <c r="J579" s="12">
        <v>2.5</v>
      </c>
      <c r="K579" s="3">
        <v>75.099999999999994</v>
      </c>
      <c r="L579" s="3">
        <f t="shared" ref="L579:L642" si="99">K579/J579</f>
        <v>30.04</v>
      </c>
      <c r="M579" s="13"/>
      <c r="N579">
        <f>_xlfn.XLOOKUP(G579,'Tarievensheet per persoon'!AE:AE,'Tarievensheet per persoon'!AF:AF)</f>
        <v>1.7024999999999999</v>
      </c>
      <c r="O579">
        <f>_xlfn.XLOOKUP(G579,AE:AE,'Tarievensheet per persoon'!AG:AG)</f>
        <v>1.5642</v>
      </c>
      <c r="P579">
        <f>_xlfn.XLOOKUP(G579,AE:AE,'Tarievensheet per persoon'!AH:AH)</f>
        <v>1.3552</v>
      </c>
      <c r="Q579">
        <f>_xlfn.XLOOKUP(G579,AE:AE,'Tarievensheet per persoon'!AI:AI)</f>
        <v>1.3552</v>
      </c>
      <c r="R579">
        <v>0</v>
      </c>
      <c r="S579" s="14">
        <v>2.99</v>
      </c>
      <c r="T579" s="10">
        <f t="shared" ref="T579:T642" si="100">C579*N579+C579*Q579*R579+S579+(E579*O579)</f>
        <v>30.042724999999997</v>
      </c>
      <c r="U579" s="10">
        <f t="shared" ref="U579:U642" si="101">T579+C579*(U$1-1)*O579</f>
        <v>38.244920539999995</v>
      </c>
      <c r="V579" s="10">
        <f t="shared" ref="V579:V642" si="102">T579+C579*(V$1-1)*O579</f>
        <v>38.7420233</v>
      </c>
      <c r="W579" s="10">
        <f t="shared" ref="W579:W642" si="103">T579+C579*(W$1-1)*O579</f>
        <v>49.926835400000002</v>
      </c>
      <c r="X579" s="10">
        <f t="shared" ref="X579:X642" si="104">T579+C579*(X$1-1)*O579</f>
        <v>54.897863000000001</v>
      </c>
      <c r="Y579" s="10">
        <f t="shared" ref="Y579:Y642" si="105">T579+C579*(Y$1-1)*O579</f>
        <v>79.753000999999998</v>
      </c>
      <c r="Z579" s="10">
        <f t="shared" ref="Z579:Z642" si="106">D579*Z$1*P579</f>
        <v>28.421254399999995</v>
      </c>
      <c r="AA579" s="10">
        <f t="shared" ref="AA579:AA642" si="107">D579*AA$1*P579</f>
        <v>36.541612800000003</v>
      </c>
      <c r="AB579" s="10">
        <f t="shared" ref="AB579:AB642" si="108">D579*AB$1*P579</f>
        <v>40.601792000000003</v>
      </c>
      <c r="AC579" s="10">
        <f t="shared" ref="AC579:AC642" si="109">D579*AC$1*P579</f>
        <v>60.902687999999998</v>
      </c>
    </row>
    <row r="580" spans="1:29" x14ac:dyDescent="0.25">
      <c r="A580">
        <v>441763</v>
      </c>
      <c r="B580" t="s">
        <v>73</v>
      </c>
      <c r="C580" s="10">
        <v>15.89</v>
      </c>
      <c r="D580" s="10">
        <v>14.98</v>
      </c>
      <c r="E580" s="10">
        <v>0</v>
      </c>
      <c r="F580">
        <v>26</v>
      </c>
      <c r="G580" t="s">
        <v>15</v>
      </c>
      <c r="H580" s="11">
        <v>45986</v>
      </c>
      <c r="I580" t="s">
        <v>21</v>
      </c>
      <c r="J580" s="12">
        <v>5.25</v>
      </c>
      <c r="K580" s="3">
        <v>200.76</v>
      </c>
      <c r="L580" s="3">
        <f t="shared" si="99"/>
        <v>38.239999999999995</v>
      </c>
      <c r="M580" s="13"/>
      <c r="N580">
        <f>_xlfn.XLOOKUP(G580,'Tarievensheet per persoon'!AE:AE,'Tarievensheet per persoon'!AF:AF)</f>
        <v>1.7024999999999999</v>
      </c>
      <c r="O580">
        <f>_xlfn.XLOOKUP(G580,AE:AE,'Tarievensheet per persoon'!AG:AG)</f>
        <v>1.5642</v>
      </c>
      <c r="P580">
        <f>_xlfn.XLOOKUP(G580,AE:AE,'Tarievensheet per persoon'!AH:AH)</f>
        <v>1.3552</v>
      </c>
      <c r="Q580">
        <f>_xlfn.XLOOKUP(G580,AE:AE,'Tarievensheet per persoon'!AI:AI)</f>
        <v>1.3552</v>
      </c>
      <c r="R580">
        <v>0</v>
      </c>
      <c r="S580" s="14">
        <v>2.99</v>
      </c>
      <c r="T580" s="10">
        <f t="shared" si="100"/>
        <v>30.042724999999997</v>
      </c>
      <c r="U580" s="10">
        <f t="shared" si="101"/>
        <v>38.244920539999995</v>
      </c>
      <c r="V580" s="10">
        <f t="shared" si="102"/>
        <v>38.7420233</v>
      </c>
      <c r="W580" s="10">
        <f t="shared" si="103"/>
        <v>49.926835400000002</v>
      </c>
      <c r="X580" s="10">
        <f t="shared" si="104"/>
        <v>54.897863000000001</v>
      </c>
      <c r="Y580" s="10">
        <f t="shared" si="105"/>
        <v>79.753000999999998</v>
      </c>
      <c r="Z580" s="10">
        <f t="shared" si="106"/>
        <v>28.421254399999995</v>
      </c>
      <c r="AA580" s="10">
        <f t="shared" si="107"/>
        <v>36.541612800000003</v>
      </c>
      <c r="AB580" s="10">
        <f t="shared" si="108"/>
        <v>40.601792000000003</v>
      </c>
      <c r="AC580" s="10">
        <f t="shared" si="109"/>
        <v>60.902687999999998</v>
      </c>
    </row>
    <row r="581" spans="1:29" x14ac:dyDescent="0.25">
      <c r="A581">
        <v>441763</v>
      </c>
      <c r="B581" t="s">
        <v>73</v>
      </c>
      <c r="C581" s="10">
        <v>15.89</v>
      </c>
      <c r="D581" s="10">
        <v>14.98</v>
      </c>
      <c r="E581" s="10">
        <v>0</v>
      </c>
      <c r="F581">
        <v>26</v>
      </c>
      <c r="G581" t="s">
        <v>15</v>
      </c>
      <c r="H581" s="11">
        <v>45988</v>
      </c>
      <c r="I581" t="s">
        <v>13</v>
      </c>
      <c r="J581" s="12">
        <v>2.25</v>
      </c>
      <c r="K581" s="3">
        <v>67.59</v>
      </c>
      <c r="L581" s="3">
        <f t="shared" si="99"/>
        <v>30.040000000000003</v>
      </c>
      <c r="M581" s="13"/>
      <c r="N581">
        <f>_xlfn.XLOOKUP(G581,'Tarievensheet per persoon'!AE:AE,'Tarievensheet per persoon'!AF:AF)</f>
        <v>1.7024999999999999</v>
      </c>
      <c r="O581">
        <f>_xlfn.XLOOKUP(G581,AE:AE,'Tarievensheet per persoon'!AG:AG)</f>
        <v>1.5642</v>
      </c>
      <c r="P581">
        <f>_xlfn.XLOOKUP(G581,AE:AE,'Tarievensheet per persoon'!AH:AH)</f>
        <v>1.3552</v>
      </c>
      <c r="Q581">
        <f>_xlfn.XLOOKUP(G581,AE:AE,'Tarievensheet per persoon'!AI:AI)</f>
        <v>1.3552</v>
      </c>
      <c r="R581">
        <v>0</v>
      </c>
      <c r="S581" s="14">
        <v>2.99</v>
      </c>
      <c r="T581" s="10">
        <f t="shared" si="100"/>
        <v>30.042724999999997</v>
      </c>
      <c r="U581" s="10">
        <f t="shared" si="101"/>
        <v>38.244920539999995</v>
      </c>
      <c r="V581" s="10">
        <f t="shared" si="102"/>
        <v>38.7420233</v>
      </c>
      <c r="W581" s="10">
        <f t="shared" si="103"/>
        <v>49.926835400000002</v>
      </c>
      <c r="X581" s="10">
        <f t="shared" si="104"/>
        <v>54.897863000000001</v>
      </c>
      <c r="Y581" s="10">
        <f t="shared" si="105"/>
        <v>79.753000999999998</v>
      </c>
      <c r="Z581" s="10">
        <f t="shared" si="106"/>
        <v>28.421254399999995</v>
      </c>
      <c r="AA581" s="10">
        <f t="shared" si="107"/>
        <v>36.541612800000003</v>
      </c>
      <c r="AB581" s="10">
        <f t="shared" si="108"/>
        <v>40.601792000000003</v>
      </c>
      <c r="AC581" s="10">
        <f t="shared" si="109"/>
        <v>60.902687999999998</v>
      </c>
    </row>
    <row r="582" spans="1:29" x14ac:dyDescent="0.25">
      <c r="A582">
        <v>441763</v>
      </c>
      <c r="B582" t="s">
        <v>73</v>
      </c>
      <c r="C582" s="10">
        <v>15.89</v>
      </c>
      <c r="D582" s="10">
        <v>14.98</v>
      </c>
      <c r="E582" s="10">
        <v>0</v>
      </c>
      <c r="F582">
        <v>26</v>
      </c>
      <c r="G582" t="s">
        <v>15</v>
      </c>
      <c r="H582" s="11">
        <v>45988</v>
      </c>
      <c r="I582" t="s">
        <v>21</v>
      </c>
      <c r="J582" s="12">
        <v>5.25</v>
      </c>
      <c r="K582" s="3">
        <v>200.76</v>
      </c>
      <c r="L582" s="3">
        <f t="shared" si="99"/>
        <v>38.239999999999995</v>
      </c>
      <c r="M582" s="13"/>
      <c r="N582">
        <f>_xlfn.XLOOKUP(G582,'Tarievensheet per persoon'!AE:AE,'Tarievensheet per persoon'!AF:AF)</f>
        <v>1.7024999999999999</v>
      </c>
      <c r="O582">
        <f>_xlfn.XLOOKUP(G582,AE:AE,'Tarievensheet per persoon'!AG:AG)</f>
        <v>1.5642</v>
      </c>
      <c r="P582">
        <f>_xlfn.XLOOKUP(G582,AE:AE,'Tarievensheet per persoon'!AH:AH)</f>
        <v>1.3552</v>
      </c>
      <c r="Q582">
        <f>_xlfn.XLOOKUP(G582,AE:AE,'Tarievensheet per persoon'!AI:AI)</f>
        <v>1.3552</v>
      </c>
      <c r="R582">
        <v>0</v>
      </c>
      <c r="S582" s="14">
        <v>2.99</v>
      </c>
      <c r="T582" s="10">
        <f t="shared" si="100"/>
        <v>30.042724999999997</v>
      </c>
      <c r="U582" s="10">
        <f t="shared" si="101"/>
        <v>38.244920539999995</v>
      </c>
      <c r="V582" s="10">
        <f t="shared" si="102"/>
        <v>38.7420233</v>
      </c>
      <c r="W582" s="10">
        <f t="shared" si="103"/>
        <v>49.926835400000002</v>
      </c>
      <c r="X582" s="10">
        <f t="shared" si="104"/>
        <v>54.897863000000001</v>
      </c>
      <c r="Y582" s="10">
        <f t="shared" si="105"/>
        <v>79.753000999999998</v>
      </c>
      <c r="Z582" s="10">
        <f t="shared" si="106"/>
        <v>28.421254399999995</v>
      </c>
      <c r="AA582" s="10">
        <f t="shared" si="107"/>
        <v>36.541612800000003</v>
      </c>
      <c r="AB582" s="10">
        <f t="shared" si="108"/>
        <v>40.601792000000003</v>
      </c>
      <c r="AC582" s="10">
        <f t="shared" si="109"/>
        <v>60.902687999999998</v>
      </c>
    </row>
    <row r="583" spans="1:29" x14ac:dyDescent="0.25">
      <c r="A583">
        <v>441763</v>
      </c>
      <c r="B583" t="s">
        <v>73</v>
      </c>
      <c r="C583" s="10">
        <v>15.89</v>
      </c>
      <c r="D583" s="10">
        <v>14.98</v>
      </c>
      <c r="E583" s="10">
        <v>0</v>
      </c>
      <c r="F583">
        <v>26</v>
      </c>
      <c r="G583" t="s">
        <v>15</v>
      </c>
      <c r="H583" s="11">
        <v>45989</v>
      </c>
      <c r="I583" t="s">
        <v>13</v>
      </c>
      <c r="J583" s="12">
        <v>2.25</v>
      </c>
      <c r="K583" s="3">
        <v>67.59</v>
      </c>
      <c r="L583" s="3">
        <f t="shared" si="99"/>
        <v>30.040000000000003</v>
      </c>
      <c r="M583" s="13"/>
      <c r="N583">
        <f>_xlfn.XLOOKUP(G583,'Tarievensheet per persoon'!AE:AE,'Tarievensheet per persoon'!AF:AF)</f>
        <v>1.7024999999999999</v>
      </c>
      <c r="O583">
        <f>_xlfn.XLOOKUP(G583,AE:AE,'Tarievensheet per persoon'!AG:AG)</f>
        <v>1.5642</v>
      </c>
      <c r="P583">
        <f>_xlfn.XLOOKUP(G583,AE:AE,'Tarievensheet per persoon'!AH:AH)</f>
        <v>1.3552</v>
      </c>
      <c r="Q583">
        <f>_xlfn.XLOOKUP(G583,AE:AE,'Tarievensheet per persoon'!AI:AI)</f>
        <v>1.3552</v>
      </c>
      <c r="R583">
        <v>0</v>
      </c>
      <c r="S583" s="14">
        <v>2.99</v>
      </c>
      <c r="T583" s="10">
        <f t="shared" si="100"/>
        <v>30.042724999999997</v>
      </c>
      <c r="U583" s="10">
        <f t="shared" si="101"/>
        <v>38.244920539999995</v>
      </c>
      <c r="V583" s="10">
        <f t="shared" si="102"/>
        <v>38.7420233</v>
      </c>
      <c r="W583" s="10">
        <f t="shared" si="103"/>
        <v>49.926835400000002</v>
      </c>
      <c r="X583" s="10">
        <f t="shared" si="104"/>
        <v>54.897863000000001</v>
      </c>
      <c r="Y583" s="10">
        <f t="shared" si="105"/>
        <v>79.753000999999998</v>
      </c>
      <c r="Z583" s="10">
        <f t="shared" si="106"/>
        <v>28.421254399999995</v>
      </c>
      <c r="AA583" s="10">
        <f t="shared" si="107"/>
        <v>36.541612800000003</v>
      </c>
      <c r="AB583" s="10">
        <f t="shared" si="108"/>
        <v>40.601792000000003</v>
      </c>
      <c r="AC583" s="10">
        <f t="shared" si="109"/>
        <v>60.902687999999998</v>
      </c>
    </row>
    <row r="584" spans="1:29" x14ac:dyDescent="0.25">
      <c r="A584">
        <v>441763</v>
      </c>
      <c r="B584" t="s">
        <v>73</v>
      </c>
      <c r="C584" s="10">
        <v>15.89</v>
      </c>
      <c r="D584" s="10">
        <v>14.98</v>
      </c>
      <c r="E584" s="10">
        <v>0</v>
      </c>
      <c r="F584">
        <v>26</v>
      </c>
      <c r="G584" t="s">
        <v>15</v>
      </c>
      <c r="H584" s="11">
        <v>45989</v>
      </c>
      <c r="I584" t="s">
        <v>21</v>
      </c>
      <c r="J584" s="12">
        <v>3.75</v>
      </c>
      <c r="K584" s="3">
        <v>143.4</v>
      </c>
      <c r="L584" s="3">
        <f t="shared" si="99"/>
        <v>38.24</v>
      </c>
      <c r="M584" s="13"/>
      <c r="N584">
        <f>_xlfn.XLOOKUP(G584,'Tarievensheet per persoon'!AE:AE,'Tarievensheet per persoon'!AF:AF)</f>
        <v>1.7024999999999999</v>
      </c>
      <c r="O584">
        <f>_xlfn.XLOOKUP(G584,AE:AE,'Tarievensheet per persoon'!AG:AG)</f>
        <v>1.5642</v>
      </c>
      <c r="P584">
        <f>_xlfn.XLOOKUP(G584,AE:AE,'Tarievensheet per persoon'!AH:AH)</f>
        <v>1.3552</v>
      </c>
      <c r="Q584">
        <f>_xlfn.XLOOKUP(G584,AE:AE,'Tarievensheet per persoon'!AI:AI)</f>
        <v>1.3552</v>
      </c>
      <c r="R584">
        <v>0</v>
      </c>
      <c r="S584" s="14">
        <v>2.99</v>
      </c>
      <c r="T584" s="10">
        <f t="shared" si="100"/>
        <v>30.042724999999997</v>
      </c>
      <c r="U584" s="10">
        <f t="shared" si="101"/>
        <v>38.244920539999995</v>
      </c>
      <c r="V584" s="10">
        <f t="shared" si="102"/>
        <v>38.7420233</v>
      </c>
      <c r="W584" s="10">
        <f t="shared" si="103"/>
        <v>49.926835400000002</v>
      </c>
      <c r="X584" s="10">
        <f t="shared" si="104"/>
        <v>54.897863000000001</v>
      </c>
      <c r="Y584" s="10">
        <f t="shared" si="105"/>
        <v>79.753000999999998</v>
      </c>
      <c r="Z584" s="10">
        <f t="shared" si="106"/>
        <v>28.421254399999995</v>
      </c>
      <c r="AA584" s="10">
        <f t="shared" si="107"/>
        <v>36.541612800000003</v>
      </c>
      <c r="AB584" s="10">
        <f t="shared" si="108"/>
        <v>40.601792000000003</v>
      </c>
      <c r="AC584" s="10">
        <f t="shared" si="109"/>
        <v>60.902687999999998</v>
      </c>
    </row>
    <row r="585" spans="1:29" x14ac:dyDescent="0.25">
      <c r="A585">
        <v>442153</v>
      </c>
      <c r="B585" t="s">
        <v>74</v>
      </c>
      <c r="C585" s="10">
        <v>15.89</v>
      </c>
      <c r="D585" s="10">
        <v>14.98</v>
      </c>
      <c r="E585" s="10">
        <v>0</v>
      </c>
      <c r="F585">
        <v>26</v>
      </c>
      <c r="G585" t="s">
        <v>15</v>
      </c>
      <c r="H585" s="11">
        <v>45985</v>
      </c>
      <c r="I585" t="s">
        <v>13</v>
      </c>
      <c r="J585" s="12">
        <v>3.75</v>
      </c>
      <c r="K585" s="3">
        <v>112.65</v>
      </c>
      <c r="L585" s="3">
        <f t="shared" si="99"/>
        <v>30.040000000000003</v>
      </c>
      <c r="M585" s="13"/>
      <c r="N585">
        <f>_xlfn.XLOOKUP(G585,'Tarievensheet per persoon'!AE:AE,'Tarievensheet per persoon'!AF:AF)</f>
        <v>1.7024999999999999</v>
      </c>
      <c r="O585">
        <f>_xlfn.XLOOKUP(G585,AE:AE,'Tarievensheet per persoon'!AG:AG)</f>
        <v>1.5642</v>
      </c>
      <c r="P585">
        <f>_xlfn.XLOOKUP(G585,AE:AE,'Tarievensheet per persoon'!AH:AH)</f>
        <v>1.3552</v>
      </c>
      <c r="Q585">
        <f>_xlfn.XLOOKUP(G585,AE:AE,'Tarievensheet per persoon'!AI:AI)</f>
        <v>1.3552</v>
      </c>
      <c r="R585">
        <v>0</v>
      </c>
      <c r="S585" s="14">
        <v>2.99</v>
      </c>
      <c r="T585" s="10">
        <f t="shared" si="100"/>
        <v>30.042724999999997</v>
      </c>
      <c r="U585" s="10">
        <f t="shared" si="101"/>
        <v>38.244920539999995</v>
      </c>
      <c r="V585" s="10">
        <f t="shared" si="102"/>
        <v>38.7420233</v>
      </c>
      <c r="W585" s="10">
        <f t="shared" si="103"/>
        <v>49.926835400000002</v>
      </c>
      <c r="X585" s="10">
        <f t="shared" si="104"/>
        <v>54.897863000000001</v>
      </c>
      <c r="Y585" s="10">
        <f t="shared" si="105"/>
        <v>79.753000999999998</v>
      </c>
      <c r="Z585" s="10">
        <f t="shared" si="106"/>
        <v>28.421254399999995</v>
      </c>
      <c r="AA585" s="10">
        <f t="shared" si="107"/>
        <v>36.541612800000003</v>
      </c>
      <c r="AB585" s="10">
        <f t="shared" si="108"/>
        <v>40.601792000000003</v>
      </c>
      <c r="AC585" s="10">
        <f t="shared" si="109"/>
        <v>60.902687999999998</v>
      </c>
    </row>
    <row r="586" spans="1:29" x14ac:dyDescent="0.25">
      <c r="A586">
        <v>442153</v>
      </c>
      <c r="B586" t="s">
        <v>74</v>
      </c>
      <c r="C586" s="10">
        <v>15.89</v>
      </c>
      <c r="D586" s="10">
        <v>14.98</v>
      </c>
      <c r="E586" s="10">
        <v>0</v>
      </c>
      <c r="F586">
        <v>26</v>
      </c>
      <c r="G586" t="s">
        <v>15</v>
      </c>
      <c r="H586" s="11">
        <v>45985</v>
      </c>
      <c r="I586" t="s">
        <v>21</v>
      </c>
      <c r="J586" s="12">
        <v>3.75</v>
      </c>
      <c r="K586" s="3">
        <v>143.4</v>
      </c>
      <c r="L586" s="3">
        <f t="shared" si="99"/>
        <v>38.24</v>
      </c>
      <c r="M586" s="13"/>
      <c r="N586">
        <f>_xlfn.XLOOKUP(G586,'Tarievensheet per persoon'!AE:AE,'Tarievensheet per persoon'!AF:AF)</f>
        <v>1.7024999999999999</v>
      </c>
      <c r="O586">
        <f>_xlfn.XLOOKUP(G586,AE:AE,'Tarievensheet per persoon'!AG:AG)</f>
        <v>1.5642</v>
      </c>
      <c r="P586">
        <f>_xlfn.XLOOKUP(G586,AE:AE,'Tarievensheet per persoon'!AH:AH)</f>
        <v>1.3552</v>
      </c>
      <c r="Q586">
        <f>_xlfn.XLOOKUP(G586,AE:AE,'Tarievensheet per persoon'!AI:AI)</f>
        <v>1.3552</v>
      </c>
      <c r="R586">
        <v>0</v>
      </c>
      <c r="S586" s="14">
        <v>2.99</v>
      </c>
      <c r="T586" s="10">
        <f t="shared" si="100"/>
        <v>30.042724999999997</v>
      </c>
      <c r="U586" s="10">
        <f t="shared" si="101"/>
        <v>38.244920539999995</v>
      </c>
      <c r="V586" s="10">
        <f t="shared" si="102"/>
        <v>38.7420233</v>
      </c>
      <c r="W586" s="10">
        <f t="shared" si="103"/>
        <v>49.926835400000002</v>
      </c>
      <c r="X586" s="10">
        <f t="shared" si="104"/>
        <v>54.897863000000001</v>
      </c>
      <c r="Y586" s="10">
        <f t="shared" si="105"/>
        <v>79.753000999999998</v>
      </c>
      <c r="Z586" s="10">
        <f t="shared" si="106"/>
        <v>28.421254399999995</v>
      </c>
      <c r="AA586" s="10">
        <f t="shared" si="107"/>
        <v>36.541612800000003</v>
      </c>
      <c r="AB586" s="10">
        <f t="shared" si="108"/>
        <v>40.601792000000003</v>
      </c>
      <c r="AC586" s="10">
        <f t="shared" si="109"/>
        <v>60.902687999999998</v>
      </c>
    </row>
    <row r="587" spans="1:29" x14ac:dyDescent="0.25">
      <c r="A587">
        <v>442153</v>
      </c>
      <c r="B587" t="s">
        <v>74</v>
      </c>
      <c r="C587" s="10">
        <v>15.89</v>
      </c>
      <c r="D587" s="10">
        <v>14.98</v>
      </c>
      <c r="E587" s="10">
        <v>0</v>
      </c>
      <c r="F587">
        <v>26</v>
      </c>
      <c r="G587" t="s">
        <v>15</v>
      </c>
      <c r="H587" s="11">
        <v>45986</v>
      </c>
      <c r="I587" t="s">
        <v>13</v>
      </c>
      <c r="J587" s="12">
        <v>3.5</v>
      </c>
      <c r="K587" s="3">
        <v>105.14</v>
      </c>
      <c r="L587" s="3">
        <f t="shared" si="99"/>
        <v>30.04</v>
      </c>
      <c r="M587" s="13"/>
      <c r="N587">
        <f>_xlfn.XLOOKUP(G587,'Tarievensheet per persoon'!AE:AE,'Tarievensheet per persoon'!AF:AF)</f>
        <v>1.7024999999999999</v>
      </c>
      <c r="O587">
        <f>_xlfn.XLOOKUP(G587,AE:AE,'Tarievensheet per persoon'!AG:AG)</f>
        <v>1.5642</v>
      </c>
      <c r="P587">
        <f>_xlfn.XLOOKUP(G587,AE:AE,'Tarievensheet per persoon'!AH:AH)</f>
        <v>1.3552</v>
      </c>
      <c r="Q587">
        <f>_xlfn.XLOOKUP(G587,AE:AE,'Tarievensheet per persoon'!AI:AI)</f>
        <v>1.3552</v>
      </c>
      <c r="R587">
        <v>0</v>
      </c>
      <c r="S587" s="14">
        <v>2.99</v>
      </c>
      <c r="T587" s="10">
        <f t="shared" si="100"/>
        <v>30.042724999999997</v>
      </c>
      <c r="U587" s="10">
        <f t="shared" si="101"/>
        <v>38.244920539999995</v>
      </c>
      <c r="V587" s="10">
        <f t="shared" si="102"/>
        <v>38.7420233</v>
      </c>
      <c r="W587" s="10">
        <f t="shared" si="103"/>
        <v>49.926835400000002</v>
      </c>
      <c r="X587" s="10">
        <f t="shared" si="104"/>
        <v>54.897863000000001</v>
      </c>
      <c r="Y587" s="10">
        <f t="shared" si="105"/>
        <v>79.753000999999998</v>
      </c>
      <c r="Z587" s="10">
        <f t="shared" si="106"/>
        <v>28.421254399999995</v>
      </c>
      <c r="AA587" s="10">
        <f t="shared" si="107"/>
        <v>36.541612800000003</v>
      </c>
      <c r="AB587" s="10">
        <f t="shared" si="108"/>
        <v>40.601792000000003</v>
      </c>
      <c r="AC587" s="10">
        <f t="shared" si="109"/>
        <v>60.902687999999998</v>
      </c>
    </row>
    <row r="588" spans="1:29" x14ac:dyDescent="0.25">
      <c r="A588">
        <v>442153</v>
      </c>
      <c r="B588" t="s">
        <v>74</v>
      </c>
      <c r="C588" s="10">
        <v>15.89</v>
      </c>
      <c r="D588" s="10">
        <v>14.98</v>
      </c>
      <c r="E588" s="10">
        <v>0</v>
      </c>
      <c r="F588">
        <v>26</v>
      </c>
      <c r="G588" t="s">
        <v>15</v>
      </c>
      <c r="H588" s="11">
        <v>45986</v>
      </c>
      <c r="I588" t="s">
        <v>21</v>
      </c>
      <c r="J588" s="12">
        <v>4.5</v>
      </c>
      <c r="K588" s="3">
        <v>172.08</v>
      </c>
      <c r="L588" s="3">
        <f t="shared" si="99"/>
        <v>38.24</v>
      </c>
      <c r="M588" s="13"/>
      <c r="N588">
        <f>_xlfn.XLOOKUP(G588,'Tarievensheet per persoon'!AE:AE,'Tarievensheet per persoon'!AF:AF)</f>
        <v>1.7024999999999999</v>
      </c>
      <c r="O588">
        <f>_xlfn.XLOOKUP(G588,AE:AE,'Tarievensheet per persoon'!AG:AG)</f>
        <v>1.5642</v>
      </c>
      <c r="P588">
        <f>_xlfn.XLOOKUP(G588,AE:AE,'Tarievensheet per persoon'!AH:AH)</f>
        <v>1.3552</v>
      </c>
      <c r="Q588">
        <f>_xlfn.XLOOKUP(G588,AE:AE,'Tarievensheet per persoon'!AI:AI)</f>
        <v>1.3552</v>
      </c>
      <c r="R588">
        <v>0</v>
      </c>
      <c r="S588" s="14">
        <v>2.99</v>
      </c>
      <c r="T588" s="10">
        <f t="shared" si="100"/>
        <v>30.042724999999997</v>
      </c>
      <c r="U588" s="10">
        <f t="shared" si="101"/>
        <v>38.244920539999995</v>
      </c>
      <c r="V588" s="10">
        <f t="shared" si="102"/>
        <v>38.7420233</v>
      </c>
      <c r="W588" s="10">
        <f t="shared" si="103"/>
        <v>49.926835400000002</v>
      </c>
      <c r="X588" s="10">
        <f t="shared" si="104"/>
        <v>54.897863000000001</v>
      </c>
      <c r="Y588" s="10">
        <f t="shared" si="105"/>
        <v>79.753000999999998</v>
      </c>
      <c r="Z588" s="10">
        <f t="shared" si="106"/>
        <v>28.421254399999995</v>
      </c>
      <c r="AA588" s="10">
        <f t="shared" si="107"/>
        <v>36.541612800000003</v>
      </c>
      <c r="AB588" s="10">
        <f t="shared" si="108"/>
        <v>40.601792000000003</v>
      </c>
      <c r="AC588" s="10">
        <f t="shared" si="109"/>
        <v>60.902687999999998</v>
      </c>
    </row>
    <row r="589" spans="1:29" x14ac:dyDescent="0.25">
      <c r="A589">
        <v>442153</v>
      </c>
      <c r="B589" t="s">
        <v>74</v>
      </c>
      <c r="C589" s="10">
        <v>15.89</v>
      </c>
      <c r="D589" s="10">
        <v>14.98</v>
      </c>
      <c r="E589" s="10">
        <v>0</v>
      </c>
      <c r="F589">
        <v>26</v>
      </c>
      <c r="G589" t="s">
        <v>15</v>
      </c>
      <c r="H589" s="11">
        <v>45987</v>
      </c>
      <c r="I589" t="s">
        <v>13</v>
      </c>
      <c r="J589" s="12">
        <v>3.5</v>
      </c>
      <c r="K589" s="3">
        <v>105.14</v>
      </c>
      <c r="L589" s="3">
        <f t="shared" si="99"/>
        <v>30.04</v>
      </c>
      <c r="M589" s="13"/>
      <c r="N589">
        <f>_xlfn.XLOOKUP(G589,'Tarievensheet per persoon'!AE:AE,'Tarievensheet per persoon'!AF:AF)</f>
        <v>1.7024999999999999</v>
      </c>
      <c r="O589">
        <f>_xlfn.XLOOKUP(G589,AE:AE,'Tarievensheet per persoon'!AG:AG)</f>
        <v>1.5642</v>
      </c>
      <c r="P589">
        <f>_xlfn.XLOOKUP(G589,AE:AE,'Tarievensheet per persoon'!AH:AH)</f>
        <v>1.3552</v>
      </c>
      <c r="Q589">
        <f>_xlfn.XLOOKUP(G589,AE:AE,'Tarievensheet per persoon'!AI:AI)</f>
        <v>1.3552</v>
      </c>
      <c r="R589">
        <v>0</v>
      </c>
      <c r="S589" s="14">
        <v>2.99</v>
      </c>
      <c r="T589" s="10">
        <f t="shared" si="100"/>
        <v>30.042724999999997</v>
      </c>
      <c r="U589" s="10">
        <f t="shared" si="101"/>
        <v>38.244920539999995</v>
      </c>
      <c r="V589" s="10">
        <f t="shared" si="102"/>
        <v>38.7420233</v>
      </c>
      <c r="W589" s="10">
        <f t="shared" si="103"/>
        <v>49.926835400000002</v>
      </c>
      <c r="X589" s="10">
        <f t="shared" si="104"/>
        <v>54.897863000000001</v>
      </c>
      <c r="Y589" s="10">
        <f t="shared" si="105"/>
        <v>79.753000999999998</v>
      </c>
      <c r="Z589" s="10">
        <f t="shared" si="106"/>
        <v>28.421254399999995</v>
      </c>
      <c r="AA589" s="10">
        <f t="shared" si="107"/>
        <v>36.541612800000003</v>
      </c>
      <c r="AB589" s="10">
        <f t="shared" si="108"/>
        <v>40.601792000000003</v>
      </c>
      <c r="AC589" s="10">
        <f t="shared" si="109"/>
        <v>60.902687999999998</v>
      </c>
    </row>
    <row r="590" spans="1:29" x14ac:dyDescent="0.25">
      <c r="A590">
        <v>442153</v>
      </c>
      <c r="B590" t="s">
        <v>74</v>
      </c>
      <c r="C590" s="10">
        <v>15.89</v>
      </c>
      <c r="D590" s="10">
        <v>14.98</v>
      </c>
      <c r="E590" s="10">
        <v>0</v>
      </c>
      <c r="F590">
        <v>26</v>
      </c>
      <c r="G590" t="s">
        <v>15</v>
      </c>
      <c r="H590" s="11">
        <v>45987</v>
      </c>
      <c r="I590" t="s">
        <v>21</v>
      </c>
      <c r="J590" s="12">
        <v>4.5</v>
      </c>
      <c r="K590" s="3">
        <v>172.08</v>
      </c>
      <c r="L590" s="3">
        <f t="shared" si="99"/>
        <v>38.24</v>
      </c>
      <c r="M590" s="13"/>
      <c r="N590">
        <f>_xlfn.XLOOKUP(G590,'Tarievensheet per persoon'!AE:AE,'Tarievensheet per persoon'!AF:AF)</f>
        <v>1.7024999999999999</v>
      </c>
      <c r="O590">
        <f>_xlfn.XLOOKUP(G590,AE:AE,'Tarievensheet per persoon'!AG:AG)</f>
        <v>1.5642</v>
      </c>
      <c r="P590">
        <f>_xlfn.XLOOKUP(G590,AE:AE,'Tarievensheet per persoon'!AH:AH)</f>
        <v>1.3552</v>
      </c>
      <c r="Q590">
        <f>_xlfn.XLOOKUP(G590,AE:AE,'Tarievensheet per persoon'!AI:AI)</f>
        <v>1.3552</v>
      </c>
      <c r="R590">
        <v>0</v>
      </c>
      <c r="S590" s="14">
        <v>2.99</v>
      </c>
      <c r="T590" s="10">
        <f t="shared" si="100"/>
        <v>30.042724999999997</v>
      </c>
      <c r="U590" s="10">
        <f t="shared" si="101"/>
        <v>38.244920539999995</v>
      </c>
      <c r="V590" s="10">
        <f t="shared" si="102"/>
        <v>38.7420233</v>
      </c>
      <c r="W590" s="10">
        <f t="shared" si="103"/>
        <v>49.926835400000002</v>
      </c>
      <c r="X590" s="10">
        <f t="shared" si="104"/>
        <v>54.897863000000001</v>
      </c>
      <c r="Y590" s="10">
        <f t="shared" si="105"/>
        <v>79.753000999999998</v>
      </c>
      <c r="Z590" s="10">
        <f t="shared" si="106"/>
        <v>28.421254399999995</v>
      </c>
      <c r="AA590" s="10">
        <f t="shared" si="107"/>
        <v>36.541612800000003</v>
      </c>
      <c r="AB590" s="10">
        <f t="shared" si="108"/>
        <v>40.601792000000003</v>
      </c>
      <c r="AC590" s="10">
        <f t="shared" si="109"/>
        <v>60.902687999999998</v>
      </c>
    </row>
    <row r="591" spans="1:29" x14ac:dyDescent="0.25">
      <c r="A591">
        <v>442153</v>
      </c>
      <c r="B591" t="s">
        <v>74</v>
      </c>
      <c r="C591" s="10">
        <v>15.89</v>
      </c>
      <c r="D591" s="10">
        <v>14.98</v>
      </c>
      <c r="E591" s="10">
        <v>0</v>
      </c>
      <c r="F591">
        <v>26</v>
      </c>
      <c r="G591" t="s">
        <v>15</v>
      </c>
      <c r="H591" s="11">
        <v>45988</v>
      </c>
      <c r="I591" t="s">
        <v>13</v>
      </c>
      <c r="J591" s="12">
        <v>3.5</v>
      </c>
      <c r="K591" s="3">
        <v>105.14</v>
      </c>
      <c r="L591" s="3">
        <f t="shared" si="99"/>
        <v>30.04</v>
      </c>
      <c r="M591" s="13"/>
      <c r="N591">
        <f>_xlfn.XLOOKUP(G591,'Tarievensheet per persoon'!AE:AE,'Tarievensheet per persoon'!AF:AF)</f>
        <v>1.7024999999999999</v>
      </c>
      <c r="O591">
        <f>_xlfn.XLOOKUP(G591,AE:AE,'Tarievensheet per persoon'!AG:AG)</f>
        <v>1.5642</v>
      </c>
      <c r="P591">
        <f>_xlfn.XLOOKUP(G591,AE:AE,'Tarievensheet per persoon'!AH:AH)</f>
        <v>1.3552</v>
      </c>
      <c r="Q591">
        <f>_xlfn.XLOOKUP(G591,AE:AE,'Tarievensheet per persoon'!AI:AI)</f>
        <v>1.3552</v>
      </c>
      <c r="R591">
        <v>0</v>
      </c>
      <c r="S591" s="14">
        <v>2.99</v>
      </c>
      <c r="T591" s="10">
        <f t="shared" si="100"/>
        <v>30.042724999999997</v>
      </c>
      <c r="U591" s="10">
        <f t="shared" si="101"/>
        <v>38.244920539999995</v>
      </c>
      <c r="V591" s="10">
        <f t="shared" si="102"/>
        <v>38.7420233</v>
      </c>
      <c r="W591" s="10">
        <f t="shared" si="103"/>
        <v>49.926835400000002</v>
      </c>
      <c r="X591" s="10">
        <f t="shared" si="104"/>
        <v>54.897863000000001</v>
      </c>
      <c r="Y591" s="10">
        <f t="shared" si="105"/>
        <v>79.753000999999998</v>
      </c>
      <c r="Z591" s="10">
        <f t="shared" si="106"/>
        <v>28.421254399999995</v>
      </c>
      <c r="AA591" s="10">
        <f t="shared" si="107"/>
        <v>36.541612800000003</v>
      </c>
      <c r="AB591" s="10">
        <f t="shared" si="108"/>
        <v>40.601792000000003</v>
      </c>
      <c r="AC591" s="10">
        <f t="shared" si="109"/>
        <v>60.902687999999998</v>
      </c>
    </row>
    <row r="592" spans="1:29" x14ac:dyDescent="0.25">
      <c r="A592">
        <v>442153</v>
      </c>
      <c r="B592" t="s">
        <v>74</v>
      </c>
      <c r="C592" s="10">
        <v>15.89</v>
      </c>
      <c r="D592" s="10">
        <v>14.98</v>
      </c>
      <c r="E592" s="10">
        <v>0</v>
      </c>
      <c r="F592">
        <v>26</v>
      </c>
      <c r="G592" t="s">
        <v>15</v>
      </c>
      <c r="H592" s="11">
        <v>45988</v>
      </c>
      <c r="I592" t="s">
        <v>21</v>
      </c>
      <c r="J592" s="12">
        <v>4.5</v>
      </c>
      <c r="K592" s="3">
        <v>172.08</v>
      </c>
      <c r="L592" s="3">
        <f t="shared" si="99"/>
        <v>38.24</v>
      </c>
      <c r="M592" s="13"/>
      <c r="N592">
        <f>_xlfn.XLOOKUP(G592,'Tarievensheet per persoon'!AE:AE,'Tarievensheet per persoon'!AF:AF)</f>
        <v>1.7024999999999999</v>
      </c>
      <c r="O592">
        <f>_xlfn.XLOOKUP(G592,AE:AE,'Tarievensheet per persoon'!AG:AG)</f>
        <v>1.5642</v>
      </c>
      <c r="P592">
        <f>_xlfn.XLOOKUP(G592,AE:AE,'Tarievensheet per persoon'!AH:AH)</f>
        <v>1.3552</v>
      </c>
      <c r="Q592">
        <f>_xlfn.XLOOKUP(G592,AE:AE,'Tarievensheet per persoon'!AI:AI)</f>
        <v>1.3552</v>
      </c>
      <c r="R592">
        <v>0</v>
      </c>
      <c r="S592" s="14">
        <v>2.99</v>
      </c>
      <c r="T592" s="10">
        <f t="shared" si="100"/>
        <v>30.042724999999997</v>
      </c>
      <c r="U592" s="10">
        <f t="shared" si="101"/>
        <v>38.244920539999995</v>
      </c>
      <c r="V592" s="10">
        <f t="shared" si="102"/>
        <v>38.7420233</v>
      </c>
      <c r="W592" s="10">
        <f t="shared" si="103"/>
        <v>49.926835400000002</v>
      </c>
      <c r="X592" s="10">
        <f t="shared" si="104"/>
        <v>54.897863000000001</v>
      </c>
      <c r="Y592" s="10">
        <f t="shared" si="105"/>
        <v>79.753000999999998</v>
      </c>
      <c r="Z592" s="10">
        <f t="shared" si="106"/>
        <v>28.421254399999995</v>
      </c>
      <c r="AA592" s="10">
        <f t="shared" si="107"/>
        <v>36.541612800000003</v>
      </c>
      <c r="AB592" s="10">
        <f t="shared" si="108"/>
        <v>40.601792000000003</v>
      </c>
      <c r="AC592" s="10">
        <f t="shared" si="109"/>
        <v>60.902687999999998</v>
      </c>
    </row>
    <row r="593" spans="1:29" x14ac:dyDescent="0.25">
      <c r="A593">
        <v>442153</v>
      </c>
      <c r="B593" t="s">
        <v>74</v>
      </c>
      <c r="C593" s="10">
        <v>15.89</v>
      </c>
      <c r="D593" s="10">
        <v>14.98</v>
      </c>
      <c r="E593" s="10">
        <v>0</v>
      </c>
      <c r="F593">
        <v>26</v>
      </c>
      <c r="G593" t="s">
        <v>15</v>
      </c>
      <c r="H593" s="11">
        <v>45989</v>
      </c>
      <c r="I593" t="s">
        <v>13</v>
      </c>
      <c r="J593" s="12">
        <v>3.5</v>
      </c>
      <c r="K593" s="3">
        <v>105.14</v>
      </c>
      <c r="L593" s="3">
        <f t="shared" si="99"/>
        <v>30.04</v>
      </c>
      <c r="M593" s="13"/>
      <c r="N593">
        <f>_xlfn.XLOOKUP(G593,'Tarievensheet per persoon'!AE:AE,'Tarievensheet per persoon'!AF:AF)</f>
        <v>1.7024999999999999</v>
      </c>
      <c r="O593">
        <f>_xlfn.XLOOKUP(G593,AE:AE,'Tarievensheet per persoon'!AG:AG)</f>
        <v>1.5642</v>
      </c>
      <c r="P593">
        <f>_xlfn.XLOOKUP(G593,AE:AE,'Tarievensheet per persoon'!AH:AH)</f>
        <v>1.3552</v>
      </c>
      <c r="Q593">
        <f>_xlfn.XLOOKUP(G593,AE:AE,'Tarievensheet per persoon'!AI:AI)</f>
        <v>1.3552</v>
      </c>
      <c r="R593">
        <v>0</v>
      </c>
      <c r="S593" s="14">
        <v>2.99</v>
      </c>
      <c r="T593" s="10">
        <f t="shared" si="100"/>
        <v>30.042724999999997</v>
      </c>
      <c r="U593" s="10">
        <f t="shared" si="101"/>
        <v>38.244920539999995</v>
      </c>
      <c r="V593" s="10">
        <f t="shared" si="102"/>
        <v>38.7420233</v>
      </c>
      <c r="W593" s="10">
        <f t="shared" si="103"/>
        <v>49.926835400000002</v>
      </c>
      <c r="X593" s="10">
        <f t="shared" si="104"/>
        <v>54.897863000000001</v>
      </c>
      <c r="Y593" s="10">
        <f t="shared" si="105"/>
        <v>79.753000999999998</v>
      </c>
      <c r="Z593" s="10">
        <f t="shared" si="106"/>
        <v>28.421254399999995</v>
      </c>
      <c r="AA593" s="10">
        <f t="shared" si="107"/>
        <v>36.541612800000003</v>
      </c>
      <c r="AB593" s="10">
        <f t="shared" si="108"/>
        <v>40.601792000000003</v>
      </c>
      <c r="AC593" s="10">
        <f t="shared" si="109"/>
        <v>60.902687999999998</v>
      </c>
    </row>
    <row r="594" spans="1:29" x14ac:dyDescent="0.25">
      <c r="A594">
        <v>442153</v>
      </c>
      <c r="B594" t="s">
        <v>74</v>
      </c>
      <c r="C594" s="10">
        <v>15.89</v>
      </c>
      <c r="D594" s="10">
        <v>14.98</v>
      </c>
      <c r="E594" s="10">
        <v>0</v>
      </c>
      <c r="F594">
        <v>26</v>
      </c>
      <c r="G594" t="s">
        <v>15</v>
      </c>
      <c r="H594" s="11">
        <v>45989</v>
      </c>
      <c r="I594" t="s">
        <v>21</v>
      </c>
      <c r="J594" s="12">
        <v>4</v>
      </c>
      <c r="K594" s="3">
        <v>152.96</v>
      </c>
      <c r="L594" s="3">
        <f t="shared" si="99"/>
        <v>38.24</v>
      </c>
      <c r="M594" s="13"/>
      <c r="N594">
        <f>_xlfn.XLOOKUP(G594,'Tarievensheet per persoon'!AE:AE,'Tarievensheet per persoon'!AF:AF)</f>
        <v>1.7024999999999999</v>
      </c>
      <c r="O594">
        <f>_xlfn.XLOOKUP(G594,AE:AE,'Tarievensheet per persoon'!AG:AG)</f>
        <v>1.5642</v>
      </c>
      <c r="P594">
        <f>_xlfn.XLOOKUP(G594,AE:AE,'Tarievensheet per persoon'!AH:AH)</f>
        <v>1.3552</v>
      </c>
      <c r="Q594">
        <f>_xlfn.XLOOKUP(G594,AE:AE,'Tarievensheet per persoon'!AI:AI)</f>
        <v>1.3552</v>
      </c>
      <c r="R594">
        <v>0</v>
      </c>
      <c r="S594" s="14">
        <v>2.99</v>
      </c>
      <c r="T594" s="10">
        <f t="shared" si="100"/>
        <v>30.042724999999997</v>
      </c>
      <c r="U594" s="10">
        <f t="shared" si="101"/>
        <v>38.244920539999995</v>
      </c>
      <c r="V594" s="10">
        <f t="shared" si="102"/>
        <v>38.7420233</v>
      </c>
      <c r="W594" s="10">
        <f t="shared" si="103"/>
        <v>49.926835400000002</v>
      </c>
      <c r="X594" s="10">
        <f t="shared" si="104"/>
        <v>54.897863000000001</v>
      </c>
      <c r="Y594" s="10">
        <f t="shared" si="105"/>
        <v>79.753000999999998</v>
      </c>
      <c r="Z594" s="10">
        <f t="shared" si="106"/>
        <v>28.421254399999995</v>
      </c>
      <c r="AA594" s="10">
        <f t="shared" si="107"/>
        <v>36.541612800000003</v>
      </c>
      <c r="AB594" s="10">
        <f t="shared" si="108"/>
        <v>40.601792000000003</v>
      </c>
      <c r="AC594" s="10">
        <f t="shared" si="109"/>
        <v>60.902687999999998</v>
      </c>
    </row>
    <row r="595" spans="1:29" x14ac:dyDescent="0.25">
      <c r="A595">
        <v>442415</v>
      </c>
      <c r="B595" t="s">
        <v>75</v>
      </c>
      <c r="C595" s="10">
        <v>16.09</v>
      </c>
      <c r="D595" s="10">
        <v>15.17</v>
      </c>
      <c r="E595" s="10">
        <v>0</v>
      </c>
      <c r="F595">
        <v>113</v>
      </c>
      <c r="G595" t="s">
        <v>19</v>
      </c>
      <c r="H595" s="11">
        <v>45985</v>
      </c>
      <c r="I595" t="s">
        <v>13</v>
      </c>
      <c r="J595" s="12">
        <v>2.75</v>
      </c>
      <c r="K595" s="3">
        <v>83.71</v>
      </c>
      <c r="L595" s="3">
        <f t="shared" si="99"/>
        <v>30.439999999999998</v>
      </c>
      <c r="M595" s="13"/>
      <c r="N595">
        <f>_xlfn.XLOOKUP(G595,'Tarievensheet per persoon'!AE:AE,'Tarievensheet per persoon'!AF:AF)</f>
        <v>1.7068000000000001</v>
      </c>
      <c r="O595">
        <f>_xlfn.XLOOKUP(G595,AE:AE,'Tarievensheet per persoon'!AG:AG)</f>
        <v>1.5528</v>
      </c>
      <c r="P595">
        <f>_xlfn.XLOOKUP(G595,AE:AE,'Tarievensheet per persoon'!AH:AH)</f>
        <v>1.3391999999999999</v>
      </c>
      <c r="Q595">
        <f>_xlfn.XLOOKUP(G595,AE:AE,'Tarievensheet per persoon'!AI:AI)</f>
        <v>1.3391999999999999</v>
      </c>
      <c r="R595">
        <v>0</v>
      </c>
      <c r="S595" s="14">
        <v>2.99</v>
      </c>
      <c r="T595" s="10">
        <f t="shared" si="100"/>
        <v>30.452412000000002</v>
      </c>
      <c r="U595" s="10">
        <f t="shared" si="101"/>
        <v>38.697314160000005</v>
      </c>
      <c r="V595" s="10">
        <f t="shared" si="102"/>
        <v>39.197005200000007</v>
      </c>
      <c r="W595" s="10">
        <f t="shared" si="103"/>
        <v>50.440053599999999</v>
      </c>
      <c r="X595" s="10">
        <f t="shared" si="104"/>
        <v>55.436964000000003</v>
      </c>
      <c r="Y595" s="10">
        <f t="shared" si="105"/>
        <v>80.421515999999997</v>
      </c>
      <c r="Z595" s="10">
        <f t="shared" si="106"/>
        <v>28.441929599999998</v>
      </c>
      <c r="AA595" s="10">
        <f t="shared" si="107"/>
        <v>36.568195199999998</v>
      </c>
      <c r="AB595" s="10">
        <f t="shared" si="108"/>
        <v>40.631327999999996</v>
      </c>
      <c r="AC595" s="10">
        <f t="shared" si="109"/>
        <v>60.946991999999995</v>
      </c>
    </row>
    <row r="596" spans="1:29" x14ac:dyDescent="0.25">
      <c r="A596">
        <v>442415</v>
      </c>
      <c r="B596" t="s">
        <v>75</v>
      </c>
      <c r="C596" s="10">
        <v>16.09</v>
      </c>
      <c r="D596" s="10">
        <v>15.17</v>
      </c>
      <c r="E596" s="10">
        <v>0</v>
      </c>
      <c r="F596">
        <v>113</v>
      </c>
      <c r="G596" t="s">
        <v>19</v>
      </c>
      <c r="H596" s="11">
        <v>45985</v>
      </c>
      <c r="I596" t="s">
        <v>21</v>
      </c>
      <c r="J596" s="12">
        <v>5.25</v>
      </c>
      <c r="K596" s="3">
        <v>203.07</v>
      </c>
      <c r="L596" s="3">
        <f t="shared" si="99"/>
        <v>38.68</v>
      </c>
      <c r="M596" s="13"/>
      <c r="N596">
        <f>_xlfn.XLOOKUP(G596,'Tarievensheet per persoon'!AE:AE,'Tarievensheet per persoon'!AF:AF)</f>
        <v>1.7068000000000001</v>
      </c>
      <c r="O596">
        <f>_xlfn.XLOOKUP(G596,AE:AE,'Tarievensheet per persoon'!AG:AG)</f>
        <v>1.5528</v>
      </c>
      <c r="P596">
        <f>_xlfn.XLOOKUP(G596,AE:AE,'Tarievensheet per persoon'!AH:AH)</f>
        <v>1.3391999999999999</v>
      </c>
      <c r="Q596">
        <f>_xlfn.XLOOKUP(G596,AE:AE,'Tarievensheet per persoon'!AI:AI)</f>
        <v>1.3391999999999999</v>
      </c>
      <c r="R596">
        <v>0</v>
      </c>
      <c r="S596" s="14">
        <v>2.99</v>
      </c>
      <c r="T596" s="10">
        <f t="shared" si="100"/>
        <v>30.452412000000002</v>
      </c>
      <c r="U596" s="10">
        <f t="shared" si="101"/>
        <v>38.697314160000005</v>
      </c>
      <c r="V596" s="10">
        <f t="shared" si="102"/>
        <v>39.197005200000007</v>
      </c>
      <c r="W596" s="10">
        <f t="shared" si="103"/>
        <v>50.440053599999999</v>
      </c>
      <c r="X596" s="10">
        <f t="shared" si="104"/>
        <v>55.436964000000003</v>
      </c>
      <c r="Y596" s="10">
        <f t="shared" si="105"/>
        <v>80.421515999999997</v>
      </c>
      <c r="Z596" s="10">
        <f t="shared" si="106"/>
        <v>28.441929599999998</v>
      </c>
      <c r="AA596" s="10">
        <f t="shared" si="107"/>
        <v>36.568195199999998</v>
      </c>
      <c r="AB596" s="10">
        <f t="shared" si="108"/>
        <v>40.631327999999996</v>
      </c>
      <c r="AC596" s="10">
        <f t="shared" si="109"/>
        <v>60.946991999999995</v>
      </c>
    </row>
    <row r="597" spans="1:29" x14ac:dyDescent="0.25">
      <c r="A597">
        <v>442415</v>
      </c>
      <c r="B597" t="s">
        <v>75</v>
      </c>
      <c r="C597" s="10">
        <v>16.09</v>
      </c>
      <c r="D597" s="10">
        <v>15.17</v>
      </c>
      <c r="E597" s="10">
        <v>0</v>
      </c>
      <c r="F597">
        <v>113</v>
      </c>
      <c r="G597" t="s">
        <v>19</v>
      </c>
      <c r="H597" s="11">
        <v>45986</v>
      </c>
      <c r="I597" t="s">
        <v>13</v>
      </c>
      <c r="J597" s="12">
        <v>2.75</v>
      </c>
      <c r="K597" s="3">
        <v>83.71</v>
      </c>
      <c r="L597" s="3">
        <f t="shared" si="99"/>
        <v>30.439999999999998</v>
      </c>
      <c r="M597" s="13"/>
      <c r="N597">
        <f>_xlfn.XLOOKUP(G597,'Tarievensheet per persoon'!AE:AE,'Tarievensheet per persoon'!AF:AF)</f>
        <v>1.7068000000000001</v>
      </c>
      <c r="O597">
        <f>_xlfn.XLOOKUP(G597,AE:AE,'Tarievensheet per persoon'!AG:AG)</f>
        <v>1.5528</v>
      </c>
      <c r="P597">
        <f>_xlfn.XLOOKUP(G597,AE:AE,'Tarievensheet per persoon'!AH:AH)</f>
        <v>1.3391999999999999</v>
      </c>
      <c r="Q597">
        <f>_xlfn.XLOOKUP(G597,AE:AE,'Tarievensheet per persoon'!AI:AI)</f>
        <v>1.3391999999999999</v>
      </c>
      <c r="R597">
        <v>0</v>
      </c>
      <c r="S597" s="14">
        <v>2.99</v>
      </c>
      <c r="T597" s="10">
        <f t="shared" si="100"/>
        <v>30.452412000000002</v>
      </c>
      <c r="U597" s="10">
        <f t="shared" si="101"/>
        <v>38.697314160000005</v>
      </c>
      <c r="V597" s="10">
        <f t="shared" si="102"/>
        <v>39.197005200000007</v>
      </c>
      <c r="W597" s="10">
        <f t="shared" si="103"/>
        <v>50.440053599999999</v>
      </c>
      <c r="X597" s="10">
        <f t="shared" si="104"/>
        <v>55.436964000000003</v>
      </c>
      <c r="Y597" s="10">
        <f t="shared" si="105"/>
        <v>80.421515999999997</v>
      </c>
      <c r="Z597" s="10">
        <f t="shared" si="106"/>
        <v>28.441929599999998</v>
      </c>
      <c r="AA597" s="10">
        <f t="shared" si="107"/>
        <v>36.568195199999998</v>
      </c>
      <c r="AB597" s="10">
        <f t="shared" si="108"/>
        <v>40.631327999999996</v>
      </c>
      <c r="AC597" s="10">
        <f t="shared" si="109"/>
        <v>60.946991999999995</v>
      </c>
    </row>
    <row r="598" spans="1:29" x14ac:dyDescent="0.25">
      <c r="A598">
        <v>442415</v>
      </c>
      <c r="B598" t="s">
        <v>75</v>
      </c>
      <c r="C598" s="10">
        <v>16.09</v>
      </c>
      <c r="D598" s="10">
        <v>15.17</v>
      </c>
      <c r="E598" s="10">
        <v>0</v>
      </c>
      <c r="F598">
        <v>113</v>
      </c>
      <c r="G598" t="s">
        <v>19</v>
      </c>
      <c r="H598" s="11">
        <v>45986</v>
      </c>
      <c r="I598" t="s">
        <v>21</v>
      </c>
      <c r="J598" s="12">
        <v>5.25</v>
      </c>
      <c r="K598" s="3">
        <v>203.07</v>
      </c>
      <c r="L598" s="3">
        <f t="shared" si="99"/>
        <v>38.68</v>
      </c>
      <c r="M598" s="13"/>
      <c r="N598">
        <f>_xlfn.XLOOKUP(G598,'Tarievensheet per persoon'!AE:AE,'Tarievensheet per persoon'!AF:AF)</f>
        <v>1.7068000000000001</v>
      </c>
      <c r="O598">
        <f>_xlfn.XLOOKUP(G598,AE:AE,'Tarievensheet per persoon'!AG:AG)</f>
        <v>1.5528</v>
      </c>
      <c r="P598">
        <f>_xlfn.XLOOKUP(G598,AE:AE,'Tarievensheet per persoon'!AH:AH)</f>
        <v>1.3391999999999999</v>
      </c>
      <c r="Q598">
        <f>_xlfn.XLOOKUP(G598,AE:AE,'Tarievensheet per persoon'!AI:AI)</f>
        <v>1.3391999999999999</v>
      </c>
      <c r="R598">
        <v>0</v>
      </c>
      <c r="S598" s="14">
        <v>2.99</v>
      </c>
      <c r="T598" s="10">
        <f t="shared" si="100"/>
        <v>30.452412000000002</v>
      </c>
      <c r="U598" s="10">
        <f t="shared" si="101"/>
        <v>38.697314160000005</v>
      </c>
      <c r="V598" s="10">
        <f t="shared" si="102"/>
        <v>39.197005200000007</v>
      </c>
      <c r="W598" s="10">
        <f t="shared" si="103"/>
        <v>50.440053599999999</v>
      </c>
      <c r="X598" s="10">
        <f t="shared" si="104"/>
        <v>55.436964000000003</v>
      </c>
      <c r="Y598" s="10">
        <f t="shared" si="105"/>
        <v>80.421515999999997</v>
      </c>
      <c r="Z598" s="10">
        <f t="shared" si="106"/>
        <v>28.441929599999998</v>
      </c>
      <c r="AA598" s="10">
        <f t="shared" si="107"/>
        <v>36.568195199999998</v>
      </c>
      <c r="AB598" s="10">
        <f t="shared" si="108"/>
        <v>40.631327999999996</v>
      </c>
      <c r="AC598" s="10">
        <f t="shared" si="109"/>
        <v>60.946991999999995</v>
      </c>
    </row>
    <row r="599" spans="1:29" x14ac:dyDescent="0.25">
      <c r="A599">
        <v>442415</v>
      </c>
      <c r="B599" t="s">
        <v>75</v>
      </c>
      <c r="C599" s="10">
        <v>16.09</v>
      </c>
      <c r="D599" s="10">
        <v>15.17</v>
      </c>
      <c r="E599" s="10">
        <v>0</v>
      </c>
      <c r="F599">
        <v>113</v>
      </c>
      <c r="G599" t="s">
        <v>19</v>
      </c>
      <c r="H599" s="11">
        <v>45987</v>
      </c>
      <c r="I599" t="s">
        <v>13</v>
      </c>
      <c r="J599" s="12">
        <v>3</v>
      </c>
      <c r="K599" s="3">
        <v>91.32</v>
      </c>
      <c r="L599" s="3">
        <f t="shared" si="99"/>
        <v>30.439999999999998</v>
      </c>
      <c r="M599" s="13"/>
      <c r="N599">
        <f>_xlfn.XLOOKUP(G599,'Tarievensheet per persoon'!AE:AE,'Tarievensheet per persoon'!AF:AF)</f>
        <v>1.7068000000000001</v>
      </c>
      <c r="O599">
        <f>_xlfn.XLOOKUP(G599,AE:AE,'Tarievensheet per persoon'!AG:AG)</f>
        <v>1.5528</v>
      </c>
      <c r="P599">
        <f>_xlfn.XLOOKUP(G599,AE:AE,'Tarievensheet per persoon'!AH:AH)</f>
        <v>1.3391999999999999</v>
      </c>
      <c r="Q599">
        <f>_xlfn.XLOOKUP(G599,AE:AE,'Tarievensheet per persoon'!AI:AI)</f>
        <v>1.3391999999999999</v>
      </c>
      <c r="R599">
        <v>0</v>
      </c>
      <c r="S599" s="14">
        <v>2.99</v>
      </c>
      <c r="T599" s="10">
        <f t="shared" si="100"/>
        <v>30.452412000000002</v>
      </c>
      <c r="U599" s="10">
        <f t="shared" si="101"/>
        <v>38.697314160000005</v>
      </c>
      <c r="V599" s="10">
        <f t="shared" si="102"/>
        <v>39.197005200000007</v>
      </c>
      <c r="W599" s="10">
        <f t="shared" si="103"/>
        <v>50.440053599999999</v>
      </c>
      <c r="X599" s="10">
        <f t="shared" si="104"/>
        <v>55.436964000000003</v>
      </c>
      <c r="Y599" s="10">
        <f t="shared" si="105"/>
        <v>80.421515999999997</v>
      </c>
      <c r="Z599" s="10">
        <f t="shared" si="106"/>
        <v>28.441929599999998</v>
      </c>
      <c r="AA599" s="10">
        <f t="shared" si="107"/>
        <v>36.568195199999998</v>
      </c>
      <c r="AB599" s="10">
        <f t="shared" si="108"/>
        <v>40.631327999999996</v>
      </c>
      <c r="AC599" s="10">
        <f t="shared" si="109"/>
        <v>60.946991999999995</v>
      </c>
    </row>
    <row r="600" spans="1:29" x14ac:dyDescent="0.25">
      <c r="A600">
        <v>442415</v>
      </c>
      <c r="B600" t="s">
        <v>75</v>
      </c>
      <c r="C600" s="10">
        <v>16.09</v>
      </c>
      <c r="D600" s="10">
        <v>15.17</v>
      </c>
      <c r="E600" s="10">
        <v>0</v>
      </c>
      <c r="F600">
        <v>113</v>
      </c>
      <c r="G600" t="s">
        <v>19</v>
      </c>
      <c r="H600" s="11">
        <v>45987</v>
      </c>
      <c r="I600" t="s">
        <v>21</v>
      </c>
      <c r="J600" s="12">
        <v>5</v>
      </c>
      <c r="K600" s="3">
        <v>193.4</v>
      </c>
      <c r="L600" s="3">
        <f t="shared" si="99"/>
        <v>38.68</v>
      </c>
      <c r="M600" s="13"/>
      <c r="N600">
        <f>_xlfn.XLOOKUP(G600,'Tarievensheet per persoon'!AE:AE,'Tarievensheet per persoon'!AF:AF)</f>
        <v>1.7068000000000001</v>
      </c>
      <c r="O600">
        <f>_xlfn.XLOOKUP(G600,AE:AE,'Tarievensheet per persoon'!AG:AG)</f>
        <v>1.5528</v>
      </c>
      <c r="P600">
        <f>_xlfn.XLOOKUP(G600,AE:AE,'Tarievensheet per persoon'!AH:AH)</f>
        <v>1.3391999999999999</v>
      </c>
      <c r="Q600">
        <f>_xlfn.XLOOKUP(G600,AE:AE,'Tarievensheet per persoon'!AI:AI)</f>
        <v>1.3391999999999999</v>
      </c>
      <c r="R600">
        <v>0</v>
      </c>
      <c r="S600" s="14">
        <v>2.99</v>
      </c>
      <c r="T600" s="10">
        <f t="shared" si="100"/>
        <v>30.452412000000002</v>
      </c>
      <c r="U600" s="10">
        <f t="shared" si="101"/>
        <v>38.697314160000005</v>
      </c>
      <c r="V600" s="10">
        <f t="shared" si="102"/>
        <v>39.197005200000007</v>
      </c>
      <c r="W600" s="10">
        <f t="shared" si="103"/>
        <v>50.440053599999999</v>
      </c>
      <c r="X600" s="10">
        <f t="shared" si="104"/>
        <v>55.436964000000003</v>
      </c>
      <c r="Y600" s="10">
        <f t="shared" si="105"/>
        <v>80.421515999999997</v>
      </c>
      <c r="Z600" s="10">
        <f t="shared" si="106"/>
        <v>28.441929599999998</v>
      </c>
      <c r="AA600" s="10">
        <f t="shared" si="107"/>
        <v>36.568195199999998</v>
      </c>
      <c r="AB600" s="10">
        <f t="shared" si="108"/>
        <v>40.631327999999996</v>
      </c>
      <c r="AC600" s="10">
        <f t="shared" si="109"/>
        <v>60.946991999999995</v>
      </c>
    </row>
    <row r="601" spans="1:29" x14ac:dyDescent="0.25">
      <c r="A601">
        <v>442415</v>
      </c>
      <c r="B601" t="s">
        <v>75</v>
      </c>
      <c r="C601" s="10">
        <v>16.09</v>
      </c>
      <c r="D601" s="10">
        <v>15.17</v>
      </c>
      <c r="E601" s="10">
        <v>0</v>
      </c>
      <c r="F601">
        <v>113</v>
      </c>
      <c r="G601" t="s">
        <v>19</v>
      </c>
      <c r="H601" s="11">
        <v>45988</v>
      </c>
      <c r="I601" t="s">
        <v>13</v>
      </c>
      <c r="J601" s="12">
        <v>3</v>
      </c>
      <c r="K601" s="3">
        <v>91.32</v>
      </c>
      <c r="L601" s="3">
        <f t="shared" si="99"/>
        <v>30.439999999999998</v>
      </c>
      <c r="M601" s="13"/>
      <c r="N601">
        <f>_xlfn.XLOOKUP(G601,'Tarievensheet per persoon'!AE:AE,'Tarievensheet per persoon'!AF:AF)</f>
        <v>1.7068000000000001</v>
      </c>
      <c r="O601">
        <f>_xlfn.XLOOKUP(G601,AE:AE,'Tarievensheet per persoon'!AG:AG)</f>
        <v>1.5528</v>
      </c>
      <c r="P601">
        <f>_xlfn.XLOOKUP(G601,AE:AE,'Tarievensheet per persoon'!AH:AH)</f>
        <v>1.3391999999999999</v>
      </c>
      <c r="Q601">
        <f>_xlfn.XLOOKUP(G601,AE:AE,'Tarievensheet per persoon'!AI:AI)</f>
        <v>1.3391999999999999</v>
      </c>
      <c r="R601">
        <v>0</v>
      </c>
      <c r="S601" s="14">
        <v>2.99</v>
      </c>
      <c r="T601" s="10">
        <f t="shared" si="100"/>
        <v>30.452412000000002</v>
      </c>
      <c r="U601" s="10">
        <f t="shared" si="101"/>
        <v>38.697314160000005</v>
      </c>
      <c r="V601" s="10">
        <f t="shared" si="102"/>
        <v>39.197005200000007</v>
      </c>
      <c r="W601" s="10">
        <f t="shared" si="103"/>
        <v>50.440053599999999</v>
      </c>
      <c r="X601" s="10">
        <f t="shared" si="104"/>
        <v>55.436964000000003</v>
      </c>
      <c r="Y601" s="10">
        <f t="shared" si="105"/>
        <v>80.421515999999997</v>
      </c>
      <c r="Z601" s="10">
        <f t="shared" si="106"/>
        <v>28.441929599999998</v>
      </c>
      <c r="AA601" s="10">
        <f t="shared" si="107"/>
        <v>36.568195199999998</v>
      </c>
      <c r="AB601" s="10">
        <f t="shared" si="108"/>
        <v>40.631327999999996</v>
      </c>
      <c r="AC601" s="10">
        <f t="shared" si="109"/>
        <v>60.946991999999995</v>
      </c>
    </row>
    <row r="602" spans="1:29" x14ac:dyDescent="0.25">
      <c r="A602">
        <v>442415</v>
      </c>
      <c r="B602" t="s">
        <v>75</v>
      </c>
      <c r="C602" s="10">
        <v>16.09</v>
      </c>
      <c r="D602" s="10">
        <v>15.17</v>
      </c>
      <c r="E602" s="10">
        <v>0</v>
      </c>
      <c r="F602">
        <v>113</v>
      </c>
      <c r="G602" t="s">
        <v>19</v>
      </c>
      <c r="H602" s="11">
        <v>45988</v>
      </c>
      <c r="I602" t="s">
        <v>21</v>
      </c>
      <c r="J602" s="12">
        <v>5</v>
      </c>
      <c r="K602" s="3">
        <v>193.4</v>
      </c>
      <c r="L602" s="3">
        <f t="shared" si="99"/>
        <v>38.68</v>
      </c>
      <c r="M602" s="13"/>
      <c r="N602">
        <f>_xlfn.XLOOKUP(G602,'Tarievensheet per persoon'!AE:AE,'Tarievensheet per persoon'!AF:AF)</f>
        <v>1.7068000000000001</v>
      </c>
      <c r="O602">
        <f>_xlfn.XLOOKUP(G602,AE:AE,'Tarievensheet per persoon'!AG:AG)</f>
        <v>1.5528</v>
      </c>
      <c r="P602">
        <f>_xlfn.XLOOKUP(G602,AE:AE,'Tarievensheet per persoon'!AH:AH)</f>
        <v>1.3391999999999999</v>
      </c>
      <c r="Q602">
        <f>_xlfn.XLOOKUP(G602,AE:AE,'Tarievensheet per persoon'!AI:AI)</f>
        <v>1.3391999999999999</v>
      </c>
      <c r="R602">
        <v>0</v>
      </c>
      <c r="S602" s="14">
        <v>2.99</v>
      </c>
      <c r="T602" s="10">
        <f t="shared" si="100"/>
        <v>30.452412000000002</v>
      </c>
      <c r="U602" s="10">
        <f t="shared" si="101"/>
        <v>38.697314160000005</v>
      </c>
      <c r="V602" s="10">
        <f t="shared" si="102"/>
        <v>39.197005200000007</v>
      </c>
      <c r="W602" s="10">
        <f t="shared" si="103"/>
        <v>50.440053599999999</v>
      </c>
      <c r="X602" s="10">
        <f t="shared" si="104"/>
        <v>55.436964000000003</v>
      </c>
      <c r="Y602" s="10">
        <f t="shared" si="105"/>
        <v>80.421515999999997</v>
      </c>
      <c r="Z602" s="10">
        <f t="shared" si="106"/>
        <v>28.441929599999998</v>
      </c>
      <c r="AA602" s="10">
        <f t="shared" si="107"/>
        <v>36.568195199999998</v>
      </c>
      <c r="AB602" s="10">
        <f t="shared" si="108"/>
        <v>40.631327999999996</v>
      </c>
      <c r="AC602" s="10">
        <f t="shared" si="109"/>
        <v>60.946991999999995</v>
      </c>
    </row>
    <row r="603" spans="1:29" x14ac:dyDescent="0.25">
      <c r="A603">
        <v>442415</v>
      </c>
      <c r="B603" t="s">
        <v>75</v>
      </c>
      <c r="C603" s="10">
        <v>16.09</v>
      </c>
      <c r="D603" s="10">
        <v>15.17</v>
      </c>
      <c r="E603" s="10">
        <v>0</v>
      </c>
      <c r="F603">
        <v>113</v>
      </c>
      <c r="G603" t="s">
        <v>19</v>
      </c>
      <c r="H603" s="11">
        <v>45989</v>
      </c>
      <c r="I603" t="s">
        <v>13</v>
      </c>
      <c r="J603" s="12">
        <v>3</v>
      </c>
      <c r="K603" s="3">
        <v>91.32</v>
      </c>
      <c r="L603" s="3">
        <f t="shared" si="99"/>
        <v>30.439999999999998</v>
      </c>
      <c r="M603" s="13"/>
      <c r="N603">
        <f>_xlfn.XLOOKUP(G603,'Tarievensheet per persoon'!AE:AE,'Tarievensheet per persoon'!AF:AF)</f>
        <v>1.7068000000000001</v>
      </c>
      <c r="O603">
        <f>_xlfn.XLOOKUP(G603,AE:AE,'Tarievensheet per persoon'!AG:AG)</f>
        <v>1.5528</v>
      </c>
      <c r="P603">
        <f>_xlfn.XLOOKUP(G603,AE:AE,'Tarievensheet per persoon'!AH:AH)</f>
        <v>1.3391999999999999</v>
      </c>
      <c r="Q603">
        <f>_xlfn.XLOOKUP(G603,AE:AE,'Tarievensheet per persoon'!AI:AI)</f>
        <v>1.3391999999999999</v>
      </c>
      <c r="R603">
        <v>0</v>
      </c>
      <c r="S603" s="14">
        <v>2.99</v>
      </c>
      <c r="T603" s="10">
        <f t="shared" si="100"/>
        <v>30.452412000000002</v>
      </c>
      <c r="U603" s="10">
        <f t="shared" si="101"/>
        <v>38.697314160000005</v>
      </c>
      <c r="V603" s="10">
        <f t="shared" si="102"/>
        <v>39.197005200000007</v>
      </c>
      <c r="W603" s="10">
        <f t="shared" si="103"/>
        <v>50.440053599999999</v>
      </c>
      <c r="X603" s="10">
        <f t="shared" si="104"/>
        <v>55.436964000000003</v>
      </c>
      <c r="Y603" s="10">
        <f t="shared" si="105"/>
        <v>80.421515999999997</v>
      </c>
      <c r="Z603" s="10">
        <f t="shared" si="106"/>
        <v>28.441929599999998</v>
      </c>
      <c r="AA603" s="10">
        <f t="shared" si="107"/>
        <v>36.568195199999998</v>
      </c>
      <c r="AB603" s="10">
        <f t="shared" si="108"/>
        <v>40.631327999999996</v>
      </c>
      <c r="AC603" s="10">
        <f t="shared" si="109"/>
        <v>60.946991999999995</v>
      </c>
    </row>
    <row r="604" spans="1:29" x14ac:dyDescent="0.25">
      <c r="A604">
        <v>442415</v>
      </c>
      <c r="B604" t="s">
        <v>75</v>
      </c>
      <c r="C604" s="10">
        <v>16.09</v>
      </c>
      <c r="D604" s="10">
        <v>15.17</v>
      </c>
      <c r="E604" s="10">
        <v>0</v>
      </c>
      <c r="F604">
        <v>113</v>
      </c>
      <c r="G604" t="s">
        <v>19</v>
      </c>
      <c r="H604" s="11">
        <v>45989</v>
      </c>
      <c r="I604" t="s">
        <v>21</v>
      </c>
      <c r="J604" s="12">
        <v>5</v>
      </c>
      <c r="K604" s="3">
        <v>193.4</v>
      </c>
      <c r="L604" s="3">
        <f t="shared" si="99"/>
        <v>38.68</v>
      </c>
      <c r="M604" s="13"/>
      <c r="N604">
        <f>_xlfn.XLOOKUP(G604,'Tarievensheet per persoon'!AE:AE,'Tarievensheet per persoon'!AF:AF)</f>
        <v>1.7068000000000001</v>
      </c>
      <c r="O604">
        <f>_xlfn.XLOOKUP(G604,AE:AE,'Tarievensheet per persoon'!AG:AG)</f>
        <v>1.5528</v>
      </c>
      <c r="P604">
        <f>_xlfn.XLOOKUP(G604,AE:AE,'Tarievensheet per persoon'!AH:AH)</f>
        <v>1.3391999999999999</v>
      </c>
      <c r="Q604">
        <f>_xlfn.XLOOKUP(G604,AE:AE,'Tarievensheet per persoon'!AI:AI)</f>
        <v>1.3391999999999999</v>
      </c>
      <c r="R604">
        <v>0</v>
      </c>
      <c r="S604" s="14">
        <v>2.99</v>
      </c>
      <c r="T604" s="10">
        <f t="shared" si="100"/>
        <v>30.452412000000002</v>
      </c>
      <c r="U604" s="10">
        <f t="shared" si="101"/>
        <v>38.697314160000005</v>
      </c>
      <c r="V604" s="10">
        <f t="shared" si="102"/>
        <v>39.197005200000007</v>
      </c>
      <c r="W604" s="10">
        <f t="shared" si="103"/>
        <v>50.440053599999999</v>
      </c>
      <c r="X604" s="10">
        <f t="shared" si="104"/>
        <v>55.436964000000003</v>
      </c>
      <c r="Y604" s="10">
        <f t="shared" si="105"/>
        <v>80.421515999999997</v>
      </c>
      <c r="Z604" s="10">
        <f t="shared" si="106"/>
        <v>28.441929599999998</v>
      </c>
      <c r="AA604" s="10">
        <f t="shared" si="107"/>
        <v>36.568195199999998</v>
      </c>
      <c r="AB604" s="10">
        <f t="shared" si="108"/>
        <v>40.631327999999996</v>
      </c>
      <c r="AC604" s="10">
        <f t="shared" si="109"/>
        <v>60.946991999999995</v>
      </c>
    </row>
    <row r="605" spans="1:29" x14ac:dyDescent="0.25">
      <c r="A605">
        <v>442926</v>
      </c>
      <c r="B605" t="s">
        <v>76</v>
      </c>
      <c r="C605" s="10">
        <v>16.91</v>
      </c>
      <c r="D605" s="10">
        <v>15.94</v>
      </c>
      <c r="E605" s="10">
        <v>0</v>
      </c>
      <c r="F605">
        <v>24</v>
      </c>
      <c r="G605" t="s">
        <v>15</v>
      </c>
      <c r="H605" s="11">
        <v>45985</v>
      </c>
      <c r="I605" t="s">
        <v>13</v>
      </c>
      <c r="J605" s="12">
        <v>8</v>
      </c>
      <c r="K605" s="3">
        <v>254.24</v>
      </c>
      <c r="L605" s="3">
        <f t="shared" si="99"/>
        <v>31.78</v>
      </c>
      <c r="M605" s="13"/>
      <c r="N605">
        <f>_xlfn.XLOOKUP(G605,'Tarievensheet per persoon'!AE:AE,'Tarievensheet per persoon'!AF:AF)</f>
        <v>1.7024999999999999</v>
      </c>
      <c r="O605">
        <f>_xlfn.XLOOKUP(G605,AE:AE,'Tarievensheet per persoon'!AG:AG)</f>
        <v>1.5642</v>
      </c>
      <c r="P605">
        <f>_xlfn.XLOOKUP(G605,AE:AE,'Tarievensheet per persoon'!AH:AH)</f>
        <v>1.3552</v>
      </c>
      <c r="Q605">
        <f>_xlfn.XLOOKUP(G605,AE:AE,'Tarievensheet per persoon'!AI:AI)</f>
        <v>1.3552</v>
      </c>
      <c r="R605">
        <v>0</v>
      </c>
      <c r="S605" s="14">
        <v>2.99</v>
      </c>
      <c r="T605" s="10">
        <f t="shared" si="100"/>
        <v>31.779274999999998</v>
      </c>
      <c r="U605" s="10">
        <f t="shared" si="101"/>
        <v>40.507980259999997</v>
      </c>
      <c r="V605" s="10">
        <f t="shared" si="102"/>
        <v>41.036992699999999</v>
      </c>
      <c r="W605" s="10">
        <f t="shared" si="103"/>
        <v>52.939772599999998</v>
      </c>
      <c r="X605" s="10">
        <f t="shared" si="104"/>
        <v>58.229896999999994</v>
      </c>
      <c r="Y605" s="10">
        <f t="shared" si="105"/>
        <v>84.680519000000004</v>
      </c>
      <c r="Z605" s="10">
        <f t="shared" si="106"/>
        <v>30.242643199999996</v>
      </c>
      <c r="AA605" s="10">
        <f t="shared" si="107"/>
        <v>38.883398399999997</v>
      </c>
      <c r="AB605" s="10">
        <f t="shared" si="108"/>
        <v>43.203775999999998</v>
      </c>
      <c r="AC605" s="10">
        <f t="shared" si="109"/>
        <v>64.805663999999993</v>
      </c>
    </row>
    <row r="606" spans="1:29" x14ac:dyDescent="0.25">
      <c r="A606">
        <v>442926</v>
      </c>
      <c r="B606" t="s">
        <v>76</v>
      </c>
      <c r="C606" s="10">
        <v>16.91</v>
      </c>
      <c r="D606" s="10">
        <v>15.94</v>
      </c>
      <c r="E606" s="10">
        <v>0</v>
      </c>
      <c r="F606">
        <v>24</v>
      </c>
      <c r="G606" t="s">
        <v>15</v>
      </c>
      <c r="H606" s="11">
        <v>45986</v>
      </c>
      <c r="I606" t="s">
        <v>13</v>
      </c>
      <c r="J606" s="12">
        <v>8</v>
      </c>
      <c r="K606" s="3">
        <v>254.24</v>
      </c>
      <c r="L606" s="3">
        <f t="shared" si="99"/>
        <v>31.78</v>
      </c>
      <c r="M606" s="13"/>
      <c r="N606">
        <f>_xlfn.XLOOKUP(G606,'Tarievensheet per persoon'!AE:AE,'Tarievensheet per persoon'!AF:AF)</f>
        <v>1.7024999999999999</v>
      </c>
      <c r="O606">
        <f>_xlfn.XLOOKUP(G606,AE:AE,'Tarievensheet per persoon'!AG:AG)</f>
        <v>1.5642</v>
      </c>
      <c r="P606">
        <f>_xlfn.XLOOKUP(G606,AE:AE,'Tarievensheet per persoon'!AH:AH)</f>
        <v>1.3552</v>
      </c>
      <c r="Q606">
        <f>_xlfn.XLOOKUP(G606,AE:AE,'Tarievensheet per persoon'!AI:AI)</f>
        <v>1.3552</v>
      </c>
      <c r="R606">
        <v>0</v>
      </c>
      <c r="S606" s="14">
        <v>2.99</v>
      </c>
      <c r="T606" s="10">
        <f t="shared" si="100"/>
        <v>31.779274999999998</v>
      </c>
      <c r="U606" s="10">
        <f t="shared" si="101"/>
        <v>40.507980259999997</v>
      </c>
      <c r="V606" s="10">
        <f t="shared" si="102"/>
        <v>41.036992699999999</v>
      </c>
      <c r="W606" s="10">
        <f t="shared" si="103"/>
        <v>52.939772599999998</v>
      </c>
      <c r="X606" s="10">
        <f t="shared" si="104"/>
        <v>58.229896999999994</v>
      </c>
      <c r="Y606" s="10">
        <f t="shared" si="105"/>
        <v>84.680519000000004</v>
      </c>
      <c r="Z606" s="10">
        <f t="shared" si="106"/>
        <v>30.242643199999996</v>
      </c>
      <c r="AA606" s="10">
        <f t="shared" si="107"/>
        <v>38.883398399999997</v>
      </c>
      <c r="AB606" s="10">
        <f t="shared" si="108"/>
        <v>43.203775999999998</v>
      </c>
      <c r="AC606" s="10">
        <f t="shared" si="109"/>
        <v>64.805663999999993</v>
      </c>
    </row>
    <row r="607" spans="1:29" x14ac:dyDescent="0.25">
      <c r="A607">
        <v>442926</v>
      </c>
      <c r="B607" t="s">
        <v>76</v>
      </c>
      <c r="C607" s="10">
        <v>16.91</v>
      </c>
      <c r="D607" s="10">
        <v>15.94</v>
      </c>
      <c r="E607" s="10">
        <v>0</v>
      </c>
      <c r="F607">
        <v>24</v>
      </c>
      <c r="G607" t="s">
        <v>15</v>
      </c>
      <c r="H607" s="11">
        <v>45987</v>
      </c>
      <c r="I607" t="s">
        <v>13</v>
      </c>
      <c r="J607" s="12">
        <v>8</v>
      </c>
      <c r="K607" s="3">
        <v>254.24</v>
      </c>
      <c r="L607" s="3">
        <f t="shared" si="99"/>
        <v>31.78</v>
      </c>
      <c r="M607" s="13"/>
      <c r="N607">
        <f>_xlfn.XLOOKUP(G607,'Tarievensheet per persoon'!AE:AE,'Tarievensheet per persoon'!AF:AF)</f>
        <v>1.7024999999999999</v>
      </c>
      <c r="O607">
        <f>_xlfn.XLOOKUP(G607,AE:AE,'Tarievensheet per persoon'!AG:AG)</f>
        <v>1.5642</v>
      </c>
      <c r="P607">
        <f>_xlfn.XLOOKUP(G607,AE:AE,'Tarievensheet per persoon'!AH:AH)</f>
        <v>1.3552</v>
      </c>
      <c r="Q607">
        <f>_xlfn.XLOOKUP(G607,AE:AE,'Tarievensheet per persoon'!AI:AI)</f>
        <v>1.3552</v>
      </c>
      <c r="R607">
        <v>0</v>
      </c>
      <c r="S607" s="14">
        <v>2.99</v>
      </c>
      <c r="T607" s="10">
        <f t="shared" si="100"/>
        <v>31.779274999999998</v>
      </c>
      <c r="U607" s="10">
        <f t="shared" si="101"/>
        <v>40.507980259999997</v>
      </c>
      <c r="V607" s="10">
        <f t="shared" si="102"/>
        <v>41.036992699999999</v>
      </c>
      <c r="W607" s="10">
        <f t="shared" si="103"/>
        <v>52.939772599999998</v>
      </c>
      <c r="X607" s="10">
        <f t="shared" si="104"/>
        <v>58.229896999999994</v>
      </c>
      <c r="Y607" s="10">
        <f t="shared" si="105"/>
        <v>84.680519000000004</v>
      </c>
      <c r="Z607" s="10">
        <f t="shared" si="106"/>
        <v>30.242643199999996</v>
      </c>
      <c r="AA607" s="10">
        <f t="shared" si="107"/>
        <v>38.883398399999997</v>
      </c>
      <c r="AB607" s="10">
        <f t="shared" si="108"/>
        <v>43.203775999999998</v>
      </c>
      <c r="AC607" s="10">
        <f t="shared" si="109"/>
        <v>64.805663999999993</v>
      </c>
    </row>
    <row r="608" spans="1:29" x14ac:dyDescent="0.25">
      <c r="A608">
        <v>442927</v>
      </c>
      <c r="B608" t="s">
        <v>77</v>
      </c>
      <c r="C608" s="10">
        <v>15.89</v>
      </c>
      <c r="D608" s="10">
        <v>14.98</v>
      </c>
      <c r="E608" s="10">
        <v>0</v>
      </c>
      <c r="F608">
        <v>24</v>
      </c>
      <c r="G608" t="s">
        <v>15</v>
      </c>
      <c r="H608" s="11">
        <v>45985</v>
      </c>
      <c r="I608" t="s">
        <v>13</v>
      </c>
      <c r="J608" s="12">
        <v>7</v>
      </c>
      <c r="K608" s="3">
        <v>210.28</v>
      </c>
      <c r="L608" s="3">
        <f t="shared" si="99"/>
        <v>30.04</v>
      </c>
      <c r="M608" s="13"/>
      <c r="N608">
        <f>_xlfn.XLOOKUP(G608,'Tarievensheet per persoon'!AE:AE,'Tarievensheet per persoon'!AF:AF)</f>
        <v>1.7024999999999999</v>
      </c>
      <c r="O608">
        <f>_xlfn.XLOOKUP(G608,AE:AE,'Tarievensheet per persoon'!AG:AG)</f>
        <v>1.5642</v>
      </c>
      <c r="P608">
        <f>_xlfn.XLOOKUP(G608,AE:AE,'Tarievensheet per persoon'!AH:AH)</f>
        <v>1.3552</v>
      </c>
      <c r="Q608">
        <f>_xlfn.XLOOKUP(G608,AE:AE,'Tarievensheet per persoon'!AI:AI)</f>
        <v>1.3552</v>
      </c>
      <c r="R608">
        <v>0</v>
      </c>
      <c r="S608" s="14">
        <v>2.99</v>
      </c>
      <c r="T608" s="10">
        <f t="shared" si="100"/>
        <v>30.042724999999997</v>
      </c>
      <c r="U608" s="10">
        <f t="shared" si="101"/>
        <v>38.244920539999995</v>
      </c>
      <c r="V608" s="10">
        <f t="shared" si="102"/>
        <v>38.7420233</v>
      </c>
      <c r="W608" s="10">
        <f t="shared" si="103"/>
        <v>49.926835400000002</v>
      </c>
      <c r="X608" s="10">
        <f t="shared" si="104"/>
        <v>54.897863000000001</v>
      </c>
      <c r="Y608" s="10">
        <f t="shared" si="105"/>
        <v>79.753000999999998</v>
      </c>
      <c r="Z608" s="10">
        <f t="shared" si="106"/>
        <v>28.421254399999995</v>
      </c>
      <c r="AA608" s="10">
        <f t="shared" si="107"/>
        <v>36.541612800000003</v>
      </c>
      <c r="AB608" s="10">
        <f t="shared" si="108"/>
        <v>40.601792000000003</v>
      </c>
      <c r="AC608" s="10">
        <f t="shared" si="109"/>
        <v>60.902687999999998</v>
      </c>
    </row>
    <row r="609" spans="1:29" x14ac:dyDescent="0.25">
      <c r="A609">
        <v>442927</v>
      </c>
      <c r="B609" t="s">
        <v>77</v>
      </c>
      <c r="C609" s="10">
        <v>15.89</v>
      </c>
      <c r="D609" s="10">
        <v>14.98</v>
      </c>
      <c r="E609" s="10">
        <v>0</v>
      </c>
      <c r="F609">
        <v>24</v>
      </c>
      <c r="G609" t="s">
        <v>15</v>
      </c>
      <c r="H609" s="11">
        <v>45986</v>
      </c>
      <c r="I609" t="s">
        <v>13</v>
      </c>
      <c r="J609" s="12">
        <v>7</v>
      </c>
      <c r="K609" s="3">
        <v>210.28</v>
      </c>
      <c r="L609" s="3">
        <f t="shared" si="99"/>
        <v>30.04</v>
      </c>
      <c r="M609" s="13"/>
      <c r="N609">
        <f>_xlfn.XLOOKUP(G609,'Tarievensheet per persoon'!AE:AE,'Tarievensheet per persoon'!AF:AF)</f>
        <v>1.7024999999999999</v>
      </c>
      <c r="O609">
        <f>_xlfn.XLOOKUP(G609,AE:AE,'Tarievensheet per persoon'!AG:AG)</f>
        <v>1.5642</v>
      </c>
      <c r="P609">
        <f>_xlfn.XLOOKUP(G609,AE:AE,'Tarievensheet per persoon'!AH:AH)</f>
        <v>1.3552</v>
      </c>
      <c r="Q609">
        <f>_xlfn.XLOOKUP(G609,AE:AE,'Tarievensheet per persoon'!AI:AI)</f>
        <v>1.3552</v>
      </c>
      <c r="R609">
        <v>0</v>
      </c>
      <c r="S609" s="14">
        <v>2.99</v>
      </c>
      <c r="T609" s="10">
        <f t="shared" si="100"/>
        <v>30.042724999999997</v>
      </c>
      <c r="U609" s="10">
        <f t="shared" si="101"/>
        <v>38.244920539999995</v>
      </c>
      <c r="V609" s="10">
        <f t="shared" si="102"/>
        <v>38.7420233</v>
      </c>
      <c r="W609" s="10">
        <f t="shared" si="103"/>
        <v>49.926835400000002</v>
      </c>
      <c r="X609" s="10">
        <f t="shared" si="104"/>
        <v>54.897863000000001</v>
      </c>
      <c r="Y609" s="10">
        <f t="shared" si="105"/>
        <v>79.753000999999998</v>
      </c>
      <c r="Z609" s="10">
        <f t="shared" si="106"/>
        <v>28.421254399999995</v>
      </c>
      <c r="AA609" s="10">
        <f t="shared" si="107"/>
        <v>36.541612800000003</v>
      </c>
      <c r="AB609" s="10">
        <f t="shared" si="108"/>
        <v>40.601792000000003</v>
      </c>
      <c r="AC609" s="10">
        <f t="shared" si="109"/>
        <v>60.902687999999998</v>
      </c>
    </row>
    <row r="610" spans="1:29" x14ac:dyDescent="0.25">
      <c r="A610">
        <v>442927</v>
      </c>
      <c r="B610" t="s">
        <v>77</v>
      </c>
      <c r="C610" s="10">
        <v>15.89</v>
      </c>
      <c r="D610" s="10">
        <v>14.98</v>
      </c>
      <c r="E610" s="10">
        <v>0</v>
      </c>
      <c r="F610">
        <v>24</v>
      </c>
      <c r="G610" t="s">
        <v>15</v>
      </c>
      <c r="H610" s="11">
        <v>45987</v>
      </c>
      <c r="I610" t="s">
        <v>13</v>
      </c>
      <c r="J610" s="12">
        <v>7</v>
      </c>
      <c r="K610" s="3">
        <v>210.28</v>
      </c>
      <c r="L610" s="3">
        <f t="shared" si="99"/>
        <v>30.04</v>
      </c>
      <c r="M610" s="13"/>
      <c r="N610">
        <f>_xlfn.XLOOKUP(G610,'Tarievensheet per persoon'!AE:AE,'Tarievensheet per persoon'!AF:AF)</f>
        <v>1.7024999999999999</v>
      </c>
      <c r="O610">
        <f>_xlfn.XLOOKUP(G610,AE:AE,'Tarievensheet per persoon'!AG:AG)</f>
        <v>1.5642</v>
      </c>
      <c r="P610">
        <f>_xlfn.XLOOKUP(G610,AE:AE,'Tarievensheet per persoon'!AH:AH)</f>
        <v>1.3552</v>
      </c>
      <c r="Q610">
        <f>_xlfn.XLOOKUP(G610,AE:AE,'Tarievensheet per persoon'!AI:AI)</f>
        <v>1.3552</v>
      </c>
      <c r="R610">
        <v>0</v>
      </c>
      <c r="S610" s="14">
        <v>2.99</v>
      </c>
      <c r="T610" s="10">
        <f t="shared" si="100"/>
        <v>30.042724999999997</v>
      </c>
      <c r="U610" s="10">
        <f t="shared" si="101"/>
        <v>38.244920539999995</v>
      </c>
      <c r="V610" s="10">
        <f t="shared" si="102"/>
        <v>38.7420233</v>
      </c>
      <c r="W610" s="10">
        <f t="shared" si="103"/>
        <v>49.926835400000002</v>
      </c>
      <c r="X610" s="10">
        <f t="shared" si="104"/>
        <v>54.897863000000001</v>
      </c>
      <c r="Y610" s="10">
        <f t="shared" si="105"/>
        <v>79.753000999999998</v>
      </c>
      <c r="Z610" s="10">
        <f t="shared" si="106"/>
        <v>28.421254399999995</v>
      </c>
      <c r="AA610" s="10">
        <f t="shared" si="107"/>
        <v>36.541612800000003</v>
      </c>
      <c r="AB610" s="10">
        <f t="shared" si="108"/>
        <v>40.601792000000003</v>
      </c>
      <c r="AC610" s="10">
        <f t="shared" si="109"/>
        <v>60.902687999999998</v>
      </c>
    </row>
    <row r="611" spans="1:29" x14ac:dyDescent="0.25">
      <c r="A611">
        <v>443584</v>
      </c>
      <c r="B611" t="s">
        <v>78</v>
      </c>
      <c r="C611" s="10">
        <v>15.89</v>
      </c>
      <c r="D611" s="10">
        <v>14.98</v>
      </c>
      <c r="E611" s="10">
        <v>0</v>
      </c>
      <c r="F611">
        <v>23</v>
      </c>
      <c r="G611" t="s">
        <v>15</v>
      </c>
      <c r="H611" s="11">
        <v>45985</v>
      </c>
      <c r="I611" t="s">
        <v>13</v>
      </c>
      <c r="J611" s="12">
        <v>8</v>
      </c>
      <c r="K611" s="3">
        <v>240.32</v>
      </c>
      <c r="L611" s="3">
        <f t="shared" si="99"/>
        <v>30.04</v>
      </c>
      <c r="M611" s="13"/>
      <c r="N611">
        <f>_xlfn.XLOOKUP(G611,'Tarievensheet per persoon'!AE:AE,'Tarievensheet per persoon'!AF:AF)</f>
        <v>1.7024999999999999</v>
      </c>
      <c r="O611">
        <f>_xlfn.XLOOKUP(G611,AE:AE,'Tarievensheet per persoon'!AG:AG)</f>
        <v>1.5642</v>
      </c>
      <c r="P611">
        <f>_xlfn.XLOOKUP(G611,AE:AE,'Tarievensheet per persoon'!AH:AH)</f>
        <v>1.3552</v>
      </c>
      <c r="Q611">
        <f>_xlfn.XLOOKUP(G611,AE:AE,'Tarievensheet per persoon'!AI:AI)</f>
        <v>1.3552</v>
      </c>
      <c r="R611">
        <v>0</v>
      </c>
      <c r="S611" s="14">
        <v>2.99</v>
      </c>
      <c r="T611" s="10">
        <f t="shared" si="100"/>
        <v>30.042724999999997</v>
      </c>
      <c r="U611" s="10">
        <f t="shared" si="101"/>
        <v>38.244920539999995</v>
      </c>
      <c r="V611" s="10">
        <f t="shared" si="102"/>
        <v>38.7420233</v>
      </c>
      <c r="W611" s="10">
        <f t="shared" si="103"/>
        <v>49.926835400000002</v>
      </c>
      <c r="X611" s="10">
        <f t="shared" si="104"/>
        <v>54.897863000000001</v>
      </c>
      <c r="Y611" s="10">
        <f t="shared" si="105"/>
        <v>79.753000999999998</v>
      </c>
      <c r="Z611" s="10">
        <f t="shared" si="106"/>
        <v>28.421254399999995</v>
      </c>
      <c r="AA611" s="10">
        <f t="shared" si="107"/>
        <v>36.541612800000003</v>
      </c>
      <c r="AB611" s="10">
        <f t="shared" si="108"/>
        <v>40.601792000000003</v>
      </c>
      <c r="AC611" s="10">
        <f t="shared" si="109"/>
        <v>60.902687999999998</v>
      </c>
    </row>
    <row r="612" spans="1:29" x14ac:dyDescent="0.25">
      <c r="A612">
        <v>443584</v>
      </c>
      <c r="B612" t="s">
        <v>78</v>
      </c>
      <c r="C612" s="10">
        <v>15.89</v>
      </c>
      <c r="D612" s="10">
        <v>14.98</v>
      </c>
      <c r="E612" s="10">
        <v>0</v>
      </c>
      <c r="F612">
        <v>23</v>
      </c>
      <c r="G612" t="s">
        <v>15</v>
      </c>
      <c r="H612" s="11">
        <v>45986</v>
      </c>
      <c r="I612" t="s">
        <v>13</v>
      </c>
      <c r="J612" s="12">
        <v>8</v>
      </c>
      <c r="K612" s="3">
        <v>240.32</v>
      </c>
      <c r="L612" s="3">
        <f t="shared" si="99"/>
        <v>30.04</v>
      </c>
      <c r="M612" s="13"/>
      <c r="N612">
        <f>_xlfn.XLOOKUP(G612,'Tarievensheet per persoon'!AE:AE,'Tarievensheet per persoon'!AF:AF)</f>
        <v>1.7024999999999999</v>
      </c>
      <c r="O612">
        <f>_xlfn.XLOOKUP(G612,AE:AE,'Tarievensheet per persoon'!AG:AG)</f>
        <v>1.5642</v>
      </c>
      <c r="P612">
        <f>_xlfn.XLOOKUP(G612,AE:AE,'Tarievensheet per persoon'!AH:AH)</f>
        <v>1.3552</v>
      </c>
      <c r="Q612">
        <f>_xlfn.XLOOKUP(G612,AE:AE,'Tarievensheet per persoon'!AI:AI)</f>
        <v>1.3552</v>
      </c>
      <c r="R612">
        <v>0</v>
      </c>
      <c r="S612" s="14">
        <v>2.99</v>
      </c>
      <c r="T612" s="10">
        <f t="shared" si="100"/>
        <v>30.042724999999997</v>
      </c>
      <c r="U612" s="10">
        <f t="shared" si="101"/>
        <v>38.244920539999995</v>
      </c>
      <c r="V612" s="10">
        <f t="shared" si="102"/>
        <v>38.7420233</v>
      </c>
      <c r="W612" s="10">
        <f t="shared" si="103"/>
        <v>49.926835400000002</v>
      </c>
      <c r="X612" s="10">
        <f t="shared" si="104"/>
        <v>54.897863000000001</v>
      </c>
      <c r="Y612" s="10">
        <f t="shared" si="105"/>
        <v>79.753000999999998</v>
      </c>
      <c r="Z612" s="10">
        <f t="shared" si="106"/>
        <v>28.421254399999995</v>
      </c>
      <c r="AA612" s="10">
        <f t="shared" si="107"/>
        <v>36.541612800000003</v>
      </c>
      <c r="AB612" s="10">
        <f t="shared" si="108"/>
        <v>40.601792000000003</v>
      </c>
      <c r="AC612" s="10">
        <f t="shared" si="109"/>
        <v>60.902687999999998</v>
      </c>
    </row>
    <row r="613" spans="1:29" x14ac:dyDescent="0.25">
      <c r="A613">
        <v>443584</v>
      </c>
      <c r="B613" t="s">
        <v>78</v>
      </c>
      <c r="C613" s="10">
        <v>15.89</v>
      </c>
      <c r="D613" s="10">
        <v>14.98</v>
      </c>
      <c r="E613" s="10">
        <v>0</v>
      </c>
      <c r="F613">
        <v>23</v>
      </c>
      <c r="G613" t="s">
        <v>15</v>
      </c>
      <c r="H613" s="11">
        <v>45987</v>
      </c>
      <c r="I613" t="s">
        <v>13</v>
      </c>
      <c r="J613" s="12">
        <v>8</v>
      </c>
      <c r="K613" s="3">
        <v>240.32</v>
      </c>
      <c r="L613" s="3">
        <f t="shared" si="99"/>
        <v>30.04</v>
      </c>
      <c r="M613" s="13"/>
      <c r="N613">
        <f>_xlfn.XLOOKUP(G613,'Tarievensheet per persoon'!AE:AE,'Tarievensheet per persoon'!AF:AF)</f>
        <v>1.7024999999999999</v>
      </c>
      <c r="O613">
        <f>_xlfn.XLOOKUP(G613,AE:AE,'Tarievensheet per persoon'!AG:AG)</f>
        <v>1.5642</v>
      </c>
      <c r="P613">
        <f>_xlfn.XLOOKUP(G613,AE:AE,'Tarievensheet per persoon'!AH:AH)</f>
        <v>1.3552</v>
      </c>
      <c r="Q613">
        <f>_xlfn.XLOOKUP(G613,AE:AE,'Tarievensheet per persoon'!AI:AI)</f>
        <v>1.3552</v>
      </c>
      <c r="R613">
        <v>0</v>
      </c>
      <c r="S613" s="14">
        <v>2.99</v>
      </c>
      <c r="T613" s="10">
        <f t="shared" si="100"/>
        <v>30.042724999999997</v>
      </c>
      <c r="U613" s="10">
        <f t="shared" si="101"/>
        <v>38.244920539999995</v>
      </c>
      <c r="V613" s="10">
        <f t="shared" si="102"/>
        <v>38.7420233</v>
      </c>
      <c r="W613" s="10">
        <f t="shared" si="103"/>
        <v>49.926835400000002</v>
      </c>
      <c r="X613" s="10">
        <f t="shared" si="104"/>
        <v>54.897863000000001</v>
      </c>
      <c r="Y613" s="10">
        <f t="shared" si="105"/>
        <v>79.753000999999998</v>
      </c>
      <c r="Z613" s="10">
        <f t="shared" si="106"/>
        <v>28.421254399999995</v>
      </c>
      <c r="AA613" s="10">
        <f t="shared" si="107"/>
        <v>36.541612800000003</v>
      </c>
      <c r="AB613" s="10">
        <f t="shared" si="108"/>
        <v>40.601792000000003</v>
      </c>
      <c r="AC613" s="10">
        <f t="shared" si="109"/>
        <v>60.902687999999998</v>
      </c>
    </row>
    <row r="614" spans="1:29" x14ac:dyDescent="0.25">
      <c r="A614">
        <v>443584</v>
      </c>
      <c r="B614" t="s">
        <v>78</v>
      </c>
      <c r="C614" s="10">
        <v>15.89</v>
      </c>
      <c r="D614" s="10">
        <v>14.98</v>
      </c>
      <c r="E614" s="10">
        <v>0</v>
      </c>
      <c r="F614">
        <v>23</v>
      </c>
      <c r="G614" t="s">
        <v>15</v>
      </c>
      <c r="H614" s="11">
        <v>45988</v>
      </c>
      <c r="I614" t="s">
        <v>13</v>
      </c>
      <c r="J614" s="12">
        <v>8</v>
      </c>
      <c r="K614" s="3">
        <v>240.32</v>
      </c>
      <c r="L614" s="3">
        <f t="shared" si="99"/>
        <v>30.04</v>
      </c>
      <c r="M614" s="13"/>
      <c r="N614">
        <f>_xlfn.XLOOKUP(G614,'Tarievensheet per persoon'!AE:AE,'Tarievensheet per persoon'!AF:AF)</f>
        <v>1.7024999999999999</v>
      </c>
      <c r="O614">
        <f>_xlfn.XLOOKUP(G614,AE:AE,'Tarievensheet per persoon'!AG:AG)</f>
        <v>1.5642</v>
      </c>
      <c r="P614">
        <f>_xlfn.XLOOKUP(G614,AE:AE,'Tarievensheet per persoon'!AH:AH)</f>
        <v>1.3552</v>
      </c>
      <c r="Q614">
        <f>_xlfn.XLOOKUP(G614,AE:AE,'Tarievensheet per persoon'!AI:AI)</f>
        <v>1.3552</v>
      </c>
      <c r="R614">
        <v>0</v>
      </c>
      <c r="S614" s="14">
        <v>2.99</v>
      </c>
      <c r="T614" s="10">
        <f t="shared" si="100"/>
        <v>30.042724999999997</v>
      </c>
      <c r="U614" s="10">
        <f t="shared" si="101"/>
        <v>38.244920539999995</v>
      </c>
      <c r="V614" s="10">
        <f t="shared" si="102"/>
        <v>38.7420233</v>
      </c>
      <c r="W614" s="10">
        <f t="shared" si="103"/>
        <v>49.926835400000002</v>
      </c>
      <c r="X614" s="10">
        <f t="shared" si="104"/>
        <v>54.897863000000001</v>
      </c>
      <c r="Y614" s="10">
        <f t="shared" si="105"/>
        <v>79.753000999999998</v>
      </c>
      <c r="Z614" s="10">
        <f t="shared" si="106"/>
        <v>28.421254399999995</v>
      </c>
      <c r="AA614" s="10">
        <f t="shared" si="107"/>
        <v>36.541612800000003</v>
      </c>
      <c r="AB614" s="10">
        <f t="shared" si="108"/>
        <v>40.601792000000003</v>
      </c>
      <c r="AC614" s="10">
        <f t="shared" si="109"/>
        <v>60.902687999999998</v>
      </c>
    </row>
    <row r="615" spans="1:29" x14ac:dyDescent="0.25">
      <c r="A615">
        <v>443584</v>
      </c>
      <c r="B615" t="s">
        <v>78</v>
      </c>
      <c r="C615" s="10">
        <v>15.89</v>
      </c>
      <c r="D615" s="10">
        <v>14.98</v>
      </c>
      <c r="E615" s="10">
        <v>0</v>
      </c>
      <c r="F615">
        <v>23</v>
      </c>
      <c r="G615" t="s">
        <v>15</v>
      </c>
      <c r="H615" s="11">
        <v>45989</v>
      </c>
      <c r="I615" t="s">
        <v>13</v>
      </c>
      <c r="J615" s="12">
        <v>7.75</v>
      </c>
      <c r="K615" s="3">
        <v>232.81</v>
      </c>
      <c r="L615" s="3">
        <f t="shared" si="99"/>
        <v>30.04</v>
      </c>
      <c r="M615" s="13"/>
      <c r="N615">
        <f>_xlfn.XLOOKUP(G615,'Tarievensheet per persoon'!AE:AE,'Tarievensheet per persoon'!AF:AF)</f>
        <v>1.7024999999999999</v>
      </c>
      <c r="O615">
        <f>_xlfn.XLOOKUP(G615,AE:AE,'Tarievensheet per persoon'!AG:AG)</f>
        <v>1.5642</v>
      </c>
      <c r="P615">
        <f>_xlfn.XLOOKUP(G615,AE:AE,'Tarievensheet per persoon'!AH:AH)</f>
        <v>1.3552</v>
      </c>
      <c r="Q615">
        <f>_xlfn.XLOOKUP(G615,AE:AE,'Tarievensheet per persoon'!AI:AI)</f>
        <v>1.3552</v>
      </c>
      <c r="R615">
        <v>0</v>
      </c>
      <c r="S615" s="14">
        <v>2.99</v>
      </c>
      <c r="T615" s="10">
        <f t="shared" si="100"/>
        <v>30.042724999999997</v>
      </c>
      <c r="U615" s="10">
        <f t="shared" si="101"/>
        <v>38.244920539999995</v>
      </c>
      <c r="V615" s="10">
        <f t="shared" si="102"/>
        <v>38.7420233</v>
      </c>
      <c r="W615" s="10">
        <f t="shared" si="103"/>
        <v>49.926835400000002</v>
      </c>
      <c r="X615" s="10">
        <f t="shared" si="104"/>
        <v>54.897863000000001</v>
      </c>
      <c r="Y615" s="10">
        <f t="shared" si="105"/>
        <v>79.753000999999998</v>
      </c>
      <c r="Z615" s="10">
        <f t="shared" si="106"/>
        <v>28.421254399999995</v>
      </c>
      <c r="AA615" s="10">
        <f t="shared" si="107"/>
        <v>36.541612800000003</v>
      </c>
      <c r="AB615" s="10">
        <f t="shared" si="108"/>
        <v>40.601792000000003</v>
      </c>
      <c r="AC615" s="10">
        <f t="shared" si="109"/>
        <v>60.902687999999998</v>
      </c>
    </row>
    <row r="616" spans="1:29" x14ac:dyDescent="0.25">
      <c r="A616">
        <v>443620</v>
      </c>
      <c r="B616" t="s">
        <v>122</v>
      </c>
      <c r="C616" s="10">
        <v>15.89</v>
      </c>
      <c r="D616" s="10">
        <v>14.98</v>
      </c>
      <c r="E616" s="10">
        <v>0</v>
      </c>
      <c r="F616">
        <v>23</v>
      </c>
      <c r="G616" t="s">
        <v>15</v>
      </c>
      <c r="H616" s="11">
        <v>45985</v>
      </c>
      <c r="I616" t="s">
        <v>13</v>
      </c>
      <c r="J616" s="12">
        <v>9</v>
      </c>
      <c r="K616" s="3">
        <v>270.36</v>
      </c>
      <c r="L616" s="3">
        <f t="shared" si="99"/>
        <v>30.040000000000003</v>
      </c>
      <c r="M616" s="13"/>
      <c r="N616">
        <f>_xlfn.XLOOKUP(G616,'Tarievensheet per persoon'!AE:AE,'Tarievensheet per persoon'!AF:AF)</f>
        <v>1.7024999999999999</v>
      </c>
      <c r="O616">
        <f>_xlfn.XLOOKUP(G616,AE:AE,'Tarievensheet per persoon'!AG:AG)</f>
        <v>1.5642</v>
      </c>
      <c r="P616">
        <f>_xlfn.XLOOKUP(G616,AE:AE,'Tarievensheet per persoon'!AH:AH)</f>
        <v>1.3552</v>
      </c>
      <c r="Q616">
        <f>_xlfn.XLOOKUP(G616,AE:AE,'Tarievensheet per persoon'!AI:AI)</f>
        <v>1.3552</v>
      </c>
      <c r="R616">
        <v>0</v>
      </c>
      <c r="S616" s="14">
        <v>2.99</v>
      </c>
      <c r="T616" s="10">
        <f t="shared" si="100"/>
        <v>30.042724999999997</v>
      </c>
      <c r="U616" s="10">
        <f t="shared" si="101"/>
        <v>38.244920539999995</v>
      </c>
      <c r="V616" s="10">
        <f t="shared" si="102"/>
        <v>38.7420233</v>
      </c>
      <c r="W616" s="10">
        <f t="shared" si="103"/>
        <v>49.926835400000002</v>
      </c>
      <c r="X616" s="10">
        <f t="shared" si="104"/>
        <v>54.897863000000001</v>
      </c>
      <c r="Y616" s="10">
        <f t="shared" si="105"/>
        <v>79.753000999999998</v>
      </c>
      <c r="Z616" s="10">
        <f t="shared" si="106"/>
        <v>28.421254399999995</v>
      </c>
      <c r="AA616" s="10">
        <f t="shared" si="107"/>
        <v>36.541612800000003</v>
      </c>
      <c r="AB616" s="10">
        <f t="shared" si="108"/>
        <v>40.601792000000003</v>
      </c>
      <c r="AC616" s="10">
        <f t="shared" si="109"/>
        <v>60.902687999999998</v>
      </c>
    </row>
    <row r="617" spans="1:29" x14ac:dyDescent="0.25">
      <c r="A617">
        <v>443620</v>
      </c>
      <c r="B617" t="s">
        <v>122</v>
      </c>
      <c r="C617" s="10">
        <v>15.89</v>
      </c>
      <c r="D617" s="10">
        <v>14.98</v>
      </c>
      <c r="E617" s="10">
        <v>0</v>
      </c>
      <c r="F617">
        <v>23</v>
      </c>
      <c r="G617" t="s">
        <v>15</v>
      </c>
      <c r="H617" s="11">
        <v>45986</v>
      </c>
      <c r="I617" t="s">
        <v>13</v>
      </c>
      <c r="J617" s="12">
        <v>3.5</v>
      </c>
      <c r="K617" s="3">
        <v>105.14</v>
      </c>
      <c r="L617" s="3">
        <f t="shared" si="99"/>
        <v>30.04</v>
      </c>
      <c r="M617" s="13"/>
      <c r="N617">
        <f>_xlfn.XLOOKUP(G617,'Tarievensheet per persoon'!AE:AE,'Tarievensheet per persoon'!AF:AF)</f>
        <v>1.7024999999999999</v>
      </c>
      <c r="O617">
        <f>_xlfn.XLOOKUP(G617,AE:AE,'Tarievensheet per persoon'!AG:AG)</f>
        <v>1.5642</v>
      </c>
      <c r="P617">
        <f>_xlfn.XLOOKUP(G617,AE:AE,'Tarievensheet per persoon'!AH:AH)</f>
        <v>1.3552</v>
      </c>
      <c r="Q617">
        <f>_xlfn.XLOOKUP(G617,AE:AE,'Tarievensheet per persoon'!AI:AI)</f>
        <v>1.3552</v>
      </c>
      <c r="R617">
        <v>0</v>
      </c>
      <c r="S617" s="14">
        <v>2.99</v>
      </c>
      <c r="T617" s="10">
        <f t="shared" si="100"/>
        <v>30.042724999999997</v>
      </c>
      <c r="U617" s="10">
        <f t="shared" si="101"/>
        <v>38.244920539999995</v>
      </c>
      <c r="V617" s="10">
        <f t="shared" si="102"/>
        <v>38.7420233</v>
      </c>
      <c r="W617" s="10">
        <f t="shared" si="103"/>
        <v>49.926835400000002</v>
      </c>
      <c r="X617" s="10">
        <f t="shared" si="104"/>
        <v>54.897863000000001</v>
      </c>
      <c r="Y617" s="10">
        <f t="shared" si="105"/>
        <v>79.753000999999998</v>
      </c>
      <c r="Z617" s="10">
        <f t="shared" si="106"/>
        <v>28.421254399999995</v>
      </c>
      <c r="AA617" s="10">
        <f t="shared" si="107"/>
        <v>36.541612800000003</v>
      </c>
      <c r="AB617" s="10">
        <f t="shared" si="108"/>
        <v>40.601792000000003</v>
      </c>
      <c r="AC617" s="10">
        <f t="shared" si="109"/>
        <v>60.902687999999998</v>
      </c>
    </row>
    <row r="618" spans="1:29" x14ac:dyDescent="0.25">
      <c r="A618">
        <v>443620</v>
      </c>
      <c r="B618" t="s">
        <v>122</v>
      </c>
      <c r="C618" s="10">
        <v>15.89</v>
      </c>
      <c r="D618" s="10">
        <v>14.98</v>
      </c>
      <c r="E618" s="10">
        <v>0</v>
      </c>
      <c r="F618">
        <v>23</v>
      </c>
      <c r="G618" t="s">
        <v>15</v>
      </c>
      <c r="H618" s="11">
        <v>45986</v>
      </c>
      <c r="I618" t="s">
        <v>23</v>
      </c>
      <c r="J618" s="12">
        <v>5.5</v>
      </c>
      <c r="K618" s="3">
        <v>156.31</v>
      </c>
      <c r="L618" s="3">
        <f t="shared" si="99"/>
        <v>28.42</v>
      </c>
      <c r="M618" s="13"/>
      <c r="N618">
        <f>_xlfn.XLOOKUP(G618,'Tarievensheet per persoon'!AE:AE,'Tarievensheet per persoon'!AF:AF)</f>
        <v>1.7024999999999999</v>
      </c>
      <c r="O618">
        <f>_xlfn.XLOOKUP(G618,AE:AE,'Tarievensheet per persoon'!AG:AG)</f>
        <v>1.5642</v>
      </c>
      <c r="P618">
        <f>_xlfn.XLOOKUP(G618,AE:AE,'Tarievensheet per persoon'!AH:AH)</f>
        <v>1.3552</v>
      </c>
      <c r="Q618">
        <f>_xlfn.XLOOKUP(G618,AE:AE,'Tarievensheet per persoon'!AI:AI)</f>
        <v>1.3552</v>
      </c>
      <c r="R618">
        <v>0</v>
      </c>
      <c r="S618" s="14">
        <v>2.99</v>
      </c>
      <c r="T618" s="10">
        <f t="shared" si="100"/>
        <v>30.042724999999997</v>
      </c>
      <c r="U618" s="10">
        <f t="shared" si="101"/>
        <v>38.244920539999995</v>
      </c>
      <c r="V618" s="10">
        <f t="shared" si="102"/>
        <v>38.7420233</v>
      </c>
      <c r="W618" s="10">
        <f t="shared" si="103"/>
        <v>49.926835400000002</v>
      </c>
      <c r="X618" s="10">
        <f t="shared" si="104"/>
        <v>54.897863000000001</v>
      </c>
      <c r="Y618" s="10">
        <f t="shared" si="105"/>
        <v>79.753000999999998</v>
      </c>
      <c r="Z618" s="10">
        <f t="shared" si="106"/>
        <v>28.421254399999995</v>
      </c>
      <c r="AA618" s="10">
        <f t="shared" si="107"/>
        <v>36.541612800000003</v>
      </c>
      <c r="AB618" s="10">
        <f t="shared" si="108"/>
        <v>40.601792000000003</v>
      </c>
      <c r="AC618" s="10">
        <f t="shared" si="109"/>
        <v>60.902687999999998</v>
      </c>
    </row>
    <row r="619" spans="1:29" x14ac:dyDescent="0.25">
      <c r="A619">
        <v>443620</v>
      </c>
      <c r="B619" t="s">
        <v>122</v>
      </c>
      <c r="C619" s="10">
        <v>15.89</v>
      </c>
      <c r="D619" s="10">
        <v>14.98</v>
      </c>
      <c r="E619" s="10">
        <v>0</v>
      </c>
      <c r="F619">
        <v>23</v>
      </c>
      <c r="G619" t="s">
        <v>15</v>
      </c>
      <c r="H619" s="11">
        <v>45987</v>
      </c>
      <c r="I619" t="s">
        <v>13</v>
      </c>
      <c r="J619" s="12">
        <v>9.5</v>
      </c>
      <c r="K619" s="3">
        <v>285.38</v>
      </c>
      <c r="L619" s="3">
        <f t="shared" si="99"/>
        <v>30.04</v>
      </c>
      <c r="M619" s="13"/>
      <c r="N619">
        <f>_xlfn.XLOOKUP(G619,'Tarievensheet per persoon'!AE:AE,'Tarievensheet per persoon'!AF:AF)</f>
        <v>1.7024999999999999</v>
      </c>
      <c r="O619">
        <f>_xlfn.XLOOKUP(G619,AE:AE,'Tarievensheet per persoon'!AG:AG)</f>
        <v>1.5642</v>
      </c>
      <c r="P619">
        <f>_xlfn.XLOOKUP(G619,AE:AE,'Tarievensheet per persoon'!AH:AH)</f>
        <v>1.3552</v>
      </c>
      <c r="Q619">
        <f>_xlfn.XLOOKUP(G619,AE:AE,'Tarievensheet per persoon'!AI:AI)</f>
        <v>1.3552</v>
      </c>
      <c r="R619">
        <v>0</v>
      </c>
      <c r="S619" s="14">
        <v>2.99</v>
      </c>
      <c r="T619" s="10">
        <f t="shared" si="100"/>
        <v>30.042724999999997</v>
      </c>
      <c r="U619" s="10">
        <f t="shared" si="101"/>
        <v>38.244920539999995</v>
      </c>
      <c r="V619" s="10">
        <f t="shared" si="102"/>
        <v>38.7420233</v>
      </c>
      <c r="W619" s="10">
        <f t="shared" si="103"/>
        <v>49.926835400000002</v>
      </c>
      <c r="X619" s="10">
        <f t="shared" si="104"/>
        <v>54.897863000000001</v>
      </c>
      <c r="Y619" s="10">
        <f t="shared" si="105"/>
        <v>79.753000999999998</v>
      </c>
      <c r="Z619" s="10">
        <f t="shared" si="106"/>
        <v>28.421254399999995</v>
      </c>
      <c r="AA619" s="10">
        <f t="shared" si="107"/>
        <v>36.541612800000003</v>
      </c>
      <c r="AB619" s="10">
        <f t="shared" si="108"/>
        <v>40.601792000000003</v>
      </c>
      <c r="AC619" s="10">
        <f t="shared" si="109"/>
        <v>60.902687999999998</v>
      </c>
    </row>
    <row r="620" spans="1:29" x14ac:dyDescent="0.25">
      <c r="A620">
        <v>443620</v>
      </c>
      <c r="B620" t="s">
        <v>122</v>
      </c>
      <c r="C620" s="10">
        <v>15.89</v>
      </c>
      <c r="D620" s="10">
        <v>14.98</v>
      </c>
      <c r="E620" s="10">
        <v>0</v>
      </c>
      <c r="F620">
        <v>23</v>
      </c>
      <c r="G620" t="s">
        <v>15</v>
      </c>
      <c r="H620" s="11">
        <v>45988</v>
      </c>
      <c r="I620" t="s">
        <v>13</v>
      </c>
      <c r="J620" s="12">
        <v>9</v>
      </c>
      <c r="K620" s="3">
        <v>270.36</v>
      </c>
      <c r="L620" s="3">
        <f t="shared" si="99"/>
        <v>30.040000000000003</v>
      </c>
      <c r="M620" s="13"/>
      <c r="N620">
        <f>_xlfn.XLOOKUP(G620,'Tarievensheet per persoon'!AE:AE,'Tarievensheet per persoon'!AF:AF)</f>
        <v>1.7024999999999999</v>
      </c>
      <c r="O620">
        <f>_xlfn.XLOOKUP(G620,AE:AE,'Tarievensheet per persoon'!AG:AG)</f>
        <v>1.5642</v>
      </c>
      <c r="P620">
        <f>_xlfn.XLOOKUP(G620,AE:AE,'Tarievensheet per persoon'!AH:AH)</f>
        <v>1.3552</v>
      </c>
      <c r="Q620">
        <f>_xlfn.XLOOKUP(G620,AE:AE,'Tarievensheet per persoon'!AI:AI)</f>
        <v>1.3552</v>
      </c>
      <c r="R620">
        <v>0</v>
      </c>
      <c r="S620" s="14">
        <v>2.99</v>
      </c>
      <c r="T620" s="10">
        <f t="shared" si="100"/>
        <v>30.042724999999997</v>
      </c>
      <c r="U620" s="10">
        <f t="shared" si="101"/>
        <v>38.244920539999995</v>
      </c>
      <c r="V620" s="10">
        <f t="shared" si="102"/>
        <v>38.7420233</v>
      </c>
      <c r="W620" s="10">
        <f t="shared" si="103"/>
        <v>49.926835400000002</v>
      </c>
      <c r="X620" s="10">
        <f t="shared" si="104"/>
        <v>54.897863000000001</v>
      </c>
      <c r="Y620" s="10">
        <f t="shared" si="105"/>
        <v>79.753000999999998</v>
      </c>
      <c r="Z620" s="10">
        <f t="shared" si="106"/>
        <v>28.421254399999995</v>
      </c>
      <c r="AA620" s="10">
        <f t="shared" si="107"/>
        <v>36.541612800000003</v>
      </c>
      <c r="AB620" s="10">
        <f t="shared" si="108"/>
        <v>40.601792000000003</v>
      </c>
      <c r="AC620" s="10">
        <f t="shared" si="109"/>
        <v>60.902687999999998</v>
      </c>
    </row>
    <row r="621" spans="1:29" x14ac:dyDescent="0.25">
      <c r="A621">
        <v>443620</v>
      </c>
      <c r="B621" t="s">
        <v>122</v>
      </c>
      <c r="C621" s="10">
        <v>15.89</v>
      </c>
      <c r="D621" s="10">
        <v>14.98</v>
      </c>
      <c r="E621" s="10">
        <v>0</v>
      </c>
      <c r="F621">
        <v>23</v>
      </c>
      <c r="G621" t="s">
        <v>15</v>
      </c>
      <c r="H621" s="11">
        <v>45989</v>
      </c>
      <c r="I621" t="s">
        <v>13</v>
      </c>
      <c r="J621" s="12">
        <v>9</v>
      </c>
      <c r="K621" s="3">
        <v>270.36</v>
      </c>
      <c r="L621" s="3">
        <f t="shared" si="99"/>
        <v>30.040000000000003</v>
      </c>
      <c r="M621" s="13"/>
      <c r="N621">
        <f>_xlfn.XLOOKUP(G621,'Tarievensheet per persoon'!AE:AE,'Tarievensheet per persoon'!AF:AF)</f>
        <v>1.7024999999999999</v>
      </c>
      <c r="O621">
        <f>_xlfn.XLOOKUP(G621,AE:AE,'Tarievensheet per persoon'!AG:AG)</f>
        <v>1.5642</v>
      </c>
      <c r="P621">
        <f>_xlfn.XLOOKUP(G621,AE:AE,'Tarievensheet per persoon'!AH:AH)</f>
        <v>1.3552</v>
      </c>
      <c r="Q621">
        <f>_xlfn.XLOOKUP(G621,AE:AE,'Tarievensheet per persoon'!AI:AI)</f>
        <v>1.3552</v>
      </c>
      <c r="R621">
        <v>0</v>
      </c>
      <c r="S621" s="14">
        <v>2.99</v>
      </c>
      <c r="T621" s="10">
        <f t="shared" si="100"/>
        <v>30.042724999999997</v>
      </c>
      <c r="U621" s="10">
        <f t="shared" si="101"/>
        <v>38.244920539999995</v>
      </c>
      <c r="V621" s="10">
        <f t="shared" si="102"/>
        <v>38.7420233</v>
      </c>
      <c r="W621" s="10">
        <f t="shared" si="103"/>
        <v>49.926835400000002</v>
      </c>
      <c r="X621" s="10">
        <f t="shared" si="104"/>
        <v>54.897863000000001</v>
      </c>
      <c r="Y621" s="10">
        <f t="shared" si="105"/>
        <v>79.753000999999998</v>
      </c>
      <c r="Z621" s="10">
        <f t="shared" si="106"/>
        <v>28.421254399999995</v>
      </c>
      <c r="AA621" s="10">
        <f t="shared" si="107"/>
        <v>36.541612800000003</v>
      </c>
      <c r="AB621" s="10">
        <f t="shared" si="108"/>
        <v>40.601792000000003</v>
      </c>
      <c r="AC621" s="10">
        <f t="shared" si="109"/>
        <v>60.902687999999998</v>
      </c>
    </row>
    <row r="622" spans="1:29" x14ac:dyDescent="0.25">
      <c r="A622">
        <v>443621</v>
      </c>
      <c r="B622" t="s">
        <v>123</v>
      </c>
      <c r="C622" s="10">
        <v>15.89</v>
      </c>
      <c r="D622" s="10">
        <v>14.98</v>
      </c>
      <c r="E622" s="10">
        <v>0</v>
      </c>
      <c r="F622">
        <v>23</v>
      </c>
      <c r="G622" t="s">
        <v>15</v>
      </c>
      <c r="H622" s="11">
        <v>45985</v>
      </c>
      <c r="I622" t="s">
        <v>13</v>
      </c>
      <c r="J622" s="12">
        <v>8.75</v>
      </c>
      <c r="K622" s="3">
        <v>262.85000000000002</v>
      </c>
      <c r="L622" s="3">
        <f t="shared" si="99"/>
        <v>30.040000000000003</v>
      </c>
      <c r="M622" s="13"/>
      <c r="N622">
        <f>_xlfn.XLOOKUP(G622,'Tarievensheet per persoon'!AE:AE,'Tarievensheet per persoon'!AF:AF)</f>
        <v>1.7024999999999999</v>
      </c>
      <c r="O622">
        <f>_xlfn.XLOOKUP(G622,AE:AE,'Tarievensheet per persoon'!AG:AG)</f>
        <v>1.5642</v>
      </c>
      <c r="P622">
        <f>_xlfn.XLOOKUP(G622,AE:AE,'Tarievensheet per persoon'!AH:AH)</f>
        <v>1.3552</v>
      </c>
      <c r="Q622">
        <f>_xlfn.XLOOKUP(G622,AE:AE,'Tarievensheet per persoon'!AI:AI)</f>
        <v>1.3552</v>
      </c>
      <c r="R622">
        <v>0</v>
      </c>
      <c r="S622" s="14">
        <v>2.99</v>
      </c>
      <c r="T622" s="10">
        <f t="shared" si="100"/>
        <v>30.042724999999997</v>
      </c>
      <c r="U622" s="10">
        <f t="shared" si="101"/>
        <v>38.244920539999995</v>
      </c>
      <c r="V622" s="10">
        <f t="shared" si="102"/>
        <v>38.7420233</v>
      </c>
      <c r="W622" s="10">
        <f t="shared" si="103"/>
        <v>49.926835400000002</v>
      </c>
      <c r="X622" s="10">
        <f t="shared" si="104"/>
        <v>54.897863000000001</v>
      </c>
      <c r="Y622" s="10">
        <f t="shared" si="105"/>
        <v>79.753000999999998</v>
      </c>
      <c r="Z622" s="10">
        <f t="shared" si="106"/>
        <v>28.421254399999995</v>
      </c>
      <c r="AA622" s="10">
        <f t="shared" si="107"/>
        <v>36.541612800000003</v>
      </c>
      <c r="AB622" s="10">
        <f t="shared" si="108"/>
        <v>40.601792000000003</v>
      </c>
      <c r="AC622" s="10">
        <f t="shared" si="109"/>
        <v>60.902687999999998</v>
      </c>
    </row>
    <row r="623" spans="1:29" x14ac:dyDescent="0.25">
      <c r="A623">
        <v>443621</v>
      </c>
      <c r="B623" t="s">
        <v>123</v>
      </c>
      <c r="C623" s="10">
        <v>15.89</v>
      </c>
      <c r="D623" s="10">
        <v>14.98</v>
      </c>
      <c r="E623" s="10">
        <v>0</v>
      </c>
      <c r="F623">
        <v>23</v>
      </c>
      <c r="G623" t="s">
        <v>15</v>
      </c>
      <c r="H623" s="11">
        <v>45986</v>
      </c>
      <c r="I623" t="s">
        <v>13</v>
      </c>
      <c r="J623" s="12">
        <v>7.5</v>
      </c>
      <c r="K623" s="3">
        <v>225.3</v>
      </c>
      <c r="L623" s="3">
        <f t="shared" si="99"/>
        <v>30.040000000000003</v>
      </c>
      <c r="M623" s="13"/>
      <c r="N623">
        <f>_xlfn.XLOOKUP(G623,'Tarievensheet per persoon'!AE:AE,'Tarievensheet per persoon'!AF:AF)</f>
        <v>1.7024999999999999</v>
      </c>
      <c r="O623">
        <f>_xlfn.XLOOKUP(G623,AE:AE,'Tarievensheet per persoon'!AG:AG)</f>
        <v>1.5642</v>
      </c>
      <c r="P623">
        <f>_xlfn.XLOOKUP(G623,AE:AE,'Tarievensheet per persoon'!AH:AH)</f>
        <v>1.3552</v>
      </c>
      <c r="Q623">
        <f>_xlfn.XLOOKUP(G623,AE:AE,'Tarievensheet per persoon'!AI:AI)</f>
        <v>1.3552</v>
      </c>
      <c r="R623">
        <v>0</v>
      </c>
      <c r="S623" s="14">
        <v>2.99</v>
      </c>
      <c r="T623" s="10">
        <f t="shared" si="100"/>
        <v>30.042724999999997</v>
      </c>
      <c r="U623" s="10">
        <f t="shared" si="101"/>
        <v>38.244920539999995</v>
      </c>
      <c r="V623" s="10">
        <f t="shared" si="102"/>
        <v>38.7420233</v>
      </c>
      <c r="W623" s="10">
        <f t="shared" si="103"/>
        <v>49.926835400000002</v>
      </c>
      <c r="X623" s="10">
        <f t="shared" si="104"/>
        <v>54.897863000000001</v>
      </c>
      <c r="Y623" s="10">
        <f t="shared" si="105"/>
        <v>79.753000999999998</v>
      </c>
      <c r="Z623" s="10">
        <f t="shared" si="106"/>
        <v>28.421254399999995</v>
      </c>
      <c r="AA623" s="10">
        <f t="shared" si="107"/>
        <v>36.541612800000003</v>
      </c>
      <c r="AB623" s="10">
        <f t="shared" si="108"/>
        <v>40.601792000000003</v>
      </c>
      <c r="AC623" s="10">
        <f t="shared" si="109"/>
        <v>60.902687999999998</v>
      </c>
    </row>
    <row r="624" spans="1:29" x14ac:dyDescent="0.25">
      <c r="A624">
        <v>443621</v>
      </c>
      <c r="B624" t="s">
        <v>123</v>
      </c>
      <c r="C624" s="10">
        <v>15.89</v>
      </c>
      <c r="D624" s="10">
        <v>14.98</v>
      </c>
      <c r="E624" s="10">
        <v>0</v>
      </c>
      <c r="F624">
        <v>23</v>
      </c>
      <c r="G624" t="s">
        <v>15</v>
      </c>
      <c r="H624" s="11">
        <v>45987</v>
      </c>
      <c r="I624" t="s">
        <v>13</v>
      </c>
      <c r="J624" s="12">
        <v>7.75</v>
      </c>
      <c r="K624" s="3">
        <v>232.81</v>
      </c>
      <c r="L624" s="3">
        <f t="shared" si="99"/>
        <v>30.04</v>
      </c>
      <c r="M624" s="13"/>
      <c r="N624">
        <f>_xlfn.XLOOKUP(G624,'Tarievensheet per persoon'!AE:AE,'Tarievensheet per persoon'!AF:AF)</f>
        <v>1.7024999999999999</v>
      </c>
      <c r="O624">
        <f>_xlfn.XLOOKUP(G624,AE:AE,'Tarievensheet per persoon'!AG:AG)</f>
        <v>1.5642</v>
      </c>
      <c r="P624">
        <f>_xlfn.XLOOKUP(G624,AE:AE,'Tarievensheet per persoon'!AH:AH)</f>
        <v>1.3552</v>
      </c>
      <c r="Q624">
        <f>_xlfn.XLOOKUP(G624,AE:AE,'Tarievensheet per persoon'!AI:AI)</f>
        <v>1.3552</v>
      </c>
      <c r="R624">
        <v>0</v>
      </c>
      <c r="S624" s="14">
        <v>2.99</v>
      </c>
      <c r="T624" s="10">
        <f t="shared" si="100"/>
        <v>30.042724999999997</v>
      </c>
      <c r="U624" s="10">
        <f t="shared" si="101"/>
        <v>38.244920539999995</v>
      </c>
      <c r="V624" s="10">
        <f t="shared" si="102"/>
        <v>38.7420233</v>
      </c>
      <c r="W624" s="10">
        <f t="shared" si="103"/>
        <v>49.926835400000002</v>
      </c>
      <c r="X624" s="10">
        <f t="shared" si="104"/>
        <v>54.897863000000001</v>
      </c>
      <c r="Y624" s="10">
        <f t="shared" si="105"/>
        <v>79.753000999999998</v>
      </c>
      <c r="Z624" s="10">
        <f t="shared" si="106"/>
        <v>28.421254399999995</v>
      </c>
      <c r="AA624" s="10">
        <f t="shared" si="107"/>
        <v>36.541612800000003</v>
      </c>
      <c r="AB624" s="10">
        <f t="shared" si="108"/>
        <v>40.601792000000003</v>
      </c>
      <c r="AC624" s="10">
        <f t="shared" si="109"/>
        <v>60.902687999999998</v>
      </c>
    </row>
    <row r="625" spans="1:29" x14ac:dyDescent="0.25">
      <c r="A625">
        <v>443621</v>
      </c>
      <c r="B625" t="s">
        <v>123</v>
      </c>
      <c r="C625" s="10">
        <v>15.89</v>
      </c>
      <c r="D625" s="10">
        <v>14.98</v>
      </c>
      <c r="E625" s="10">
        <v>0</v>
      </c>
      <c r="F625">
        <v>23</v>
      </c>
      <c r="G625" t="s">
        <v>15</v>
      </c>
      <c r="H625" s="11">
        <v>45987</v>
      </c>
      <c r="I625" t="s">
        <v>23</v>
      </c>
      <c r="J625" s="12">
        <v>1.25</v>
      </c>
      <c r="K625" s="3">
        <v>35.53</v>
      </c>
      <c r="L625" s="3">
        <f t="shared" si="99"/>
        <v>28.423999999999999</v>
      </c>
      <c r="M625" s="13"/>
      <c r="N625">
        <f>_xlfn.XLOOKUP(G625,'Tarievensheet per persoon'!AE:AE,'Tarievensheet per persoon'!AF:AF)</f>
        <v>1.7024999999999999</v>
      </c>
      <c r="O625">
        <f>_xlfn.XLOOKUP(G625,AE:AE,'Tarievensheet per persoon'!AG:AG)</f>
        <v>1.5642</v>
      </c>
      <c r="P625">
        <f>_xlfn.XLOOKUP(G625,AE:AE,'Tarievensheet per persoon'!AH:AH)</f>
        <v>1.3552</v>
      </c>
      <c r="Q625">
        <f>_xlfn.XLOOKUP(G625,AE:AE,'Tarievensheet per persoon'!AI:AI)</f>
        <v>1.3552</v>
      </c>
      <c r="R625">
        <v>0</v>
      </c>
      <c r="S625" s="14">
        <v>2.99</v>
      </c>
      <c r="T625" s="10">
        <f t="shared" si="100"/>
        <v>30.042724999999997</v>
      </c>
      <c r="U625" s="10">
        <f t="shared" si="101"/>
        <v>38.244920539999995</v>
      </c>
      <c r="V625" s="10">
        <f t="shared" si="102"/>
        <v>38.7420233</v>
      </c>
      <c r="W625" s="10">
        <f t="shared" si="103"/>
        <v>49.926835400000002</v>
      </c>
      <c r="X625" s="10">
        <f t="shared" si="104"/>
        <v>54.897863000000001</v>
      </c>
      <c r="Y625" s="10">
        <f t="shared" si="105"/>
        <v>79.753000999999998</v>
      </c>
      <c r="Z625" s="10">
        <f t="shared" si="106"/>
        <v>28.421254399999995</v>
      </c>
      <c r="AA625" s="10">
        <f t="shared" si="107"/>
        <v>36.541612800000003</v>
      </c>
      <c r="AB625" s="10">
        <f t="shared" si="108"/>
        <v>40.601792000000003</v>
      </c>
      <c r="AC625" s="10">
        <f t="shared" si="109"/>
        <v>60.902687999999998</v>
      </c>
    </row>
    <row r="626" spans="1:29" x14ac:dyDescent="0.25">
      <c r="A626">
        <v>443621</v>
      </c>
      <c r="B626" t="s">
        <v>123</v>
      </c>
      <c r="C626" s="10">
        <v>15.89</v>
      </c>
      <c r="D626" s="10">
        <v>14.98</v>
      </c>
      <c r="E626" s="10">
        <v>0</v>
      </c>
      <c r="F626">
        <v>23</v>
      </c>
      <c r="G626" t="s">
        <v>15</v>
      </c>
      <c r="H626" s="11">
        <v>45988</v>
      </c>
      <c r="I626" t="s">
        <v>13</v>
      </c>
      <c r="J626" s="12">
        <v>9.5</v>
      </c>
      <c r="K626" s="3">
        <v>285.38</v>
      </c>
      <c r="L626" s="3">
        <f t="shared" si="99"/>
        <v>30.04</v>
      </c>
      <c r="M626" s="13"/>
      <c r="N626">
        <f>_xlfn.XLOOKUP(G626,'Tarievensheet per persoon'!AE:AE,'Tarievensheet per persoon'!AF:AF)</f>
        <v>1.7024999999999999</v>
      </c>
      <c r="O626">
        <f>_xlfn.XLOOKUP(G626,AE:AE,'Tarievensheet per persoon'!AG:AG)</f>
        <v>1.5642</v>
      </c>
      <c r="P626">
        <f>_xlfn.XLOOKUP(G626,AE:AE,'Tarievensheet per persoon'!AH:AH)</f>
        <v>1.3552</v>
      </c>
      <c r="Q626">
        <f>_xlfn.XLOOKUP(G626,AE:AE,'Tarievensheet per persoon'!AI:AI)</f>
        <v>1.3552</v>
      </c>
      <c r="R626">
        <v>0</v>
      </c>
      <c r="S626" s="14">
        <v>2.99</v>
      </c>
      <c r="T626" s="10">
        <f t="shared" si="100"/>
        <v>30.042724999999997</v>
      </c>
      <c r="U626" s="10">
        <f t="shared" si="101"/>
        <v>38.244920539999995</v>
      </c>
      <c r="V626" s="10">
        <f t="shared" si="102"/>
        <v>38.7420233</v>
      </c>
      <c r="W626" s="10">
        <f t="shared" si="103"/>
        <v>49.926835400000002</v>
      </c>
      <c r="X626" s="10">
        <f t="shared" si="104"/>
        <v>54.897863000000001</v>
      </c>
      <c r="Y626" s="10">
        <f t="shared" si="105"/>
        <v>79.753000999999998</v>
      </c>
      <c r="Z626" s="10">
        <f t="shared" si="106"/>
        <v>28.421254399999995</v>
      </c>
      <c r="AA626" s="10">
        <f t="shared" si="107"/>
        <v>36.541612800000003</v>
      </c>
      <c r="AB626" s="10">
        <f t="shared" si="108"/>
        <v>40.601792000000003</v>
      </c>
      <c r="AC626" s="10">
        <f t="shared" si="109"/>
        <v>60.902687999999998</v>
      </c>
    </row>
    <row r="627" spans="1:29" x14ac:dyDescent="0.25">
      <c r="A627">
        <v>443621</v>
      </c>
      <c r="B627" t="s">
        <v>123</v>
      </c>
      <c r="C627" s="10">
        <v>15.89</v>
      </c>
      <c r="D627" s="10">
        <v>14.98</v>
      </c>
      <c r="E627" s="10">
        <v>0</v>
      </c>
      <c r="F627">
        <v>23</v>
      </c>
      <c r="G627" t="s">
        <v>15</v>
      </c>
      <c r="H627" s="11">
        <v>45989</v>
      </c>
      <c r="I627" t="s">
        <v>13</v>
      </c>
      <c r="J627" s="12">
        <v>6.5</v>
      </c>
      <c r="K627" s="3">
        <v>195.26</v>
      </c>
      <c r="L627" s="3">
        <f t="shared" si="99"/>
        <v>30.04</v>
      </c>
      <c r="M627" s="13"/>
      <c r="N627">
        <f>_xlfn.XLOOKUP(G627,'Tarievensheet per persoon'!AE:AE,'Tarievensheet per persoon'!AF:AF)</f>
        <v>1.7024999999999999</v>
      </c>
      <c r="O627">
        <f>_xlfn.XLOOKUP(G627,AE:AE,'Tarievensheet per persoon'!AG:AG)</f>
        <v>1.5642</v>
      </c>
      <c r="P627">
        <f>_xlfn.XLOOKUP(G627,AE:AE,'Tarievensheet per persoon'!AH:AH)</f>
        <v>1.3552</v>
      </c>
      <c r="Q627">
        <f>_xlfn.XLOOKUP(G627,AE:AE,'Tarievensheet per persoon'!AI:AI)</f>
        <v>1.3552</v>
      </c>
      <c r="R627">
        <v>0</v>
      </c>
      <c r="S627" s="14">
        <v>2.99</v>
      </c>
      <c r="T627" s="10">
        <f t="shared" si="100"/>
        <v>30.042724999999997</v>
      </c>
      <c r="U627" s="10">
        <f t="shared" si="101"/>
        <v>38.244920539999995</v>
      </c>
      <c r="V627" s="10">
        <f t="shared" si="102"/>
        <v>38.7420233</v>
      </c>
      <c r="W627" s="10">
        <f t="shared" si="103"/>
        <v>49.926835400000002</v>
      </c>
      <c r="X627" s="10">
        <f t="shared" si="104"/>
        <v>54.897863000000001</v>
      </c>
      <c r="Y627" s="10">
        <f t="shared" si="105"/>
        <v>79.753000999999998</v>
      </c>
      <c r="Z627" s="10">
        <f t="shared" si="106"/>
        <v>28.421254399999995</v>
      </c>
      <c r="AA627" s="10">
        <f t="shared" si="107"/>
        <v>36.541612800000003</v>
      </c>
      <c r="AB627" s="10">
        <f t="shared" si="108"/>
        <v>40.601792000000003</v>
      </c>
      <c r="AC627" s="10">
        <f t="shared" si="109"/>
        <v>60.902687999999998</v>
      </c>
    </row>
    <row r="628" spans="1:29" x14ac:dyDescent="0.25">
      <c r="A628">
        <v>444404</v>
      </c>
      <c r="B628" t="s">
        <v>79</v>
      </c>
      <c r="C628" s="10">
        <v>16.91</v>
      </c>
      <c r="D628" s="10">
        <v>15.94</v>
      </c>
      <c r="E628" s="10">
        <v>0</v>
      </c>
      <c r="F628">
        <v>21</v>
      </c>
      <c r="G628" t="s">
        <v>15</v>
      </c>
      <c r="H628" s="11">
        <v>45985</v>
      </c>
      <c r="I628" t="s">
        <v>13</v>
      </c>
      <c r="J628" s="12">
        <v>8</v>
      </c>
      <c r="K628" s="3">
        <v>254.24</v>
      </c>
      <c r="L628" s="3">
        <f t="shared" si="99"/>
        <v>31.78</v>
      </c>
      <c r="M628" s="13"/>
      <c r="N628">
        <f>_xlfn.XLOOKUP(G628,'Tarievensheet per persoon'!AE:AE,'Tarievensheet per persoon'!AF:AF)</f>
        <v>1.7024999999999999</v>
      </c>
      <c r="O628">
        <f>_xlfn.XLOOKUP(G628,AE:AE,'Tarievensheet per persoon'!AG:AG)</f>
        <v>1.5642</v>
      </c>
      <c r="P628">
        <f>_xlfn.XLOOKUP(G628,AE:AE,'Tarievensheet per persoon'!AH:AH)</f>
        <v>1.3552</v>
      </c>
      <c r="Q628">
        <f>_xlfn.XLOOKUP(G628,AE:AE,'Tarievensheet per persoon'!AI:AI)</f>
        <v>1.3552</v>
      </c>
      <c r="R628">
        <v>0</v>
      </c>
      <c r="S628" s="14">
        <v>2.99</v>
      </c>
      <c r="T628" s="10">
        <f t="shared" si="100"/>
        <v>31.779274999999998</v>
      </c>
      <c r="U628" s="10">
        <f t="shared" si="101"/>
        <v>40.507980259999997</v>
      </c>
      <c r="V628" s="10">
        <f t="shared" si="102"/>
        <v>41.036992699999999</v>
      </c>
      <c r="W628" s="10">
        <f t="shared" si="103"/>
        <v>52.939772599999998</v>
      </c>
      <c r="X628" s="10">
        <f t="shared" si="104"/>
        <v>58.229896999999994</v>
      </c>
      <c r="Y628" s="10">
        <f t="shared" si="105"/>
        <v>84.680519000000004</v>
      </c>
      <c r="Z628" s="10">
        <f t="shared" si="106"/>
        <v>30.242643199999996</v>
      </c>
      <c r="AA628" s="10">
        <f t="shared" si="107"/>
        <v>38.883398399999997</v>
      </c>
      <c r="AB628" s="10">
        <f t="shared" si="108"/>
        <v>43.203775999999998</v>
      </c>
      <c r="AC628" s="10">
        <f t="shared" si="109"/>
        <v>64.805663999999993</v>
      </c>
    </row>
    <row r="629" spans="1:29" x14ac:dyDescent="0.25">
      <c r="A629">
        <v>444404</v>
      </c>
      <c r="B629" t="s">
        <v>79</v>
      </c>
      <c r="C629" s="10">
        <v>16.91</v>
      </c>
      <c r="D629" s="10">
        <v>15.94</v>
      </c>
      <c r="E629" s="10">
        <v>0</v>
      </c>
      <c r="F629">
        <v>21</v>
      </c>
      <c r="G629" t="s">
        <v>15</v>
      </c>
      <c r="H629" s="11">
        <v>45986</v>
      </c>
      <c r="I629" t="s">
        <v>13</v>
      </c>
      <c r="J629" s="12">
        <v>8</v>
      </c>
      <c r="K629" s="3">
        <v>254.24</v>
      </c>
      <c r="L629" s="3">
        <f t="shared" si="99"/>
        <v>31.78</v>
      </c>
      <c r="M629" s="13"/>
      <c r="N629">
        <f>_xlfn.XLOOKUP(G629,'Tarievensheet per persoon'!AE:AE,'Tarievensheet per persoon'!AF:AF)</f>
        <v>1.7024999999999999</v>
      </c>
      <c r="O629">
        <f>_xlfn.XLOOKUP(G629,AE:AE,'Tarievensheet per persoon'!AG:AG)</f>
        <v>1.5642</v>
      </c>
      <c r="P629">
        <f>_xlfn.XLOOKUP(G629,AE:AE,'Tarievensheet per persoon'!AH:AH)</f>
        <v>1.3552</v>
      </c>
      <c r="Q629">
        <f>_xlfn.XLOOKUP(G629,AE:AE,'Tarievensheet per persoon'!AI:AI)</f>
        <v>1.3552</v>
      </c>
      <c r="R629">
        <v>0</v>
      </c>
      <c r="S629" s="14">
        <v>2.99</v>
      </c>
      <c r="T629" s="10">
        <f t="shared" si="100"/>
        <v>31.779274999999998</v>
      </c>
      <c r="U629" s="10">
        <f t="shared" si="101"/>
        <v>40.507980259999997</v>
      </c>
      <c r="V629" s="10">
        <f t="shared" si="102"/>
        <v>41.036992699999999</v>
      </c>
      <c r="W629" s="10">
        <f t="shared" si="103"/>
        <v>52.939772599999998</v>
      </c>
      <c r="X629" s="10">
        <f t="shared" si="104"/>
        <v>58.229896999999994</v>
      </c>
      <c r="Y629" s="10">
        <f t="shared" si="105"/>
        <v>84.680519000000004</v>
      </c>
      <c r="Z629" s="10">
        <f t="shared" si="106"/>
        <v>30.242643199999996</v>
      </c>
      <c r="AA629" s="10">
        <f t="shared" si="107"/>
        <v>38.883398399999997</v>
      </c>
      <c r="AB629" s="10">
        <f t="shared" si="108"/>
        <v>43.203775999999998</v>
      </c>
      <c r="AC629" s="10">
        <f t="shared" si="109"/>
        <v>64.805663999999993</v>
      </c>
    </row>
    <row r="630" spans="1:29" x14ac:dyDescent="0.25">
      <c r="A630">
        <v>444404</v>
      </c>
      <c r="B630" t="s">
        <v>79</v>
      </c>
      <c r="C630" s="10">
        <v>16.91</v>
      </c>
      <c r="D630" s="10">
        <v>15.94</v>
      </c>
      <c r="E630" s="10">
        <v>0</v>
      </c>
      <c r="F630">
        <v>21</v>
      </c>
      <c r="G630" t="s">
        <v>15</v>
      </c>
      <c r="H630" s="11">
        <v>45987</v>
      </c>
      <c r="I630" t="s">
        <v>13</v>
      </c>
      <c r="J630" s="12">
        <v>8</v>
      </c>
      <c r="K630" s="3">
        <v>254.24</v>
      </c>
      <c r="L630" s="3">
        <f t="shared" si="99"/>
        <v>31.78</v>
      </c>
      <c r="M630" s="13"/>
      <c r="N630">
        <f>_xlfn.XLOOKUP(G630,'Tarievensheet per persoon'!AE:AE,'Tarievensheet per persoon'!AF:AF)</f>
        <v>1.7024999999999999</v>
      </c>
      <c r="O630">
        <f>_xlfn.XLOOKUP(G630,AE:AE,'Tarievensheet per persoon'!AG:AG)</f>
        <v>1.5642</v>
      </c>
      <c r="P630">
        <f>_xlfn.XLOOKUP(G630,AE:AE,'Tarievensheet per persoon'!AH:AH)</f>
        <v>1.3552</v>
      </c>
      <c r="Q630">
        <f>_xlfn.XLOOKUP(G630,AE:AE,'Tarievensheet per persoon'!AI:AI)</f>
        <v>1.3552</v>
      </c>
      <c r="R630">
        <v>0</v>
      </c>
      <c r="S630" s="14">
        <v>2.99</v>
      </c>
      <c r="T630" s="10">
        <f t="shared" si="100"/>
        <v>31.779274999999998</v>
      </c>
      <c r="U630" s="10">
        <f t="shared" si="101"/>
        <v>40.507980259999997</v>
      </c>
      <c r="V630" s="10">
        <f t="shared" si="102"/>
        <v>41.036992699999999</v>
      </c>
      <c r="W630" s="10">
        <f t="shared" si="103"/>
        <v>52.939772599999998</v>
      </c>
      <c r="X630" s="10">
        <f t="shared" si="104"/>
        <v>58.229896999999994</v>
      </c>
      <c r="Y630" s="10">
        <f t="shared" si="105"/>
        <v>84.680519000000004</v>
      </c>
      <c r="Z630" s="10">
        <f t="shared" si="106"/>
        <v>30.242643199999996</v>
      </c>
      <c r="AA630" s="10">
        <f t="shared" si="107"/>
        <v>38.883398399999997</v>
      </c>
      <c r="AB630" s="10">
        <f t="shared" si="108"/>
        <v>43.203775999999998</v>
      </c>
      <c r="AC630" s="10">
        <f t="shared" si="109"/>
        <v>64.805663999999993</v>
      </c>
    </row>
    <row r="631" spans="1:29" x14ac:dyDescent="0.25">
      <c r="A631">
        <v>444404</v>
      </c>
      <c r="B631" t="s">
        <v>79</v>
      </c>
      <c r="C631" s="10">
        <v>16.91</v>
      </c>
      <c r="D631" s="10">
        <v>15.94</v>
      </c>
      <c r="E631" s="10">
        <v>0</v>
      </c>
      <c r="F631">
        <v>21</v>
      </c>
      <c r="G631" t="s">
        <v>15</v>
      </c>
      <c r="H631" s="11">
        <v>45988</v>
      </c>
      <c r="I631" t="s">
        <v>13</v>
      </c>
      <c r="J631" s="12">
        <v>7</v>
      </c>
      <c r="K631" s="3">
        <v>222.46</v>
      </c>
      <c r="L631" s="3">
        <f t="shared" si="99"/>
        <v>31.78</v>
      </c>
      <c r="M631" s="13"/>
      <c r="N631">
        <f>_xlfn.XLOOKUP(G631,'Tarievensheet per persoon'!AE:AE,'Tarievensheet per persoon'!AF:AF)</f>
        <v>1.7024999999999999</v>
      </c>
      <c r="O631">
        <f>_xlfn.XLOOKUP(G631,AE:AE,'Tarievensheet per persoon'!AG:AG)</f>
        <v>1.5642</v>
      </c>
      <c r="P631">
        <f>_xlfn.XLOOKUP(G631,AE:AE,'Tarievensheet per persoon'!AH:AH)</f>
        <v>1.3552</v>
      </c>
      <c r="Q631">
        <f>_xlfn.XLOOKUP(G631,AE:AE,'Tarievensheet per persoon'!AI:AI)</f>
        <v>1.3552</v>
      </c>
      <c r="R631">
        <v>0</v>
      </c>
      <c r="S631" s="14">
        <v>2.99</v>
      </c>
      <c r="T631" s="10">
        <f t="shared" si="100"/>
        <v>31.779274999999998</v>
      </c>
      <c r="U631" s="10">
        <f t="shared" si="101"/>
        <v>40.507980259999997</v>
      </c>
      <c r="V631" s="10">
        <f t="shared" si="102"/>
        <v>41.036992699999999</v>
      </c>
      <c r="W631" s="10">
        <f t="shared" si="103"/>
        <v>52.939772599999998</v>
      </c>
      <c r="X631" s="10">
        <f t="shared" si="104"/>
        <v>58.229896999999994</v>
      </c>
      <c r="Y631" s="10">
        <f t="shared" si="105"/>
        <v>84.680519000000004</v>
      </c>
      <c r="Z631" s="10">
        <f t="shared" si="106"/>
        <v>30.242643199999996</v>
      </c>
      <c r="AA631" s="10">
        <f t="shared" si="107"/>
        <v>38.883398399999997</v>
      </c>
      <c r="AB631" s="10">
        <f t="shared" si="108"/>
        <v>43.203775999999998</v>
      </c>
      <c r="AC631" s="10">
        <f t="shared" si="109"/>
        <v>64.805663999999993</v>
      </c>
    </row>
    <row r="632" spans="1:29" x14ac:dyDescent="0.25">
      <c r="A632">
        <v>444404</v>
      </c>
      <c r="B632" t="s">
        <v>79</v>
      </c>
      <c r="C632" s="10">
        <v>16.91</v>
      </c>
      <c r="D632" s="10">
        <v>15.94</v>
      </c>
      <c r="E632" s="10">
        <v>0</v>
      </c>
      <c r="F632">
        <v>21</v>
      </c>
      <c r="G632" t="s">
        <v>15</v>
      </c>
      <c r="H632" s="11">
        <v>45989</v>
      </c>
      <c r="I632" t="s">
        <v>13</v>
      </c>
      <c r="J632" s="12">
        <v>7.5</v>
      </c>
      <c r="K632" s="3">
        <v>238.35</v>
      </c>
      <c r="L632" s="3">
        <f t="shared" si="99"/>
        <v>31.779999999999998</v>
      </c>
      <c r="M632" s="13"/>
      <c r="N632">
        <f>_xlfn.XLOOKUP(G632,'Tarievensheet per persoon'!AE:AE,'Tarievensheet per persoon'!AF:AF)</f>
        <v>1.7024999999999999</v>
      </c>
      <c r="O632">
        <f>_xlfn.XLOOKUP(G632,AE:AE,'Tarievensheet per persoon'!AG:AG)</f>
        <v>1.5642</v>
      </c>
      <c r="P632">
        <f>_xlfn.XLOOKUP(G632,AE:AE,'Tarievensheet per persoon'!AH:AH)</f>
        <v>1.3552</v>
      </c>
      <c r="Q632">
        <f>_xlfn.XLOOKUP(G632,AE:AE,'Tarievensheet per persoon'!AI:AI)</f>
        <v>1.3552</v>
      </c>
      <c r="R632">
        <v>0</v>
      </c>
      <c r="S632" s="14">
        <v>2.99</v>
      </c>
      <c r="T632" s="10">
        <f t="shared" si="100"/>
        <v>31.779274999999998</v>
      </c>
      <c r="U632" s="10">
        <f t="shared" si="101"/>
        <v>40.507980259999997</v>
      </c>
      <c r="V632" s="10">
        <f t="shared" si="102"/>
        <v>41.036992699999999</v>
      </c>
      <c r="W632" s="10">
        <f t="shared" si="103"/>
        <v>52.939772599999998</v>
      </c>
      <c r="X632" s="10">
        <f t="shared" si="104"/>
        <v>58.229896999999994</v>
      </c>
      <c r="Y632" s="10">
        <f t="shared" si="105"/>
        <v>84.680519000000004</v>
      </c>
      <c r="Z632" s="10">
        <f t="shared" si="106"/>
        <v>30.242643199999996</v>
      </c>
      <c r="AA632" s="10">
        <f t="shared" si="107"/>
        <v>38.883398399999997</v>
      </c>
      <c r="AB632" s="10">
        <f t="shared" si="108"/>
        <v>43.203775999999998</v>
      </c>
      <c r="AC632" s="10">
        <f t="shared" si="109"/>
        <v>64.805663999999993</v>
      </c>
    </row>
    <row r="633" spans="1:29" x14ac:dyDescent="0.25">
      <c r="A633">
        <v>444572</v>
      </c>
      <c r="B633" t="s">
        <v>80</v>
      </c>
      <c r="C633" s="10">
        <v>15.89</v>
      </c>
      <c r="D633" s="10">
        <v>14.98</v>
      </c>
      <c r="E633" s="10">
        <v>0</v>
      </c>
      <c r="F633">
        <v>21</v>
      </c>
      <c r="G633" t="s">
        <v>15</v>
      </c>
      <c r="H633" s="11">
        <v>45985</v>
      </c>
      <c r="I633" t="s">
        <v>13</v>
      </c>
      <c r="J633" s="12">
        <v>8</v>
      </c>
      <c r="K633" s="3">
        <v>240.32</v>
      </c>
      <c r="L633" s="3">
        <f t="shared" si="99"/>
        <v>30.04</v>
      </c>
      <c r="M633" s="13"/>
      <c r="N633">
        <f>_xlfn.XLOOKUP(G633,'Tarievensheet per persoon'!AE:AE,'Tarievensheet per persoon'!AF:AF)</f>
        <v>1.7024999999999999</v>
      </c>
      <c r="O633">
        <f>_xlfn.XLOOKUP(G633,AE:AE,'Tarievensheet per persoon'!AG:AG)</f>
        <v>1.5642</v>
      </c>
      <c r="P633">
        <f>_xlfn.XLOOKUP(G633,AE:AE,'Tarievensheet per persoon'!AH:AH)</f>
        <v>1.3552</v>
      </c>
      <c r="Q633">
        <f>_xlfn.XLOOKUP(G633,AE:AE,'Tarievensheet per persoon'!AI:AI)</f>
        <v>1.3552</v>
      </c>
      <c r="R633">
        <v>0</v>
      </c>
      <c r="S633" s="14">
        <v>2.99</v>
      </c>
      <c r="T633" s="10">
        <f t="shared" si="100"/>
        <v>30.042724999999997</v>
      </c>
      <c r="U633" s="10">
        <f t="shared" si="101"/>
        <v>38.244920539999995</v>
      </c>
      <c r="V633" s="10">
        <f t="shared" si="102"/>
        <v>38.7420233</v>
      </c>
      <c r="W633" s="10">
        <f t="shared" si="103"/>
        <v>49.926835400000002</v>
      </c>
      <c r="X633" s="10">
        <f t="shared" si="104"/>
        <v>54.897863000000001</v>
      </c>
      <c r="Y633" s="10">
        <f t="shared" si="105"/>
        <v>79.753000999999998</v>
      </c>
      <c r="Z633" s="10">
        <f t="shared" si="106"/>
        <v>28.421254399999995</v>
      </c>
      <c r="AA633" s="10">
        <f t="shared" si="107"/>
        <v>36.541612800000003</v>
      </c>
      <c r="AB633" s="10">
        <f t="shared" si="108"/>
        <v>40.601792000000003</v>
      </c>
      <c r="AC633" s="10">
        <f t="shared" si="109"/>
        <v>60.902687999999998</v>
      </c>
    </row>
    <row r="634" spans="1:29" x14ac:dyDescent="0.25">
      <c r="A634">
        <v>444572</v>
      </c>
      <c r="B634" t="s">
        <v>80</v>
      </c>
      <c r="C634" s="10">
        <v>15.89</v>
      </c>
      <c r="D634" s="10">
        <v>14.98</v>
      </c>
      <c r="E634" s="10">
        <v>0</v>
      </c>
      <c r="F634">
        <v>21</v>
      </c>
      <c r="G634" t="s">
        <v>15</v>
      </c>
      <c r="H634" s="11">
        <v>45986</v>
      </c>
      <c r="I634" t="s">
        <v>13</v>
      </c>
      <c r="J634" s="12">
        <v>8</v>
      </c>
      <c r="K634" s="3">
        <v>240.32</v>
      </c>
      <c r="L634" s="3">
        <f t="shared" si="99"/>
        <v>30.04</v>
      </c>
      <c r="M634" s="13"/>
      <c r="N634">
        <f>_xlfn.XLOOKUP(G634,'Tarievensheet per persoon'!AE:AE,'Tarievensheet per persoon'!AF:AF)</f>
        <v>1.7024999999999999</v>
      </c>
      <c r="O634">
        <f>_xlfn.XLOOKUP(G634,AE:AE,'Tarievensheet per persoon'!AG:AG)</f>
        <v>1.5642</v>
      </c>
      <c r="P634">
        <f>_xlfn.XLOOKUP(G634,AE:AE,'Tarievensheet per persoon'!AH:AH)</f>
        <v>1.3552</v>
      </c>
      <c r="Q634">
        <f>_xlfn.XLOOKUP(G634,AE:AE,'Tarievensheet per persoon'!AI:AI)</f>
        <v>1.3552</v>
      </c>
      <c r="R634">
        <v>0</v>
      </c>
      <c r="S634" s="14">
        <v>2.99</v>
      </c>
      <c r="T634" s="10">
        <f t="shared" si="100"/>
        <v>30.042724999999997</v>
      </c>
      <c r="U634" s="10">
        <f t="shared" si="101"/>
        <v>38.244920539999995</v>
      </c>
      <c r="V634" s="10">
        <f t="shared" si="102"/>
        <v>38.7420233</v>
      </c>
      <c r="W634" s="10">
        <f t="shared" si="103"/>
        <v>49.926835400000002</v>
      </c>
      <c r="X634" s="10">
        <f t="shared" si="104"/>
        <v>54.897863000000001</v>
      </c>
      <c r="Y634" s="10">
        <f t="shared" si="105"/>
        <v>79.753000999999998</v>
      </c>
      <c r="Z634" s="10">
        <f t="shared" si="106"/>
        <v>28.421254399999995</v>
      </c>
      <c r="AA634" s="10">
        <f t="shared" si="107"/>
        <v>36.541612800000003</v>
      </c>
      <c r="AB634" s="10">
        <f t="shared" si="108"/>
        <v>40.601792000000003</v>
      </c>
      <c r="AC634" s="10">
        <f t="shared" si="109"/>
        <v>60.902687999999998</v>
      </c>
    </row>
    <row r="635" spans="1:29" x14ac:dyDescent="0.25">
      <c r="A635">
        <v>444572</v>
      </c>
      <c r="B635" t="s">
        <v>80</v>
      </c>
      <c r="C635" s="10">
        <v>15.89</v>
      </c>
      <c r="D635" s="10">
        <v>14.98</v>
      </c>
      <c r="E635" s="10">
        <v>0</v>
      </c>
      <c r="F635">
        <v>21</v>
      </c>
      <c r="G635" t="s">
        <v>15</v>
      </c>
      <c r="H635" s="11">
        <v>45987</v>
      </c>
      <c r="I635" t="s">
        <v>13</v>
      </c>
      <c r="J635" s="12">
        <v>8</v>
      </c>
      <c r="K635" s="3">
        <v>240.32</v>
      </c>
      <c r="L635" s="3">
        <f t="shared" si="99"/>
        <v>30.04</v>
      </c>
      <c r="M635" s="13"/>
      <c r="N635">
        <f>_xlfn.XLOOKUP(G635,'Tarievensheet per persoon'!AE:AE,'Tarievensheet per persoon'!AF:AF)</f>
        <v>1.7024999999999999</v>
      </c>
      <c r="O635">
        <f>_xlfn.XLOOKUP(G635,AE:AE,'Tarievensheet per persoon'!AG:AG)</f>
        <v>1.5642</v>
      </c>
      <c r="P635">
        <f>_xlfn.XLOOKUP(G635,AE:AE,'Tarievensheet per persoon'!AH:AH)</f>
        <v>1.3552</v>
      </c>
      <c r="Q635">
        <f>_xlfn.XLOOKUP(G635,AE:AE,'Tarievensheet per persoon'!AI:AI)</f>
        <v>1.3552</v>
      </c>
      <c r="R635">
        <v>0</v>
      </c>
      <c r="S635" s="14">
        <v>2.99</v>
      </c>
      <c r="T635" s="10">
        <f t="shared" si="100"/>
        <v>30.042724999999997</v>
      </c>
      <c r="U635" s="10">
        <f t="shared" si="101"/>
        <v>38.244920539999995</v>
      </c>
      <c r="V635" s="10">
        <f t="shared" si="102"/>
        <v>38.7420233</v>
      </c>
      <c r="W635" s="10">
        <f t="shared" si="103"/>
        <v>49.926835400000002</v>
      </c>
      <c r="X635" s="10">
        <f t="shared" si="104"/>
        <v>54.897863000000001</v>
      </c>
      <c r="Y635" s="10">
        <f t="shared" si="105"/>
        <v>79.753000999999998</v>
      </c>
      <c r="Z635" s="10">
        <f t="shared" si="106"/>
        <v>28.421254399999995</v>
      </c>
      <c r="AA635" s="10">
        <f t="shared" si="107"/>
        <v>36.541612800000003</v>
      </c>
      <c r="AB635" s="10">
        <f t="shared" si="108"/>
        <v>40.601792000000003</v>
      </c>
      <c r="AC635" s="10">
        <f t="shared" si="109"/>
        <v>60.902687999999998</v>
      </c>
    </row>
    <row r="636" spans="1:29" x14ac:dyDescent="0.25">
      <c r="A636">
        <v>444572</v>
      </c>
      <c r="B636" t="s">
        <v>80</v>
      </c>
      <c r="C636" s="10">
        <v>15.89</v>
      </c>
      <c r="D636" s="10">
        <v>14.98</v>
      </c>
      <c r="E636" s="10">
        <v>0</v>
      </c>
      <c r="F636">
        <v>21</v>
      </c>
      <c r="G636" t="s">
        <v>15</v>
      </c>
      <c r="H636" s="11">
        <v>45988</v>
      </c>
      <c r="I636" t="s">
        <v>13</v>
      </c>
      <c r="J636" s="12">
        <v>8</v>
      </c>
      <c r="K636" s="3">
        <v>240.32</v>
      </c>
      <c r="L636" s="3">
        <f t="shared" si="99"/>
        <v>30.04</v>
      </c>
      <c r="M636" s="13"/>
      <c r="N636">
        <f>_xlfn.XLOOKUP(G636,'Tarievensheet per persoon'!AE:AE,'Tarievensheet per persoon'!AF:AF)</f>
        <v>1.7024999999999999</v>
      </c>
      <c r="O636">
        <f>_xlfn.XLOOKUP(G636,AE:AE,'Tarievensheet per persoon'!AG:AG)</f>
        <v>1.5642</v>
      </c>
      <c r="P636">
        <f>_xlfn.XLOOKUP(G636,AE:AE,'Tarievensheet per persoon'!AH:AH)</f>
        <v>1.3552</v>
      </c>
      <c r="Q636">
        <f>_xlfn.XLOOKUP(G636,AE:AE,'Tarievensheet per persoon'!AI:AI)</f>
        <v>1.3552</v>
      </c>
      <c r="R636">
        <v>0</v>
      </c>
      <c r="S636" s="14">
        <v>2.99</v>
      </c>
      <c r="T636" s="10">
        <f t="shared" si="100"/>
        <v>30.042724999999997</v>
      </c>
      <c r="U636" s="10">
        <f t="shared" si="101"/>
        <v>38.244920539999995</v>
      </c>
      <c r="V636" s="10">
        <f t="shared" si="102"/>
        <v>38.7420233</v>
      </c>
      <c r="W636" s="10">
        <f t="shared" si="103"/>
        <v>49.926835400000002</v>
      </c>
      <c r="X636" s="10">
        <f t="shared" si="104"/>
        <v>54.897863000000001</v>
      </c>
      <c r="Y636" s="10">
        <f t="shared" si="105"/>
        <v>79.753000999999998</v>
      </c>
      <c r="Z636" s="10">
        <f t="shared" si="106"/>
        <v>28.421254399999995</v>
      </c>
      <c r="AA636" s="10">
        <f t="shared" si="107"/>
        <v>36.541612800000003</v>
      </c>
      <c r="AB636" s="10">
        <f t="shared" si="108"/>
        <v>40.601792000000003</v>
      </c>
      <c r="AC636" s="10">
        <f t="shared" si="109"/>
        <v>60.902687999999998</v>
      </c>
    </row>
    <row r="637" spans="1:29" x14ac:dyDescent="0.25">
      <c r="A637">
        <v>444572</v>
      </c>
      <c r="B637" t="s">
        <v>80</v>
      </c>
      <c r="C637" s="10">
        <v>15.89</v>
      </c>
      <c r="D637" s="10">
        <v>14.98</v>
      </c>
      <c r="E637" s="10">
        <v>0</v>
      </c>
      <c r="F637">
        <v>21</v>
      </c>
      <c r="G637" t="s">
        <v>15</v>
      </c>
      <c r="H637" s="11">
        <v>45989</v>
      </c>
      <c r="I637" t="s">
        <v>13</v>
      </c>
      <c r="J637" s="12">
        <v>7.5</v>
      </c>
      <c r="K637" s="3">
        <v>225.3</v>
      </c>
      <c r="L637" s="3">
        <f t="shared" si="99"/>
        <v>30.040000000000003</v>
      </c>
      <c r="M637" s="13"/>
      <c r="N637">
        <f>_xlfn.XLOOKUP(G637,'Tarievensheet per persoon'!AE:AE,'Tarievensheet per persoon'!AF:AF)</f>
        <v>1.7024999999999999</v>
      </c>
      <c r="O637">
        <f>_xlfn.XLOOKUP(G637,AE:AE,'Tarievensheet per persoon'!AG:AG)</f>
        <v>1.5642</v>
      </c>
      <c r="P637">
        <f>_xlfn.XLOOKUP(G637,AE:AE,'Tarievensheet per persoon'!AH:AH)</f>
        <v>1.3552</v>
      </c>
      <c r="Q637">
        <f>_xlfn.XLOOKUP(G637,AE:AE,'Tarievensheet per persoon'!AI:AI)</f>
        <v>1.3552</v>
      </c>
      <c r="R637">
        <v>0</v>
      </c>
      <c r="S637" s="14">
        <v>2.99</v>
      </c>
      <c r="T637" s="10">
        <f t="shared" si="100"/>
        <v>30.042724999999997</v>
      </c>
      <c r="U637" s="10">
        <f t="shared" si="101"/>
        <v>38.244920539999995</v>
      </c>
      <c r="V637" s="10">
        <f t="shared" si="102"/>
        <v>38.7420233</v>
      </c>
      <c r="W637" s="10">
        <f t="shared" si="103"/>
        <v>49.926835400000002</v>
      </c>
      <c r="X637" s="10">
        <f t="shared" si="104"/>
        <v>54.897863000000001</v>
      </c>
      <c r="Y637" s="10">
        <f t="shared" si="105"/>
        <v>79.753000999999998</v>
      </c>
      <c r="Z637" s="10">
        <f t="shared" si="106"/>
        <v>28.421254399999995</v>
      </c>
      <c r="AA637" s="10">
        <f t="shared" si="107"/>
        <v>36.541612800000003</v>
      </c>
      <c r="AB637" s="10">
        <f t="shared" si="108"/>
        <v>40.601792000000003</v>
      </c>
      <c r="AC637" s="10">
        <f t="shared" si="109"/>
        <v>60.902687999999998</v>
      </c>
    </row>
    <row r="638" spans="1:29" x14ac:dyDescent="0.25">
      <c r="A638">
        <v>446563</v>
      </c>
      <c r="B638" t="s">
        <v>81</v>
      </c>
      <c r="C638" s="10">
        <v>16.91</v>
      </c>
      <c r="D638" s="10">
        <v>15.94</v>
      </c>
      <c r="E638" s="10">
        <v>0</v>
      </c>
      <c r="F638">
        <v>17</v>
      </c>
      <c r="G638" t="s">
        <v>15</v>
      </c>
      <c r="H638" s="11">
        <v>45985</v>
      </c>
      <c r="I638" t="s">
        <v>13</v>
      </c>
      <c r="J638" s="12">
        <v>8</v>
      </c>
      <c r="K638" s="3">
        <v>254.24</v>
      </c>
      <c r="L638" s="3">
        <f t="shared" si="99"/>
        <v>31.78</v>
      </c>
      <c r="M638" s="13"/>
      <c r="N638">
        <f>_xlfn.XLOOKUP(G638,'Tarievensheet per persoon'!AE:AE,'Tarievensheet per persoon'!AF:AF)</f>
        <v>1.7024999999999999</v>
      </c>
      <c r="O638">
        <f>_xlfn.XLOOKUP(G638,AE:AE,'Tarievensheet per persoon'!AG:AG)</f>
        <v>1.5642</v>
      </c>
      <c r="P638">
        <f>_xlfn.XLOOKUP(G638,AE:AE,'Tarievensheet per persoon'!AH:AH)</f>
        <v>1.3552</v>
      </c>
      <c r="Q638">
        <f>_xlfn.XLOOKUP(G638,AE:AE,'Tarievensheet per persoon'!AI:AI)</f>
        <v>1.3552</v>
      </c>
      <c r="R638">
        <v>0</v>
      </c>
      <c r="S638" s="14">
        <v>2.99</v>
      </c>
      <c r="T638" s="10">
        <f t="shared" si="100"/>
        <v>31.779274999999998</v>
      </c>
      <c r="U638" s="10">
        <f t="shared" si="101"/>
        <v>40.507980259999997</v>
      </c>
      <c r="V638" s="10">
        <f t="shared" si="102"/>
        <v>41.036992699999999</v>
      </c>
      <c r="W638" s="10">
        <f t="shared" si="103"/>
        <v>52.939772599999998</v>
      </c>
      <c r="X638" s="10">
        <f t="shared" si="104"/>
        <v>58.229896999999994</v>
      </c>
      <c r="Y638" s="10">
        <f t="shared" si="105"/>
        <v>84.680519000000004</v>
      </c>
      <c r="Z638" s="10">
        <f t="shared" si="106"/>
        <v>30.242643199999996</v>
      </c>
      <c r="AA638" s="10">
        <f t="shared" si="107"/>
        <v>38.883398399999997</v>
      </c>
      <c r="AB638" s="10">
        <f t="shared" si="108"/>
        <v>43.203775999999998</v>
      </c>
      <c r="AC638" s="10">
        <f t="shared" si="109"/>
        <v>64.805663999999993</v>
      </c>
    </row>
    <row r="639" spans="1:29" x14ac:dyDescent="0.25">
      <c r="A639">
        <v>446563</v>
      </c>
      <c r="B639" t="s">
        <v>81</v>
      </c>
      <c r="C639" s="10">
        <v>16.91</v>
      </c>
      <c r="D639" s="10">
        <v>15.94</v>
      </c>
      <c r="E639" s="10">
        <v>0</v>
      </c>
      <c r="F639">
        <v>17</v>
      </c>
      <c r="G639" t="s">
        <v>15</v>
      </c>
      <c r="H639" s="11">
        <v>45986</v>
      </c>
      <c r="I639" t="s">
        <v>13</v>
      </c>
      <c r="J639" s="12">
        <v>8</v>
      </c>
      <c r="K639" s="3">
        <v>254.24</v>
      </c>
      <c r="L639" s="3">
        <f t="shared" si="99"/>
        <v>31.78</v>
      </c>
      <c r="M639" s="13"/>
      <c r="N639">
        <f>_xlfn.XLOOKUP(G639,'Tarievensheet per persoon'!AE:AE,'Tarievensheet per persoon'!AF:AF)</f>
        <v>1.7024999999999999</v>
      </c>
      <c r="O639">
        <f>_xlfn.XLOOKUP(G639,AE:AE,'Tarievensheet per persoon'!AG:AG)</f>
        <v>1.5642</v>
      </c>
      <c r="P639">
        <f>_xlfn.XLOOKUP(G639,AE:AE,'Tarievensheet per persoon'!AH:AH)</f>
        <v>1.3552</v>
      </c>
      <c r="Q639">
        <f>_xlfn.XLOOKUP(G639,AE:AE,'Tarievensheet per persoon'!AI:AI)</f>
        <v>1.3552</v>
      </c>
      <c r="R639">
        <v>0</v>
      </c>
      <c r="S639" s="14">
        <v>2.99</v>
      </c>
      <c r="T639" s="10">
        <f t="shared" si="100"/>
        <v>31.779274999999998</v>
      </c>
      <c r="U639" s="10">
        <f t="shared" si="101"/>
        <v>40.507980259999997</v>
      </c>
      <c r="V639" s="10">
        <f t="shared" si="102"/>
        <v>41.036992699999999</v>
      </c>
      <c r="W639" s="10">
        <f t="shared" si="103"/>
        <v>52.939772599999998</v>
      </c>
      <c r="X639" s="10">
        <f t="shared" si="104"/>
        <v>58.229896999999994</v>
      </c>
      <c r="Y639" s="10">
        <f t="shared" si="105"/>
        <v>84.680519000000004</v>
      </c>
      <c r="Z639" s="10">
        <f t="shared" si="106"/>
        <v>30.242643199999996</v>
      </c>
      <c r="AA639" s="10">
        <f t="shared" si="107"/>
        <v>38.883398399999997</v>
      </c>
      <c r="AB639" s="10">
        <f t="shared" si="108"/>
        <v>43.203775999999998</v>
      </c>
      <c r="AC639" s="10">
        <f t="shared" si="109"/>
        <v>64.805663999999993</v>
      </c>
    </row>
    <row r="640" spans="1:29" x14ac:dyDescent="0.25">
      <c r="A640">
        <v>446563</v>
      </c>
      <c r="B640" t="s">
        <v>81</v>
      </c>
      <c r="C640" s="10">
        <v>16.91</v>
      </c>
      <c r="D640" s="10">
        <v>15.94</v>
      </c>
      <c r="E640" s="10">
        <v>0</v>
      </c>
      <c r="F640">
        <v>17</v>
      </c>
      <c r="G640" t="s">
        <v>15</v>
      </c>
      <c r="H640" s="11">
        <v>45987</v>
      </c>
      <c r="I640" t="s">
        <v>13</v>
      </c>
      <c r="J640" s="12">
        <v>8</v>
      </c>
      <c r="K640" s="3">
        <v>254.24</v>
      </c>
      <c r="L640" s="3">
        <f t="shared" si="99"/>
        <v>31.78</v>
      </c>
      <c r="M640" s="13"/>
      <c r="N640">
        <f>_xlfn.XLOOKUP(G640,'Tarievensheet per persoon'!AE:AE,'Tarievensheet per persoon'!AF:AF)</f>
        <v>1.7024999999999999</v>
      </c>
      <c r="O640">
        <f>_xlfn.XLOOKUP(G640,AE:AE,'Tarievensheet per persoon'!AG:AG)</f>
        <v>1.5642</v>
      </c>
      <c r="P640">
        <f>_xlfn.XLOOKUP(G640,AE:AE,'Tarievensheet per persoon'!AH:AH)</f>
        <v>1.3552</v>
      </c>
      <c r="Q640">
        <f>_xlfn.XLOOKUP(G640,AE:AE,'Tarievensheet per persoon'!AI:AI)</f>
        <v>1.3552</v>
      </c>
      <c r="R640">
        <v>0</v>
      </c>
      <c r="S640" s="14">
        <v>2.99</v>
      </c>
      <c r="T640" s="10">
        <f t="shared" si="100"/>
        <v>31.779274999999998</v>
      </c>
      <c r="U640" s="10">
        <f t="shared" si="101"/>
        <v>40.507980259999997</v>
      </c>
      <c r="V640" s="10">
        <f t="shared" si="102"/>
        <v>41.036992699999999</v>
      </c>
      <c r="W640" s="10">
        <f t="shared" si="103"/>
        <v>52.939772599999998</v>
      </c>
      <c r="X640" s="10">
        <f t="shared" si="104"/>
        <v>58.229896999999994</v>
      </c>
      <c r="Y640" s="10">
        <f t="shared" si="105"/>
        <v>84.680519000000004</v>
      </c>
      <c r="Z640" s="10">
        <f t="shared" si="106"/>
        <v>30.242643199999996</v>
      </c>
      <c r="AA640" s="10">
        <f t="shared" si="107"/>
        <v>38.883398399999997</v>
      </c>
      <c r="AB640" s="10">
        <f t="shared" si="108"/>
        <v>43.203775999999998</v>
      </c>
      <c r="AC640" s="10">
        <f t="shared" si="109"/>
        <v>64.805663999999993</v>
      </c>
    </row>
    <row r="641" spans="1:29" x14ac:dyDescent="0.25">
      <c r="A641">
        <v>446563</v>
      </c>
      <c r="B641" t="s">
        <v>81</v>
      </c>
      <c r="C641" s="10">
        <v>16.91</v>
      </c>
      <c r="D641" s="10">
        <v>15.94</v>
      </c>
      <c r="E641" s="10">
        <v>0</v>
      </c>
      <c r="F641">
        <v>17</v>
      </c>
      <c r="G641" t="s">
        <v>15</v>
      </c>
      <c r="H641" s="11">
        <v>45988</v>
      </c>
      <c r="I641" t="s">
        <v>13</v>
      </c>
      <c r="J641" s="12">
        <v>8</v>
      </c>
      <c r="K641" s="3">
        <v>254.24</v>
      </c>
      <c r="L641" s="3">
        <f t="shared" si="99"/>
        <v>31.78</v>
      </c>
      <c r="M641" s="13"/>
      <c r="N641">
        <f>_xlfn.XLOOKUP(G641,'Tarievensheet per persoon'!AE:AE,'Tarievensheet per persoon'!AF:AF)</f>
        <v>1.7024999999999999</v>
      </c>
      <c r="O641">
        <f>_xlfn.XLOOKUP(G641,AE:AE,'Tarievensheet per persoon'!AG:AG)</f>
        <v>1.5642</v>
      </c>
      <c r="P641">
        <f>_xlfn.XLOOKUP(G641,AE:AE,'Tarievensheet per persoon'!AH:AH)</f>
        <v>1.3552</v>
      </c>
      <c r="Q641">
        <f>_xlfn.XLOOKUP(G641,AE:AE,'Tarievensheet per persoon'!AI:AI)</f>
        <v>1.3552</v>
      </c>
      <c r="R641">
        <v>0</v>
      </c>
      <c r="S641" s="14">
        <v>2.99</v>
      </c>
      <c r="T641" s="10">
        <f t="shared" si="100"/>
        <v>31.779274999999998</v>
      </c>
      <c r="U641" s="10">
        <f t="shared" si="101"/>
        <v>40.507980259999997</v>
      </c>
      <c r="V641" s="10">
        <f t="shared" si="102"/>
        <v>41.036992699999999</v>
      </c>
      <c r="W641" s="10">
        <f t="shared" si="103"/>
        <v>52.939772599999998</v>
      </c>
      <c r="X641" s="10">
        <f t="shared" si="104"/>
        <v>58.229896999999994</v>
      </c>
      <c r="Y641" s="10">
        <f t="shared" si="105"/>
        <v>84.680519000000004</v>
      </c>
      <c r="Z641" s="10">
        <f t="shared" si="106"/>
        <v>30.242643199999996</v>
      </c>
      <c r="AA641" s="10">
        <f t="shared" si="107"/>
        <v>38.883398399999997</v>
      </c>
      <c r="AB641" s="10">
        <f t="shared" si="108"/>
        <v>43.203775999999998</v>
      </c>
      <c r="AC641" s="10">
        <f t="shared" si="109"/>
        <v>64.805663999999993</v>
      </c>
    </row>
    <row r="642" spans="1:29" x14ac:dyDescent="0.25">
      <c r="A642">
        <v>446563</v>
      </c>
      <c r="B642" t="s">
        <v>81</v>
      </c>
      <c r="C642" s="10">
        <v>16.91</v>
      </c>
      <c r="D642" s="10">
        <v>15.94</v>
      </c>
      <c r="E642" s="10">
        <v>0</v>
      </c>
      <c r="F642">
        <v>17</v>
      </c>
      <c r="G642" t="s">
        <v>15</v>
      </c>
      <c r="H642" s="11">
        <v>45989</v>
      </c>
      <c r="I642" t="s">
        <v>13</v>
      </c>
      <c r="J642" s="12">
        <v>7.5</v>
      </c>
      <c r="K642" s="3">
        <v>238.35</v>
      </c>
      <c r="L642" s="3">
        <f t="shared" si="99"/>
        <v>31.779999999999998</v>
      </c>
      <c r="M642" s="13"/>
      <c r="N642">
        <f>_xlfn.XLOOKUP(G642,'Tarievensheet per persoon'!AE:AE,'Tarievensheet per persoon'!AF:AF)</f>
        <v>1.7024999999999999</v>
      </c>
      <c r="O642">
        <f>_xlfn.XLOOKUP(G642,AE:AE,'Tarievensheet per persoon'!AG:AG)</f>
        <v>1.5642</v>
      </c>
      <c r="P642">
        <f>_xlfn.XLOOKUP(G642,AE:AE,'Tarievensheet per persoon'!AH:AH)</f>
        <v>1.3552</v>
      </c>
      <c r="Q642">
        <f>_xlfn.XLOOKUP(G642,AE:AE,'Tarievensheet per persoon'!AI:AI)</f>
        <v>1.3552</v>
      </c>
      <c r="R642">
        <v>0</v>
      </c>
      <c r="S642" s="14">
        <v>2.99</v>
      </c>
      <c r="T642" s="10">
        <f t="shared" si="100"/>
        <v>31.779274999999998</v>
      </c>
      <c r="U642" s="10">
        <f t="shared" si="101"/>
        <v>40.507980259999997</v>
      </c>
      <c r="V642" s="10">
        <f t="shared" si="102"/>
        <v>41.036992699999999</v>
      </c>
      <c r="W642" s="10">
        <f t="shared" si="103"/>
        <v>52.939772599999998</v>
      </c>
      <c r="X642" s="10">
        <f t="shared" si="104"/>
        <v>58.229896999999994</v>
      </c>
      <c r="Y642" s="10">
        <f t="shared" si="105"/>
        <v>84.680519000000004</v>
      </c>
      <c r="Z642" s="10">
        <f t="shared" si="106"/>
        <v>30.242643199999996</v>
      </c>
      <c r="AA642" s="10">
        <f t="shared" si="107"/>
        <v>38.883398399999997</v>
      </c>
      <c r="AB642" s="10">
        <f t="shared" si="108"/>
        <v>43.203775999999998</v>
      </c>
      <c r="AC642" s="10">
        <f t="shared" si="109"/>
        <v>64.805663999999993</v>
      </c>
    </row>
    <row r="643" spans="1:29" x14ac:dyDescent="0.25">
      <c r="A643">
        <v>446709</v>
      </c>
      <c r="B643" t="s">
        <v>82</v>
      </c>
      <c r="C643" s="10">
        <v>15.89</v>
      </c>
      <c r="D643" s="10">
        <v>14.98</v>
      </c>
      <c r="E643" s="10">
        <v>0</v>
      </c>
      <c r="F643">
        <v>17</v>
      </c>
      <c r="G643" t="s">
        <v>15</v>
      </c>
      <c r="H643" s="11">
        <v>45985</v>
      </c>
      <c r="I643" t="s">
        <v>13</v>
      </c>
      <c r="J643" s="12">
        <v>8</v>
      </c>
      <c r="K643" s="3">
        <v>240.32</v>
      </c>
      <c r="L643" s="3">
        <f t="shared" ref="L643:L706" si="110">K643/J643</f>
        <v>30.04</v>
      </c>
      <c r="M643" s="13"/>
      <c r="N643">
        <f>_xlfn.XLOOKUP(G643,'Tarievensheet per persoon'!AE:AE,'Tarievensheet per persoon'!AF:AF)</f>
        <v>1.7024999999999999</v>
      </c>
      <c r="O643">
        <f>_xlfn.XLOOKUP(G643,AE:AE,'Tarievensheet per persoon'!AG:AG)</f>
        <v>1.5642</v>
      </c>
      <c r="P643">
        <f>_xlfn.XLOOKUP(G643,AE:AE,'Tarievensheet per persoon'!AH:AH)</f>
        <v>1.3552</v>
      </c>
      <c r="Q643">
        <f>_xlfn.XLOOKUP(G643,AE:AE,'Tarievensheet per persoon'!AI:AI)</f>
        <v>1.3552</v>
      </c>
      <c r="R643">
        <v>0</v>
      </c>
      <c r="S643" s="14">
        <v>2.99</v>
      </c>
      <c r="T643" s="10">
        <f t="shared" ref="T643:T706" si="111">C643*N643+C643*Q643*R643+S643+(E643*O643)</f>
        <v>30.042724999999997</v>
      </c>
      <c r="U643" s="10">
        <f t="shared" ref="U643:U706" si="112">T643+C643*(U$1-1)*O643</f>
        <v>38.244920539999995</v>
      </c>
      <c r="V643" s="10">
        <f t="shared" ref="V643:V706" si="113">T643+C643*(V$1-1)*O643</f>
        <v>38.7420233</v>
      </c>
      <c r="W643" s="10">
        <f t="shared" ref="W643:W706" si="114">T643+C643*(W$1-1)*O643</f>
        <v>49.926835400000002</v>
      </c>
      <c r="X643" s="10">
        <f t="shared" ref="X643:X706" si="115">T643+C643*(X$1-1)*O643</f>
        <v>54.897863000000001</v>
      </c>
      <c r="Y643" s="10">
        <f t="shared" ref="Y643:Y706" si="116">T643+C643*(Y$1-1)*O643</f>
        <v>79.753000999999998</v>
      </c>
      <c r="Z643" s="10">
        <f t="shared" ref="Z643:Z706" si="117">D643*Z$1*P643</f>
        <v>28.421254399999995</v>
      </c>
      <c r="AA643" s="10">
        <f t="shared" ref="AA643:AA706" si="118">D643*AA$1*P643</f>
        <v>36.541612800000003</v>
      </c>
      <c r="AB643" s="10">
        <f t="shared" ref="AB643:AB706" si="119">D643*AB$1*P643</f>
        <v>40.601792000000003</v>
      </c>
      <c r="AC643" s="10">
        <f t="shared" ref="AC643:AC706" si="120">D643*AC$1*P643</f>
        <v>60.902687999999998</v>
      </c>
    </row>
    <row r="644" spans="1:29" x14ac:dyDescent="0.25">
      <c r="A644">
        <v>446709</v>
      </c>
      <c r="B644" t="s">
        <v>82</v>
      </c>
      <c r="C644" s="10">
        <v>15.89</v>
      </c>
      <c r="D644" s="10">
        <v>14.98</v>
      </c>
      <c r="E644" s="10">
        <v>0</v>
      </c>
      <c r="F644">
        <v>17</v>
      </c>
      <c r="G644" t="s">
        <v>15</v>
      </c>
      <c r="H644" s="11">
        <v>45986</v>
      </c>
      <c r="I644" t="s">
        <v>13</v>
      </c>
      <c r="J644" s="12">
        <v>8</v>
      </c>
      <c r="K644" s="3">
        <v>240.32</v>
      </c>
      <c r="L644" s="3">
        <f t="shared" si="110"/>
        <v>30.04</v>
      </c>
      <c r="M644" s="13"/>
      <c r="N644">
        <f>_xlfn.XLOOKUP(G644,'Tarievensheet per persoon'!AE:AE,'Tarievensheet per persoon'!AF:AF)</f>
        <v>1.7024999999999999</v>
      </c>
      <c r="O644">
        <f>_xlfn.XLOOKUP(G644,AE:AE,'Tarievensheet per persoon'!AG:AG)</f>
        <v>1.5642</v>
      </c>
      <c r="P644">
        <f>_xlfn.XLOOKUP(G644,AE:AE,'Tarievensheet per persoon'!AH:AH)</f>
        <v>1.3552</v>
      </c>
      <c r="Q644">
        <f>_xlfn.XLOOKUP(G644,AE:AE,'Tarievensheet per persoon'!AI:AI)</f>
        <v>1.3552</v>
      </c>
      <c r="R644">
        <v>0</v>
      </c>
      <c r="S644" s="14">
        <v>2.99</v>
      </c>
      <c r="T644" s="10">
        <f t="shared" si="111"/>
        <v>30.042724999999997</v>
      </c>
      <c r="U644" s="10">
        <f t="shared" si="112"/>
        <v>38.244920539999995</v>
      </c>
      <c r="V644" s="10">
        <f t="shared" si="113"/>
        <v>38.7420233</v>
      </c>
      <c r="W644" s="10">
        <f t="shared" si="114"/>
        <v>49.926835400000002</v>
      </c>
      <c r="X644" s="10">
        <f t="shared" si="115"/>
        <v>54.897863000000001</v>
      </c>
      <c r="Y644" s="10">
        <f t="shared" si="116"/>
        <v>79.753000999999998</v>
      </c>
      <c r="Z644" s="10">
        <f t="shared" si="117"/>
        <v>28.421254399999995</v>
      </c>
      <c r="AA644" s="10">
        <f t="shared" si="118"/>
        <v>36.541612800000003</v>
      </c>
      <c r="AB644" s="10">
        <f t="shared" si="119"/>
        <v>40.601792000000003</v>
      </c>
      <c r="AC644" s="10">
        <f t="shared" si="120"/>
        <v>60.902687999999998</v>
      </c>
    </row>
    <row r="645" spans="1:29" x14ac:dyDescent="0.25">
      <c r="A645">
        <v>446709</v>
      </c>
      <c r="B645" t="s">
        <v>82</v>
      </c>
      <c r="C645" s="10">
        <v>15.89</v>
      </c>
      <c r="D645" s="10">
        <v>14.98</v>
      </c>
      <c r="E645" s="10">
        <v>0</v>
      </c>
      <c r="F645">
        <v>17</v>
      </c>
      <c r="G645" t="s">
        <v>15</v>
      </c>
      <c r="H645" s="11">
        <v>45987</v>
      </c>
      <c r="I645" t="s">
        <v>13</v>
      </c>
      <c r="J645" s="12">
        <v>8</v>
      </c>
      <c r="K645" s="3">
        <v>240.32</v>
      </c>
      <c r="L645" s="3">
        <f t="shared" si="110"/>
        <v>30.04</v>
      </c>
      <c r="M645" s="13"/>
      <c r="N645">
        <f>_xlfn.XLOOKUP(G645,'Tarievensheet per persoon'!AE:AE,'Tarievensheet per persoon'!AF:AF)</f>
        <v>1.7024999999999999</v>
      </c>
      <c r="O645">
        <f>_xlfn.XLOOKUP(G645,AE:AE,'Tarievensheet per persoon'!AG:AG)</f>
        <v>1.5642</v>
      </c>
      <c r="P645">
        <f>_xlfn.XLOOKUP(G645,AE:AE,'Tarievensheet per persoon'!AH:AH)</f>
        <v>1.3552</v>
      </c>
      <c r="Q645">
        <f>_xlfn.XLOOKUP(G645,AE:AE,'Tarievensheet per persoon'!AI:AI)</f>
        <v>1.3552</v>
      </c>
      <c r="R645">
        <v>0</v>
      </c>
      <c r="S645" s="14">
        <v>2.99</v>
      </c>
      <c r="T645" s="10">
        <f t="shared" si="111"/>
        <v>30.042724999999997</v>
      </c>
      <c r="U645" s="10">
        <f t="shared" si="112"/>
        <v>38.244920539999995</v>
      </c>
      <c r="V645" s="10">
        <f t="shared" si="113"/>
        <v>38.7420233</v>
      </c>
      <c r="W645" s="10">
        <f t="shared" si="114"/>
        <v>49.926835400000002</v>
      </c>
      <c r="X645" s="10">
        <f t="shared" si="115"/>
        <v>54.897863000000001</v>
      </c>
      <c r="Y645" s="10">
        <f t="shared" si="116"/>
        <v>79.753000999999998</v>
      </c>
      <c r="Z645" s="10">
        <f t="shared" si="117"/>
        <v>28.421254399999995</v>
      </c>
      <c r="AA645" s="10">
        <f t="shared" si="118"/>
        <v>36.541612800000003</v>
      </c>
      <c r="AB645" s="10">
        <f t="shared" si="119"/>
        <v>40.601792000000003</v>
      </c>
      <c r="AC645" s="10">
        <f t="shared" si="120"/>
        <v>60.902687999999998</v>
      </c>
    </row>
    <row r="646" spans="1:29" x14ac:dyDescent="0.25">
      <c r="A646">
        <v>446709</v>
      </c>
      <c r="B646" t="s">
        <v>82</v>
      </c>
      <c r="C646" s="10">
        <v>15.89</v>
      </c>
      <c r="D646" s="10">
        <v>14.98</v>
      </c>
      <c r="E646" s="10">
        <v>0</v>
      </c>
      <c r="F646">
        <v>17</v>
      </c>
      <c r="G646" t="s">
        <v>15</v>
      </c>
      <c r="H646" s="11">
        <v>45988</v>
      </c>
      <c r="I646" t="s">
        <v>13</v>
      </c>
      <c r="J646" s="12">
        <v>8</v>
      </c>
      <c r="K646" s="3">
        <v>240.32</v>
      </c>
      <c r="L646" s="3">
        <f t="shared" si="110"/>
        <v>30.04</v>
      </c>
      <c r="M646" s="13"/>
      <c r="N646">
        <f>_xlfn.XLOOKUP(G646,'Tarievensheet per persoon'!AE:AE,'Tarievensheet per persoon'!AF:AF)</f>
        <v>1.7024999999999999</v>
      </c>
      <c r="O646">
        <f>_xlfn.XLOOKUP(G646,AE:AE,'Tarievensheet per persoon'!AG:AG)</f>
        <v>1.5642</v>
      </c>
      <c r="P646">
        <f>_xlfn.XLOOKUP(G646,AE:AE,'Tarievensheet per persoon'!AH:AH)</f>
        <v>1.3552</v>
      </c>
      <c r="Q646">
        <f>_xlfn.XLOOKUP(G646,AE:AE,'Tarievensheet per persoon'!AI:AI)</f>
        <v>1.3552</v>
      </c>
      <c r="R646">
        <v>0</v>
      </c>
      <c r="S646" s="14">
        <v>2.99</v>
      </c>
      <c r="T646" s="10">
        <f t="shared" si="111"/>
        <v>30.042724999999997</v>
      </c>
      <c r="U646" s="10">
        <f t="shared" si="112"/>
        <v>38.244920539999995</v>
      </c>
      <c r="V646" s="10">
        <f t="shared" si="113"/>
        <v>38.7420233</v>
      </c>
      <c r="W646" s="10">
        <f t="shared" si="114"/>
        <v>49.926835400000002</v>
      </c>
      <c r="X646" s="10">
        <f t="shared" si="115"/>
        <v>54.897863000000001</v>
      </c>
      <c r="Y646" s="10">
        <f t="shared" si="116"/>
        <v>79.753000999999998</v>
      </c>
      <c r="Z646" s="10">
        <f t="shared" si="117"/>
        <v>28.421254399999995</v>
      </c>
      <c r="AA646" s="10">
        <f t="shared" si="118"/>
        <v>36.541612800000003</v>
      </c>
      <c r="AB646" s="10">
        <f t="shared" si="119"/>
        <v>40.601792000000003</v>
      </c>
      <c r="AC646" s="10">
        <f t="shared" si="120"/>
        <v>60.902687999999998</v>
      </c>
    </row>
    <row r="647" spans="1:29" x14ac:dyDescent="0.25">
      <c r="A647">
        <v>446709</v>
      </c>
      <c r="B647" t="s">
        <v>82</v>
      </c>
      <c r="C647" s="10">
        <v>15.89</v>
      </c>
      <c r="D647" s="10">
        <v>14.98</v>
      </c>
      <c r="E647" s="10">
        <v>0</v>
      </c>
      <c r="F647">
        <v>17</v>
      </c>
      <c r="G647" t="s">
        <v>15</v>
      </c>
      <c r="H647" s="11">
        <v>45989</v>
      </c>
      <c r="I647" t="s">
        <v>13</v>
      </c>
      <c r="J647" s="12">
        <v>8</v>
      </c>
      <c r="K647" s="3">
        <v>240.32</v>
      </c>
      <c r="L647" s="3">
        <f t="shared" si="110"/>
        <v>30.04</v>
      </c>
      <c r="M647" s="13"/>
      <c r="N647">
        <f>_xlfn.XLOOKUP(G647,'Tarievensheet per persoon'!AE:AE,'Tarievensheet per persoon'!AF:AF)</f>
        <v>1.7024999999999999</v>
      </c>
      <c r="O647">
        <f>_xlfn.XLOOKUP(G647,AE:AE,'Tarievensheet per persoon'!AG:AG)</f>
        <v>1.5642</v>
      </c>
      <c r="P647">
        <f>_xlfn.XLOOKUP(G647,AE:AE,'Tarievensheet per persoon'!AH:AH)</f>
        <v>1.3552</v>
      </c>
      <c r="Q647">
        <f>_xlfn.XLOOKUP(G647,AE:AE,'Tarievensheet per persoon'!AI:AI)</f>
        <v>1.3552</v>
      </c>
      <c r="R647">
        <v>0</v>
      </c>
      <c r="S647" s="14">
        <v>2.99</v>
      </c>
      <c r="T647" s="10">
        <f t="shared" si="111"/>
        <v>30.042724999999997</v>
      </c>
      <c r="U647" s="10">
        <f t="shared" si="112"/>
        <v>38.244920539999995</v>
      </c>
      <c r="V647" s="10">
        <f t="shared" si="113"/>
        <v>38.7420233</v>
      </c>
      <c r="W647" s="10">
        <f t="shared" si="114"/>
        <v>49.926835400000002</v>
      </c>
      <c r="X647" s="10">
        <f t="shared" si="115"/>
        <v>54.897863000000001</v>
      </c>
      <c r="Y647" s="10">
        <f t="shared" si="116"/>
        <v>79.753000999999998</v>
      </c>
      <c r="Z647" s="10">
        <f t="shared" si="117"/>
        <v>28.421254399999995</v>
      </c>
      <c r="AA647" s="10">
        <f t="shared" si="118"/>
        <v>36.541612800000003</v>
      </c>
      <c r="AB647" s="10">
        <f t="shared" si="119"/>
        <v>40.601792000000003</v>
      </c>
      <c r="AC647" s="10">
        <f t="shared" si="120"/>
        <v>60.902687999999998</v>
      </c>
    </row>
    <row r="648" spans="1:29" x14ac:dyDescent="0.25">
      <c r="A648">
        <v>448519</v>
      </c>
      <c r="B648" t="s">
        <v>124</v>
      </c>
      <c r="C648" s="10">
        <v>15.89</v>
      </c>
      <c r="D648" s="10">
        <v>14.98</v>
      </c>
      <c r="E648" s="10">
        <v>0</v>
      </c>
      <c r="F648">
        <v>12</v>
      </c>
      <c r="G648" t="s">
        <v>15</v>
      </c>
      <c r="H648" s="11">
        <v>45985</v>
      </c>
      <c r="I648" t="s">
        <v>13</v>
      </c>
      <c r="J648" s="12">
        <v>8</v>
      </c>
      <c r="K648" s="3">
        <v>240.32</v>
      </c>
      <c r="L648" s="3">
        <f t="shared" si="110"/>
        <v>30.04</v>
      </c>
      <c r="M648" s="13"/>
      <c r="N648">
        <f>_xlfn.XLOOKUP(G648,'Tarievensheet per persoon'!AE:AE,'Tarievensheet per persoon'!AF:AF)</f>
        <v>1.7024999999999999</v>
      </c>
      <c r="O648">
        <f>_xlfn.XLOOKUP(G648,AE:AE,'Tarievensheet per persoon'!AG:AG)</f>
        <v>1.5642</v>
      </c>
      <c r="P648">
        <f>_xlfn.XLOOKUP(G648,AE:AE,'Tarievensheet per persoon'!AH:AH)</f>
        <v>1.3552</v>
      </c>
      <c r="Q648">
        <f>_xlfn.XLOOKUP(G648,AE:AE,'Tarievensheet per persoon'!AI:AI)</f>
        <v>1.3552</v>
      </c>
      <c r="R648">
        <v>0</v>
      </c>
      <c r="S648" s="14">
        <v>2.99</v>
      </c>
      <c r="T648" s="10">
        <f t="shared" si="111"/>
        <v>30.042724999999997</v>
      </c>
      <c r="U648" s="10">
        <f t="shared" si="112"/>
        <v>38.244920539999995</v>
      </c>
      <c r="V648" s="10">
        <f t="shared" si="113"/>
        <v>38.7420233</v>
      </c>
      <c r="W648" s="10">
        <f t="shared" si="114"/>
        <v>49.926835400000002</v>
      </c>
      <c r="X648" s="10">
        <f t="shared" si="115"/>
        <v>54.897863000000001</v>
      </c>
      <c r="Y648" s="10">
        <f t="shared" si="116"/>
        <v>79.753000999999998</v>
      </c>
      <c r="Z648" s="10">
        <f t="shared" si="117"/>
        <v>28.421254399999995</v>
      </c>
      <c r="AA648" s="10">
        <f t="shared" si="118"/>
        <v>36.541612800000003</v>
      </c>
      <c r="AB648" s="10">
        <f t="shared" si="119"/>
        <v>40.601792000000003</v>
      </c>
      <c r="AC648" s="10">
        <f t="shared" si="120"/>
        <v>60.902687999999998</v>
      </c>
    </row>
    <row r="649" spans="1:29" x14ac:dyDescent="0.25">
      <c r="A649">
        <v>448519</v>
      </c>
      <c r="B649" t="s">
        <v>124</v>
      </c>
      <c r="C649" s="10">
        <v>15.89</v>
      </c>
      <c r="D649" s="10">
        <v>14.98</v>
      </c>
      <c r="E649" s="10">
        <v>0</v>
      </c>
      <c r="F649">
        <v>12</v>
      </c>
      <c r="G649" t="s">
        <v>15</v>
      </c>
      <c r="H649" s="11">
        <v>45986</v>
      </c>
      <c r="I649" t="s">
        <v>13</v>
      </c>
      <c r="J649" s="12">
        <v>7.25</v>
      </c>
      <c r="K649" s="3">
        <v>217.79</v>
      </c>
      <c r="L649" s="3">
        <f t="shared" si="110"/>
        <v>30.04</v>
      </c>
      <c r="M649" s="13"/>
      <c r="N649">
        <f>_xlfn.XLOOKUP(G649,'Tarievensheet per persoon'!AE:AE,'Tarievensheet per persoon'!AF:AF)</f>
        <v>1.7024999999999999</v>
      </c>
      <c r="O649">
        <f>_xlfn.XLOOKUP(G649,AE:AE,'Tarievensheet per persoon'!AG:AG)</f>
        <v>1.5642</v>
      </c>
      <c r="P649">
        <f>_xlfn.XLOOKUP(G649,AE:AE,'Tarievensheet per persoon'!AH:AH)</f>
        <v>1.3552</v>
      </c>
      <c r="Q649">
        <f>_xlfn.XLOOKUP(G649,AE:AE,'Tarievensheet per persoon'!AI:AI)</f>
        <v>1.3552</v>
      </c>
      <c r="R649">
        <v>0</v>
      </c>
      <c r="S649" s="14">
        <v>2.99</v>
      </c>
      <c r="T649" s="10">
        <f t="shared" si="111"/>
        <v>30.042724999999997</v>
      </c>
      <c r="U649" s="10">
        <f t="shared" si="112"/>
        <v>38.244920539999995</v>
      </c>
      <c r="V649" s="10">
        <f t="shared" si="113"/>
        <v>38.7420233</v>
      </c>
      <c r="W649" s="10">
        <f t="shared" si="114"/>
        <v>49.926835400000002</v>
      </c>
      <c r="X649" s="10">
        <f t="shared" si="115"/>
        <v>54.897863000000001</v>
      </c>
      <c r="Y649" s="10">
        <f t="shared" si="116"/>
        <v>79.753000999999998</v>
      </c>
      <c r="Z649" s="10">
        <f t="shared" si="117"/>
        <v>28.421254399999995</v>
      </c>
      <c r="AA649" s="10">
        <f t="shared" si="118"/>
        <v>36.541612800000003</v>
      </c>
      <c r="AB649" s="10">
        <f t="shared" si="119"/>
        <v>40.601792000000003</v>
      </c>
      <c r="AC649" s="10">
        <f t="shared" si="120"/>
        <v>60.902687999999998</v>
      </c>
    </row>
    <row r="650" spans="1:29" x14ac:dyDescent="0.25">
      <c r="A650">
        <v>448519</v>
      </c>
      <c r="B650" t="s">
        <v>124</v>
      </c>
      <c r="C650" s="10">
        <v>15.89</v>
      </c>
      <c r="D650" s="10">
        <v>14.98</v>
      </c>
      <c r="E650" s="10">
        <v>0</v>
      </c>
      <c r="F650">
        <v>12</v>
      </c>
      <c r="G650" t="s">
        <v>15</v>
      </c>
      <c r="H650" s="11">
        <v>45986</v>
      </c>
      <c r="I650" t="s">
        <v>23</v>
      </c>
      <c r="J650" s="12">
        <v>0.75</v>
      </c>
      <c r="K650" s="3">
        <v>21.32</v>
      </c>
      <c r="L650" s="3">
        <f t="shared" si="110"/>
        <v>28.426666666666666</v>
      </c>
      <c r="M650" s="13"/>
      <c r="N650">
        <f>_xlfn.XLOOKUP(G650,'Tarievensheet per persoon'!AE:AE,'Tarievensheet per persoon'!AF:AF)</f>
        <v>1.7024999999999999</v>
      </c>
      <c r="O650">
        <f>_xlfn.XLOOKUP(G650,AE:AE,'Tarievensheet per persoon'!AG:AG)</f>
        <v>1.5642</v>
      </c>
      <c r="P650">
        <f>_xlfn.XLOOKUP(G650,AE:AE,'Tarievensheet per persoon'!AH:AH)</f>
        <v>1.3552</v>
      </c>
      <c r="Q650">
        <f>_xlfn.XLOOKUP(G650,AE:AE,'Tarievensheet per persoon'!AI:AI)</f>
        <v>1.3552</v>
      </c>
      <c r="R650">
        <v>0</v>
      </c>
      <c r="S650" s="14">
        <v>2.99</v>
      </c>
      <c r="T650" s="10">
        <f t="shared" si="111"/>
        <v>30.042724999999997</v>
      </c>
      <c r="U650" s="10">
        <f t="shared" si="112"/>
        <v>38.244920539999995</v>
      </c>
      <c r="V650" s="10">
        <f t="shared" si="113"/>
        <v>38.7420233</v>
      </c>
      <c r="W650" s="10">
        <f t="shared" si="114"/>
        <v>49.926835400000002</v>
      </c>
      <c r="X650" s="10">
        <f t="shared" si="115"/>
        <v>54.897863000000001</v>
      </c>
      <c r="Y650" s="10">
        <f t="shared" si="116"/>
        <v>79.753000999999998</v>
      </c>
      <c r="Z650" s="10">
        <f t="shared" si="117"/>
        <v>28.421254399999995</v>
      </c>
      <c r="AA650" s="10">
        <f t="shared" si="118"/>
        <v>36.541612800000003</v>
      </c>
      <c r="AB650" s="10">
        <f t="shared" si="119"/>
        <v>40.601792000000003</v>
      </c>
      <c r="AC650" s="10">
        <f t="shared" si="120"/>
        <v>60.902687999999998</v>
      </c>
    </row>
    <row r="651" spans="1:29" x14ac:dyDescent="0.25">
      <c r="A651">
        <v>448519</v>
      </c>
      <c r="B651" t="s">
        <v>124</v>
      </c>
      <c r="C651" s="10">
        <v>15.89</v>
      </c>
      <c r="D651" s="10">
        <v>14.98</v>
      </c>
      <c r="E651" s="10">
        <v>0</v>
      </c>
      <c r="F651">
        <v>12</v>
      </c>
      <c r="G651" t="s">
        <v>15</v>
      </c>
      <c r="H651" s="11">
        <v>45987</v>
      </c>
      <c r="I651" t="s">
        <v>13</v>
      </c>
      <c r="J651" s="12">
        <v>8.25</v>
      </c>
      <c r="K651" s="3">
        <v>247.83</v>
      </c>
      <c r="L651" s="3">
        <f t="shared" si="110"/>
        <v>30.040000000000003</v>
      </c>
      <c r="M651" s="13"/>
      <c r="N651">
        <f>_xlfn.XLOOKUP(G651,'Tarievensheet per persoon'!AE:AE,'Tarievensheet per persoon'!AF:AF)</f>
        <v>1.7024999999999999</v>
      </c>
      <c r="O651">
        <f>_xlfn.XLOOKUP(G651,AE:AE,'Tarievensheet per persoon'!AG:AG)</f>
        <v>1.5642</v>
      </c>
      <c r="P651">
        <f>_xlfn.XLOOKUP(G651,AE:AE,'Tarievensheet per persoon'!AH:AH)</f>
        <v>1.3552</v>
      </c>
      <c r="Q651">
        <f>_xlfn.XLOOKUP(G651,AE:AE,'Tarievensheet per persoon'!AI:AI)</f>
        <v>1.3552</v>
      </c>
      <c r="R651">
        <v>0</v>
      </c>
      <c r="S651" s="14">
        <v>2.99</v>
      </c>
      <c r="T651" s="10">
        <f t="shared" si="111"/>
        <v>30.042724999999997</v>
      </c>
      <c r="U651" s="10">
        <f t="shared" si="112"/>
        <v>38.244920539999995</v>
      </c>
      <c r="V651" s="10">
        <f t="shared" si="113"/>
        <v>38.7420233</v>
      </c>
      <c r="W651" s="10">
        <f t="shared" si="114"/>
        <v>49.926835400000002</v>
      </c>
      <c r="X651" s="10">
        <f t="shared" si="115"/>
        <v>54.897863000000001</v>
      </c>
      <c r="Y651" s="10">
        <f t="shared" si="116"/>
        <v>79.753000999999998</v>
      </c>
      <c r="Z651" s="10">
        <f t="shared" si="117"/>
        <v>28.421254399999995</v>
      </c>
      <c r="AA651" s="10">
        <f t="shared" si="118"/>
        <v>36.541612800000003</v>
      </c>
      <c r="AB651" s="10">
        <f t="shared" si="119"/>
        <v>40.601792000000003</v>
      </c>
      <c r="AC651" s="10">
        <f t="shared" si="120"/>
        <v>60.902687999999998</v>
      </c>
    </row>
    <row r="652" spans="1:29" x14ac:dyDescent="0.25">
      <c r="A652">
        <v>448519</v>
      </c>
      <c r="B652" t="s">
        <v>124</v>
      </c>
      <c r="C652" s="10">
        <v>15.89</v>
      </c>
      <c r="D652" s="10">
        <v>14.98</v>
      </c>
      <c r="E652" s="10">
        <v>0</v>
      </c>
      <c r="F652">
        <v>12</v>
      </c>
      <c r="G652" t="s">
        <v>15</v>
      </c>
      <c r="H652" s="11">
        <v>45988</v>
      </c>
      <c r="I652" t="s">
        <v>13</v>
      </c>
      <c r="J652" s="12">
        <v>8</v>
      </c>
      <c r="K652" s="3">
        <v>240.32</v>
      </c>
      <c r="L652" s="3">
        <f t="shared" si="110"/>
        <v>30.04</v>
      </c>
      <c r="M652" s="13"/>
      <c r="N652">
        <f>_xlfn.XLOOKUP(G652,'Tarievensheet per persoon'!AE:AE,'Tarievensheet per persoon'!AF:AF)</f>
        <v>1.7024999999999999</v>
      </c>
      <c r="O652">
        <f>_xlfn.XLOOKUP(G652,AE:AE,'Tarievensheet per persoon'!AG:AG)</f>
        <v>1.5642</v>
      </c>
      <c r="P652">
        <f>_xlfn.XLOOKUP(G652,AE:AE,'Tarievensheet per persoon'!AH:AH)</f>
        <v>1.3552</v>
      </c>
      <c r="Q652">
        <f>_xlfn.XLOOKUP(G652,AE:AE,'Tarievensheet per persoon'!AI:AI)</f>
        <v>1.3552</v>
      </c>
      <c r="R652">
        <v>0</v>
      </c>
      <c r="S652" s="14">
        <v>2.99</v>
      </c>
      <c r="T652" s="10">
        <f t="shared" si="111"/>
        <v>30.042724999999997</v>
      </c>
      <c r="U652" s="10">
        <f t="shared" si="112"/>
        <v>38.244920539999995</v>
      </c>
      <c r="V652" s="10">
        <f t="shared" si="113"/>
        <v>38.7420233</v>
      </c>
      <c r="W652" s="10">
        <f t="shared" si="114"/>
        <v>49.926835400000002</v>
      </c>
      <c r="X652" s="10">
        <f t="shared" si="115"/>
        <v>54.897863000000001</v>
      </c>
      <c r="Y652" s="10">
        <f t="shared" si="116"/>
        <v>79.753000999999998</v>
      </c>
      <c r="Z652" s="10">
        <f t="shared" si="117"/>
        <v>28.421254399999995</v>
      </c>
      <c r="AA652" s="10">
        <f t="shared" si="118"/>
        <v>36.541612800000003</v>
      </c>
      <c r="AB652" s="10">
        <f t="shared" si="119"/>
        <v>40.601792000000003</v>
      </c>
      <c r="AC652" s="10">
        <f t="shared" si="120"/>
        <v>60.902687999999998</v>
      </c>
    </row>
    <row r="653" spans="1:29" x14ac:dyDescent="0.25">
      <c r="A653">
        <v>448519</v>
      </c>
      <c r="B653" t="s">
        <v>124</v>
      </c>
      <c r="C653" s="10">
        <v>15.89</v>
      </c>
      <c r="D653" s="10">
        <v>14.98</v>
      </c>
      <c r="E653" s="10">
        <v>0</v>
      </c>
      <c r="F653">
        <v>12</v>
      </c>
      <c r="G653" t="s">
        <v>15</v>
      </c>
      <c r="H653" s="11">
        <v>45989</v>
      </c>
      <c r="I653" t="s">
        <v>13</v>
      </c>
      <c r="J653" s="12">
        <v>8.5</v>
      </c>
      <c r="K653" s="3">
        <v>255.34</v>
      </c>
      <c r="L653" s="3">
        <f t="shared" si="110"/>
        <v>30.04</v>
      </c>
      <c r="M653" s="13"/>
      <c r="N653">
        <f>_xlfn.XLOOKUP(G653,'Tarievensheet per persoon'!AE:AE,'Tarievensheet per persoon'!AF:AF)</f>
        <v>1.7024999999999999</v>
      </c>
      <c r="O653">
        <f>_xlfn.XLOOKUP(G653,AE:AE,'Tarievensheet per persoon'!AG:AG)</f>
        <v>1.5642</v>
      </c>
      <c r="P653">
        <f>_xlfn.XLOOKUP(G653,AE:AE,'Tarievensheet per persoon'!AH:AH)</f>
        <v>1.3552</v>
      </c>
      <c r="Q653">
        <f>_xlfn.XLOOKUP(G653,AE:AE,'Tarievensheet per persoon'!AI:AI)</f>
        <v>1.3552</v>
      </c>
      <c r="R653">
        <v>0</v>
      </c>
      <c r="S653" s="14">
        <v>2.99</v>
      </c>
      <c r="T653" s="10">
        <f t="shared" si="111"/>
        <v>30.042724999999997</v>
      </c>
      <c r="U653" s="10">
        <f t="shared" si="112"/>
        <v>38.244920539999995</v>
      </c>
      <c r="V653" s="10">
        <f t="shared" si="113"/>
        <v>38.7420233</v>
      </c>
      <c r="W653" s="10">
        <f t="shared" si="114"/>
        <v>49.926835400000002</v>
      </c>
      <c r="X653" s="10">
        <f t="shared" si="115"/>
        <v>54.897863000000001</v>
      </c>
      <c r="Y653" s="10">
        <f t="shared" si="116"/>
        <v>79.753000999999998</v>
      </c>
      <c r="Z653" s="10">
        <f t="shared" si="117"/>
        <v>28.421254399999995</v>
      </c>
      <c r="AA653" s="10">
        <f t="shared" si="118"/>
        <v>36.541612800000003</v>
      </c>
      <c r="AB653" s="10">
        <f t="shared" si="119"/>
        <v>40.601792000000003</v>
      </c>
      <c r="AC653" s="10">
        <f t="shared" si="120"/>
        <v>60.902687999999998</v>
      </c>
    </row>
    <row r="654" spans="1:29" x14ac:dyDescent="0.25">
      <c r="A654">
        <v>448817</v>
      </c>
      <c r="B654" t="s">
        <v>125</v>
      </c>
      <c r="C654" s="10">
        <v>15.89</v>
      </c>
      <c r="D654" s="10">
        <v>14.98</v>
      </c>
      <c r="E654" s="10">
        <v>0</v>
      </c>
      <c r="F654">
        <v>11</v>
      </c>
      <c r="G654" t="s">
        <v>15</v>
      </c>
      <c r="H654" s="11">
        <v>45985</v>
      </c>
      <c r="I654" t="s">
        <v>13</v>
      </c>
      <c r="J654" s="12">
        <v>1.75</v>
      </c>
      <c r="K654" s="3">
        <v>52.57</v>
      </c>
      <c r="L654" s="3">
        <f t="shared" si="110"/>
        <v>30.04</v>
      </c>
      <c r="M654" s="13"/>
      <c r="N654">
        <f>_xlfn.XLOOKUP(G654,'Tarievensheet per persoon'!AE:AE,'Tarievensheet per persoon'!AF:AF)</f>
        <v>1.7024999999999999</v>
      </c>
      <c r="O654">
        <f>_xlfn.XLOOKUP(G654,AE:AE,'Tarievensheet per persoon'!AG:AG)</f>
        <v>1.5642</v>
      </c>
      <c r="P654">
        <f>_xlfn.XLOOKUP(G654,AE:AE,'Tarievensheet per persoon'!AH:AH)</f>
        <v>1.3552</v>
      </c>
      <c r="Q654">
        <f>_xlfn.XLOOKUP(G654,AE:AE,'Tarievensheet per persoon'!AI:AI)</f>
        <v>1.3552</v>
      </c>
      <c r="R654">
        <v>0</v>
      </c>
      <c r="S654" s="14">
        <v>2.99</v>
      </c>
      <c r="T654" s="10">
        <f t="shared" si="111"/>
        <v>30.042724999999997</v>
      </c>
      <c r="U654" s="10">
        <f t="shared" si="112"/>
        <v>38.244920539999995</v>
      </c>
      <c r="V654" s="10">
        <f t="shared" si="113"/>
        <v>38.7420233</v>
      </c>
      <c r="W654" s="10">
        <f t="shared" si="114"/>
        <v>49.926835400000002</v>
      </c>
      <c r="X654" s="10">
        <f t="shared" si="115"/>
        <v>54.897863000000001</v>
      </c>
      <c r="Y654" s="10">
        <f t="shared" si="116"/>
        <v>79.753000999999998</v>
      </c>
      <c r="Z654" s="10">
        <f t="shared" si="117"/>
        <v>28.421254399999995</v>
      </c>
      <c r="AA654" s="10">
        <f t="shared" si="118"/>
        <v>36.541612800000003</v>
      </c>
      <c r="AB654" s="10">
        <f t="shared" si="119"/>
        <v>40.601792000000003</v>
      </c>
      <c r="AC654" s="10">
        <f t="shared" si="120"/>
        <v>60.902687999999998</v>
      </c>
    </row>
    <row r="655" spans="1:29" x14ac:dyDescent="0.25">
      <c r="A655">
        <v>448817</v>
      </c>
      <c r="B655" t="s">
        <v>125</v>
      </c>
      <c r="C655" s="10">
        <v>15.89</v>
      </c>
      <c r="D655" s="10">
        <v>14.98</v>
      </c>
      <c r="E655" s="10">
        <v>0</v>
      </c>
      <c r="F655">
        <v>11</v>
      </c>
      <c r="G655" t="s">
        <v>15</v>
      </c>
      <c r="H655" s="11">
        <v>45985</v>
      </c>
      <c r="I655" t="s">
        <v>21</v>
      </c>
      <c r="J655" s="12">
        <v>5.25</v>
      </c>
      <c r="K655" s="3">
        <v>200.76</v>
      </c>
      <c r="L655" s="3">
        <f t="shared" si="110"/>
        <v>38.239999999999995</v>
      </c>
      <c r="M655" s="13"/>
      <c r="N655">
        <f>_xlfn.XLOOKUP(G655,'Tarievensheet per persoon'!AE:AE,'Tarievensheet per persoon'!AF:AF)</f>
        <v>1.7024999999999999</v>
      </c>
      <c r="O655">
        <f>_xlfn.XLOOKUP(G655,AE:AE,'Tarievensheet per persoon'!AG:AG)</f>
        <v>1.5642</v>
      </c>
      <c r="P655">
        <f>_xlfn.XLOOKUP(G655,AE:AE,'Tarievensheet per persoon'!AH:AH)</f>
        <v>1.3552</v>
      </c>
      <c r="Q655">
        <f>_xlfn.XLOOKUP(G655,AE:AE,'Tarievensheet per persoon'!AI:AI)</f>
        <v>1.3552</v>
      </c>
      <c r="R655">
        <v>0</v>
      </c>
      <c r="S655" s="14">
        <v>2.99</v>
      </c>
      <c r="T655" s="10">
        <f t="shared" si="111"/>
        <v>30.042724999999997</v>
      </c>
      <c r="U655" s="10">
        <f t="shared" si="112"/>
        <v>38.244920539999995</v>
      </c>
      <c r="V655" s="10">
        <f t="shared" si="113"/>
        <v>38.7420233</v>
      </c>
      <c r="W655" s="10">
        <f t="shared" si="114"/>
        <v>49.926835400000002</v>
      </c>
      <c r="X655" s="10">
        <f t="shared" si="115"/>
        <v>54.897863000000001</v>
      </c>
      <c r="Y655" s="10">
        <f t="shared" si="116"/>
        <v>79.753000999999998</v>
      </c>
      <c r="Z655" s="10">
        <f t="shared" si="117"/>
        <v>28.421254399999995</v>
      </c>
      <c r="AA655" s="10">
        <f t="shared" si="118"/>
        <v>36.541612800000003</v>
      </c>
      <c r="AB655" s="10">
        <f t="shared" si="119"/>
        <v>40.601792000000003</v>
      </c>
      <c r="AC655" s="10">
        <f t="shared" si="120"/>
        <v>60.902687999999998</v>
      </c>
    </row>
    <row r="656" spans="1:29" x14ac:dyDescent="0.25">
      <c r="A656">
        <v>448817</v>
      </c>
      <c r="B656" t="s">
        <v>125</v>
      </c>
      <c r="C656" s="10">
        <v>15.89</v>
      </c>
      <c r="D656" s="10">
        <v>14.98</v>
      </c>
      <c r="E656" s="10">
        <v>0</v>
      </c>
      <c r="F656">
        <v>11</v>
      </c>
      <c r="G656" t="s">
        <v>15</v>
      </c>
      <c r="H656" s="11">
        <v>45985</v>
      </c>
      <c r="I656" t="s">
        <v>22</v>
      </c>
      <c r="J656" s="12">
        <v>1</v>
      </c>
      <c r="K656" s="3">
        <v>38.74</v>
      </c>
      <c r="L656" s="3">
        <f t="shared" si="110"/>
        <v>38.74</v>
      </c>
      <c r="M656" s="13"/>
      <c r="N656">
        <f>_xlfn.XLOOKUP(G656,'Tarievensheet per persoon'!AE:AE,'Tarievensheet per persoon'!AF:AF)</f>
        <v>1.7024999999999999</v>
      </c>
      <c r="O656">
        <f>_xlfn.XLOOKUP(G656,AE:AE,'Tarievensheet per persoon'!AG:AG)</f>
        <v>1.5642</v>
      </c>
      <c r="P656">
        <f>_xlfn.XLOOKUP(G656,AE:AE,'Tarievensheet per persoon'!AH:AH)</f>
        <v>1.3552</v>
      </c>
      <c r="Q656">
        <f>_xlfn.XLOOKUP(G656,AE:AE,'Tarievensheet per persoon'!AI:AI)</f>
        <v>1.3552</v>
      </c>
      <c r="R656">
        <v>0</v>
      </c>
      <c r="S656" s="14">
        <v>2.99</v>
      </c>
      <c r="T656" s="10">
        <f t="shared" si="111"/>
        <v>30.042724999999997</v>
      </c>
      <c r="U656" s="10">
        <f t="shared" si="112"/>
        <v>38.244920539999995</v>
      </c>
      <c r="V656" s="10">
        <f t="shared" si="113"/>
        <v>38.7420233</v>
      </c>
      <c r="W656" s="10">
        <f t="shared" si="114"/>
        <v>49.926835400000002</v>
      </c>
      <c r="X656" s="10">
        <f t="shared" si="115"/>
        <v>54.897863000000001</v>
      </c>
      <c r="Y656" s="10">
        <f t="shared" si="116"/>
        <v>79.753000999999998</v>
      </c>
      <c r="Z656" s="10">
        <f t="shared" si="117"/>
        <v>28.421254399999995</v>
      </c>
      <c r="AA656" s="10">
        <f t="shared" si="118"/>
        <v>36.541612800000003</v>
      </c>
      <c r="AB656" s="10">
        <f t="shared" si="119"/>
        <v>40.601792000000003</v>
      </c>
      <c r="AC656" s="10">
        <f t="shared" si="120"/>
        <v>60.902687999999998</v>
      </c>
    </row>
    <row r="657" spans="1:29" x14ac:dyDescent="0.25">
      <c r="A657">
        <v>448817</v>
      </c>
      <c r="B657" t="s">
        <v>125</v>
      </c>
      <c r="C657" s="10">
        <v>15.89</v>
      </c>
      <c r="D657" s="10">
        <v>14.98</v>
      </c>
      <c r="E657" s="10">
        <v>0</v>
      </c>
      <c r="F657">
        <v>11</v>
      </c>
      <c r="G657" t="s">
        <v>15</v>
      </c>
      <c r="H657" s="11">
        <v>45986</v>
      </c>
      <c r="I657" t="s">
        <v>13</v>
      </c>
      <c r="J657" s="12">
        <v>1.75</v>
      </c>
      <c r="K657" s="3">
        <v>52.57</v>
      </c>
      <c r="L657" s="3">
        <f t="shared" si="110"/>
        <v>30.04</v>
      </c>
      <c r="M657" s="13"/>
      <c r="N657">
        <f>_xlfn.XLOOKUP(G657,'Tarievensheet per persoon'!AE:AE,'Tarievensheet per persoon'!AF:AF)</f>
        <v>1.7024999999999999</v>
      </c>
      <c r="O657">
        <f>_xlfn.XLOOKUP(G657,AE:AE,'Tarievensheet per persoon'!AG:AG)</f>
        <v>1.5642</v>
      </c>
      <c r="P657">
        <f>_xlfn.XLOOKUP(G657,AE:AE,'Tarievensheet per persoon'!AH:AH)</f>
        <v>1.3552</v>
      </c>
      <c r="Q657">
        <f>_xlfn.XLOOKUP(G657,AE:AE,'Tarievensheet per persoon'!AI:AI)</f>
        <v>1.3552</v>
      </c>
      <c r="R657">
        <v>0</v>
      </c>
      <c r="S657" s="14">
        <v>2.99</v>
      </c>
      <c r="T657" s="10">
        <f t="shared" si="111"/>
        <v>30.042724999999997</v>
      </c>
      <c r="U657" s="10">
        <f t="shared" si="112"/>
        <v>38.244920539999995</v>
      </c>
      <c r="V657" s="10">
        <f t="shared" si="113"/>
        <v>38.7420233</v>
      </c>
      <c r="W657" s="10">
        <f t="shared" si="114"/>
        <v>49.926835400000002</v>
      </c>
      <c r="X657" s="10">
        <f t="shared" si="115"/>
        <v>54.897863000000001</v>
      </c>
      <c r="Y657" s="10">
        <f t="shared" si="116"/>
        <v>79.753000999999998</v>
      </c>
      <c r="Z657" s="10">
        <f t="shared" si="117"/>
        <v>28.421254399999995</v>
      </c>
      <c r="AA657" s="10">
        <f t="shared" si="118"/>
        <v>36.541612800000003</v>
      </c>
      <c r="AB657" s="10">
        <f t="shared" si="119"/>
        <v>40.601792000000003</v>
      </c>
      <c r="AC657" s="10">
        <f t="shared" si="120"/>
        <v>60.902687999999998</v>
      </c>
    </row>
    <row r="658" spans="1:29" x14ac:dyDescent="0.25">
      <c r="A658">
        <v>448817</v>
      </c>
      <c r="B658" t="s">
        <v>125</v>
      </c>
      <c r="C658" s="10">
        <v>15.89</v>
      </c>
      <c r="D658" s="10">
        <v>14.98</v>
      </c>
      <c r="E658" s="10">
        <v>0</v>
      </c>
      <c r="F658">
        <v>11</v>
      </c>
      <c r="G658" t="s">
        <v>15</v>
      </c>
      <c r="H658" s="11">
        <v>45986</v>
      </c>
      <c r="I658" t="s">
        <v>21</v>
      </c>
      <c r="J658" s="12">
        <v>5.25</v>
      </c>
      <c r="K658" s="3">
        <v>200.76</v>
      </c>
      <c r="L658" s="3">
        <f t="shared" si="110"/>
        <v>38.239999999999995</v>
      </c>
      <c r="M658" s="13"/>
      <c r="N658">
        <f>_xlfn.XLOOKUP(G658,'Tarievensheet per persoon'!AE:AE,'Tarievensheet per persoon'!AF:AF)</f>
        <v>1.7024999999999999</v>
      </c>
      <c r="O658">
        <f>_xlfn.XLOOKUP(G658,AE:AE,'Tarievensheet per persoon'!AG:AG)</f>
        <v>1.5642</v>
      </c>
      <c r="P658">
        <f>_xlfn.XLOOKUP(G658,AE:AE,'Tarievensheet per persoon'!AH:AH)</f>
        <v>1.3552</v>
      </c>
      <c r="Q658">
        <f>_xlfn.XLOOKUP(G658,AE:AE,'Tarievensheet per persoon'!AI:AI)</f>
        <v>1.3552</v>
      </c>
      <c r="R658">
        <v>0</v>
      </c>
      <c r="S658" s="14">
        <v>2.99</v>
      </c>
      <c r="T658" s="10">
        <f t="shared" si="111"/>
        <v>30.042724999999997</v>
      </c>
      <c r="U658" s="10">
        <f t="shared" si="112"/>
        <v>38.244920539999995</v>
      </c>
      <c r="V658" s="10">
        <f t="shared" si="113"/>
        <v>38.7420233</v>
      </c>
      <c r="W658" s="10">
        <f t="shared" si="114"/>
        <v>49.926835400000002</v>
      </c>
      <c r="X658" s="10">
        <f t="shared" si="115"/>
        <v>54.897863000000001</v>
      </c>
      <c r="Y658" s="10">
        <f t="shared" si="116"/>
        <v>79.753000999999998</v>
      </c>
      <c r="Z658" s="10">
        <f t="shared" si="117"/>
        <v>28.421254399999995</v>
      </c>
      <c r="AA658" s="10">
        <f t="shared" si="118"/>
        <v>36.541612800000003</v>
      </c>
      <c r="AB658" s="10">
        <f t="shared" si="119"/>
        <v>40.601792000000003</v>
      </c>
      <c r="AC658" s="10">
        <f t="shared" si="120"/>
        <v>60.902687999999998</v>
      </c>
    </row>
    <row r="659" spans="1:29" x14ac:dyDescent="0.25">
      <c r="A659">
        <v>448817</v>
      </c>
      <c r="B659" t="s">
        <v>125</v>
      </c>
      <c r="C659" s="10">
        <v>15.89</v>
      </c>
      <c r="D659" s="10">
        <v>14.98</v>
      </c>
      <c r="E659" s="10">
        <v>0</v>
      </c>
      <c r="F659">
        <v>11</v>
      </c>
      <c r="G659" t="s">
        <v>15</v>
      </c>
      <c r="H659" s="11">
        <v>45986</v>
      </c>
      <c r="I659" t="s">
        <v>22</v>
      </c>
      <c r="J659" s="12">
        <v>1</v>
      </c>
      <c r="K659" s="3">
        <v>38.74</v>
      </c>
      <c r="L659" s="3">
        <f t="shared" si="110"/>
        <v>38.74</v>
      </c>
      <c r="M659" s="13"/>
      <c r="N659">
        <f>_xlfn.XLOOKUP(G659,'Tarievensheet per persoon'!AE:AE,'Tarievensheet per persoon'!AF:AF)</f>
        <v>1.7024999999999999</v>
      </c>
      <c r="O659">
        <f>_xlfn.XLOOKUP(G659,AE:AE,'Tarievensheet per persoon'!AG:AG)</f>
        <v>1.5642</v>
      </c>
      <c r="P659">
        <f>_xlfn.XLOOKUP(G659,AE:AE,'Tarievensheet per persoon'!AH:AH)</f>
        <v>1.3552</v>
      </c>
      <c r="Q659">
        <f>_xlfn.XLOOKUP(G659,AE:AE,'Tarievensheet per persoon'!AI:AI)</f>
        <v>1.3552</v>
      </c>
      <c r="R659">
        <v>0</v>
      </c>
      <c r="S659" s="14">
        <v>2.99</v>
      </c>
      <c r="T659" s="10">
        <f t="shared" si="111"/>
        <v>30.042724999999997</v>
      </c>
      <c r="U659" s="10">
        <f t="shared" si="112"/>
        <v>38.244920539999995</v>
      </c>
      <c r="V659" s="10">
        <f t="shared" si="113"/>
        <v>38.7420233</v>
      </c>
      <c r="W659" s="10">
        <f t="shared" si="114"/>
        <v>49.926835400000002</v>
      </c>
      <c r="X659" s="10">
        <f t="shared" si="115"/>
        <v>54.897863000000001</v>
      </c>
      <c r="Y659" s="10">
        <f t="shared" si="116"/>
        <v>79.753000999999998</v>
      </c>
      <c r="Z659" s="10">
        <f t="shared" si="117"/>
        <v>28.421254399999995</v>
      </c>
      <c r="AA659" s="10">
        <f t="shared" si="118"/>
        <v>36.541612800000003</v>
      </c>
      <c r="AB659" s="10">
        <f t="shared" si="119"/>
        <v>40.601792000000003</v>
      </c>
      <c r="AC659" s="10">
        <f t="shared" si="120"/>
        <v>60.902687999999998</v>
      </c>
    </row>
    <row r="660" spans="1:29" x14ac:dyDescent="0.25">
      <c r="A660">
        <v>448817</v>
      </c>
      <c r="B660" t="s">
        <v>125</v>
      </c>
      <c r="C660" s="10">
        <v>15.89</v>
      </c>
      <c r="D660" s="10">
        <v>14.98</v>
      </c>
      <c r="E660" s="10">
        <v>0</v>
      </c>
      <c r="F660">
        <v>11</v>
      </c>
      <c r="G660" t="s">
        <v>15</v>
      </c>
      <c r="H660" s="11">
        <v>45987</v>
      </c>
      <c r="I660" t="s">
        <v>13</v>
      </c>
      <c r="J660" s="12">
        <v>1.75</v>
      </c>
      <c r="K660" s="3">
        <v>52.57</v>
      </c>
      <c r="L660" s="3">
        <f t="shared" si="110"/>
        <v>30.04</v>
      </c>
      <c r="M660" s="13"/>
      <c r="N660">
        <f>_xlfn.XLOOKUP(G660,'Tarievensheet per persoon'!AE:AE,'Tarievensheet per persoon'!AF:AF)</f>
        <v>1.7024999999999999</v>
      </c>
      <c r="O660">
        <f>_xlfn.XLOOKUP(G660,AE:AE,'Tarievensheet per persoon'!AG:AG)</f>
        <v>1.5642</v>
      </c>
      <c r="P660">
        <f>_xlfn.XLOOKUP(G660,AE:AE,'Tarievensheet per persoon'!AH:AH)</f>
        <v>1.3552</v>
      </c>
      <c r="Q660">
        <f>_xlfn.XLOOKUP(G660,AE:AE,'Tarievensheet per persoon'!AI:AI)</f>
        <v>1.3552</v>
      </c>
      <c r="R660">
        <v>0</v>
      </c>
      <c r="S660" s="14">
        <v>2.99</v>
      </c>
      <c r="T660" s="10">
        <f t="shared" si="111"/>
        <v>30.042724999999997</v>
      </c>
      <c r="U660" s="10">
        <f t="shared" si="112"/>
        <v>38.244920539999995</v>
      </c>
      <c r="V660" s="10">
        <f t="shared" si="113"/>
        <v>38.7420233</v>
      </c>
      <c r="W660" s="10">
        <f t="shared" si="114"/>
        <v>49.926835400000002</v>
      </c>
      <c r="X660" s="10">
        <f t="shared" si="115"/>
        <v>54.897863000000001</v>
      </c>
      <c r="Y660" s="10">
        <f t="shared" si="116"/>
        <v>79.753000999999998</v>
      </c>
      <c r="Z660" s="10">
        <f t="shared" si="117"/>
        <v>28.421254399999995</v>
      </c>
      <c r="AA660" s="10">
        <f t="shared" si="118"/>
        <v>36.541612800000003</v>
      </c>
      <c r="AB660" s="10">
        <f t="shared" si="119"/>
        <v>40.601792000000003</v>
      </c>
      <c r="AC660" s="10">
        <f t="shared" si="120"/>
        <v>60.902687999999998</v>
      </c>
    </row>
    <row r="661" spans="1:29" x14ac:dyDescent="0.25">
      <c r="A661">
        <v>448817</v>
      </c>
      <c r="B661" t="s">
        <v>125</v>
      </c>
      <c r="C661" s="10">
        <v>15.89</v>
      </c>
      <c r="D661" s="10">
        <v>14.98</v>
      </c>
      <c r="E661" s="10">
        <v>0</v>
      </c>
      <c r="F661">
        <v>11</v>
      </c>
      <c r="G661" t="s">
        <v>15</v>
      </c>
      <c r="H661" s="11">
        <v>45987</v>
      </c>
      <c r="I661" t="s">
        <v>21</v>
      </c>
      <c r="J661" s="12">
        <v>5.25</v>
      </c>
      <c r="K661" s="3">
        <v>200.76</v>
      </c>
      <c r="L661" s="3">
        <f t="shared" si="110"/>
        <v>38.239999999999995</v>
      </c>
      <c r="M661" s="13"/>
      <c r="N661">
        <f>_xlfn.XLOOKUP(G661,'Tarievensheet per persoon'!AE:AE,'Tarievensheet per persoon'!AF:AF)</f>
        <v>1.7024999999999999</v>
      </c>
      <c r="O661">
        <f>_xlfn.XLOOKUP(G661,AE:AE,'Tarievensheet per persoon'!AG:AG)</f>
        <v>1.5642</v>
      </c>
      <c r="P661">
        <f>_xlfn.XLOOKUP(G661,AE:AE,'Tarievensheet per persoon'!AH:AH)</f>
        <v>1.3552</v>
      </c>
      <c r="Q661">
        <f>_xlfn.XLOOKUP(G661,AE:AE,'Tarievensheet per persoon'!AI:AI)</f>
        <v>1.3552</v>
      </c>
      <c r="R661">
        <v>0</v>
      </c>
      <c r="S661" s="14">
        <v>2.99</v>
      </c>
      <c r="T661" s="10">
        <f t="shared" si="111"/>
        <v>30.042724999999997</v>
      </c>
      <c r="U661" s="10">
        <f t="shared" si="112"/>
        <v>38.244920539999995</v>
      </c>
      <c r="V661" s="10">
        <f t="shared" si="113"/>
        <v>38.7420233</v>
      </c>
      <c r="W661" s="10">
        <f t="shared" si="114"/>
        <v>49.926835400000002</v>
      </c>
      <c r="X661" s="10">
        <f t="shared" si="115"/>
        <v>54.897863000000001</v>
      </c>
      <c r="Y661" s="10">
        <f t="shared" si="116"/>
        <v>79.753000999999998</v>
      </c>
      <c r="Z661" s="10">
        <f t="shared" si="117"/>
        <v>28.421254399999995</v>
      </c>
      <c r="AA661" s="10">
        <f t="shared" si="118"/>
        <v>36.541612800000003</v>
      </c>
      <c r="AB661" s="10">
        <f t="shared" si="119"/>
        <v>40.601792000000003</v>
      </c>
      <c r="AC661" s="10">
        <f t="shared" si="120"/>
        <v>60.902687999999998</v>
      </c>
    </row>
    <row r="662" spans="1:29" x14ac:dyDescent="0.25">
      <c r="A662">
        <v>448817</v>
      </c>
      <c r="B662" t="s">
        <v>125</v>
      </c>
      <c r="C662" s="10">
        <v>15.89</v>
      </c>
      <c r="D662" s="10">
        <v>14.98</v>
      </c>
      <c r="E662" s="10">
        <v>0</v>
      </c>
      <c r="F662">
        <v>11</v>
      </c>
      <c r="G662" t="s">
        <v>15</v>
      </c>
      <c r="H662" s="11">
        <v>45987</v>
      </c>
      <c r="I662" t="s">
        <v>22</v>
      </c>
      <c r="J662" s="12">
        <v>1</v>
      </c>
      <c r="K662" s="3">
        <v>38.74</v>
      </c>
      <c r="L662" s="3">
        <f t="shared" si="110"/>
        <v>38.74</v>
      </c>
      <c r="M662" s="13"/>
      <c r="N662">
        <f>_xlfn.XLOOKUP(G662,'Tarievensheet per persoon'!AE:AE,'Tarievensheet per persoon'!AF:AF)</f>
        <v>1.7024999999999999</v>
      </c>
      <c r="O662">
        <f>_xlfn.XLOOKUP(G662,AE:AE,'Tarievensheet per persoon'!AG:AG)</f>
        <v>1.5642</v>
      </c>
      <c r="P662">
        <f>_xlfn.XLOOKUP(G662,AE:AE,'Tarievensheet per persoon'!AH:AH)</f>
        <v>1.3552</v>
      </c>
      <c r="Q662">
        <f>_xlfn.XLOOKUP(G662,AE:AE,'Tarievensheet per persoon'!AI:AI)</f>
        <v>1.3552</v>
      </c>
      <c r="R662">
        <v>0</v>
      </c>
      <c r="S662" s="14">
        <v>2.99</v>
      </c>
      <c r="T662" s="10">
        <f t="shared" si="111"/>
        <v>30.042724999999997</v>
      </c>
      <c r="U662" s="10">
        <f t="shared" si="112"/>
        <v>38.244920539999995</v>
      </c>
      <c r="V662" s="10">
        <f t="shared" si="113"/>
        <v>38.7420233</v>
      </c>
      <c r="W662" s="10">
        <f t="shared" si="114"/>
        <v>49.926835400000002</v>
      </c>
      <c r="X662" s="10">
        <f t="shared" si="115"/>
        <v>54.897863000000001</v>
      </c>
      <c r="Y662" s="10">
        <f t="shared" si="116"/>
        <v>79.753000999999998</v>
      </c>
      <c r="Z662" s="10">
        <f t="shared" si="117"/>
        <v>28.421254399999995</v>
      </c>
      <c r="AA662" s="10">
        <f t="shared" si="118"/>
        <v>36.541612800000003</v>
      </c>
      <c r="AB662" s="10">
        <f t="shared" si="119"/>
        <v>40.601792000000003</v>
      </c>
      <c r="AC662" s="10">
        <f t="shared" si="120"/>
        <v>60.902687999999998</v>
      </c>
    </row>
    <row r="663" spans="1:29" x14ac:dyDescent="0.25">
      <c r="A663">
        <v>448817</v>
      </c>
      <c r="B663" t="s">
        <v>125</v>
      </c>
      <c r="C663" s="10">
        <v>15.89</v>
      </c>
      <c r="D663" s="10">
        <v>14.98</v>
      </c>
      <c r="E663" s="10">
        <v>0</v>
      </c>
      <c r="F663">
        <v>11</v>
      </c>
      <c r="G663" t="s">
        <v>15</v>
      </c>
      <c r="H663" s="11">
        <v>45988</v>
      </c>
      <c r="I663" t="s">
        <v>13</v>
      </c>
      <c r="J663" s="12">
        <v>1.75</v>
      </c>
      <c r="K663" s="3">
        <v>52.57</v>
      </c>
      <c r="L663" s="3">
        <f t="shared" si="110"/>
        <v>30.04</v>
      </c>
      <c r="M663" s="13"/>
      <c r="N663">
        <f>_xlfn.XLOOKUP(G663,'Tarievensheet per persoon'!AE:AE,'Tarievensheet per persoon'!AF:AF)</f>
        <v>1.7024999999999999</v>
      </c>
      <c r="O663">
        <f>_xlfn.XLOOKUP(G663,AE:AE,'Tarievensheet per persoon'!AG:AG)</f>
        <v>1.5642</v>
      </c>
      <c r="P663">
        <f>_xlfn.XLOOKUP(G663,AE:AE,'Tarievensheet per persoon'!AH:AH)</f>
        <v>1.3552</v>
      </c>
      <c r="Q663">
        <f>_xlfn.XLOOKUP(G663,AE:AE,'Tarievensheet per persoon'!AI:AI)</f>
        <v>1.3552</v>
      </c>
      <c r="R663">
        <v>0</v>
      </c>
      <c r="S663" s="14">
        <v>2.99</v>
      </c>
      <c r="T663" s="10">
        <f t="shared" si="111"/>
        <v>30.042724999999997</v>
      </c>
      <c r="U663" s="10">
        <f t="shared" si="112"/>
        <v>38.244920539999995</v>
      </c>
      <c r="V663" s="10">
        <f t="shared" si="113"/>
        <v>38.7420233</v>
      </c>
      <c r="W663" s="10">
        <f t="shared" si="114"/>
        <v>49.926835400000002</v>
      </c>
      <c r="X663" s="10">
        <f t="shared" si="115"/>
        <v>54.897863000000001</v>
      </c>
      <c r="Y663" s="10">
        <f t="shared" si="116"/>
        <v>79.753000999999998</v>
      </c>
      <c r="Z663" s="10">
        <f t="shared" si="117"/>
        <v>28.421254399999995</v>
      </c>
      <c r="AA663" s="10">
        <f t="shared" si="118"/>
        <v>36.541612800000003</v>
      </c>
      <c r="AB663" s="10">
        <f t="shared" si="119"/>
        <v>40.601792000000003</v>
      </c>
      <c r="AC663" s="10">
        <f t="shared" si="120"/>
        <v>60.902687999999998</v>
      </c>
    </row>
    <row r="664" spans="1:29" x14ac:dyDescent="0.25">
      <c r="A664">
        <v>448817</v>
      </c>
      <c r="B664" t="s">
        <v>125</v>
      </c>
      <c r="C664" s="10">
        <v>15.89</v>
      </c>
      <c r="D664" s="10">
        <v>14.98</v>
      </c>
      <c r="E664" s="10">
        <v>0</v>
      </c>
      <c r="F664">
        <v>11</v>
      </c>
      <c r="G664" t="s">
        <v>15</v>
      </c>
      <c r="H664" s="11">
        <v>45988</v>
      </c>
      <c r="I664" t="s">
        <v>21</v>
      </c>
      <c r="J664" s="12">
        <v>5.25</v>
      </c>
      <c r="K664" s="3">
        <v>200.76</v>
      </c>
      <c r="L664" s="3">
        <f t="shared" si="110"/>
        <v>38.239999999999995</v>
      </c>
      <c r="M664" s="13"/>
      <c r="N664">
        <f>_xlfn.XLOOKUP(G664,'Tarievensheet per persoon'!AE:AE,'Tarievensheet per persoon'!AF:AF)</f>
        <v>1.7024999999999999</v>
      </c>
      <c r="O664">
        <f>_xlfn.XLOOKUP(G664,AE:AE,'Tarievensheet per persoon'!AG:AG)</f>
        <v>1.5642</v>
      </c>
      <c r="P664">
        <f>_xlfn.XLOOKUP(G664,AE:AE,'Tarievensheet per persoon'!AH:AH)</f>
        <v>1.3552</v>
      </c>
      <c r="Q664">
        <f>_xlfn.XLOOKUP(G664,AE:AE,'Tarievensheet per persoon'!AI:AI)</f>
        <v>1.3552</v>
      </c>
      <c r="R664">
        <v>0</v>
      </c>
      <c r="S664" s="14">
        <v>2.99</v>
      </c>
      <c r="T664" s="10">
        <f t="shared" si="111"/>
        <v>30.042724999999997</v>
      </c>
      <c r="U664" s="10">
        <f t="shared" si="112"/>
        <v>38.244920539999995</v>
      </c>
      <c r="V664" s="10">
        <f t="shared" si="113"/>
        <v>38.7420233</v>
      </c>
      <c r="W664" s="10">
        <f t="shared" si="114"/>
        <v>49.926835400000002</v>
      </c>
      <c r="X664" s="10">
        <f t="shared" si="115"/>
        <v>54.897863000000001</v>
      </c>
      <c r="Y664" s="10">
        <f t="shared" si="116"/>
        <v>79.753000999999998</v>
      </c>
      <c r="Z664" s="10">
        <f t="shared" si="117"/>
        <v>28.421254399999995</v>
      </c>
      <c r="AA664" s="10">
        <f t="shared" si="118"/>
        <v>36.541612800000003</v>
      </c>
      <c r="AB664" s="10">
        <f t="shared" si="119"/>
        <v>40.601792000000003</v>
      </c>
      <c r="AC664" s="10">
        <f t="shared" si="120"/>
        <v>60.902687999999998</v>
      </c>
    </row>
    <row r="665" spans="1:29" x14ac:dyDescent="0.25">
      <c r="A665">
        <v>448817</v>
      </c>
      <c r="B665" t="s">
        <v>125</v>
      </c>
      <c r="C665" s="10">
        <v>15.89</v>
      </c>
      <c r="D665" s="10">
        <v>14.98</v>
      </c>
      <c r="E665" s="10">
        <v>0</v>
      </c>
      <c r="F665">
        <v>11</v>
      </c>
      <c r="G665" t="s">
        <v>15</v>
      </c>
      <c r="H665" s="11">
        <v>45988</v>
      </c>
      <c r="I665" t="s">
        <v>22</v>
      </c>
      <c r="J665" s="12">
        <v>1</v>
      </c>
      <c r="K665" s="3">
        <v>38.74</v>
      </c>
      <c r="L665" s="3">
        <f t="shared" si="110"/>
        <v>38.74</v>
      </c>
      <c r="M665" s="13"/>
      <c r="N665">
        <f>_xlfn.XLOOKUP(G665,'Tarievensheet per persoon'!AE:AE,'Tarievensheet per persoon'!AF:AF)</f>
        <v>1.7024999999999999</v>
      </c>
      <c r="O665">
        <f>_xlfn.XLOOKUP(G665,AE:AE,'Tarievensheet per persoon'!AG:AG)</f>
        <v>1.5642</v>
      </c>
      <c r="P665">
        <f>_xlfn.XLOOKUP(G665,AE:AE,'Tarievensheet per persoon'!AH:AH)</f>
        <v>1.3552</v>
      </c>
      <c r="Q665">
        <f>_xlfn.XLOOKUP(G665,AE:AE,'Tarievensheet per persoon'!AI:AI)</f>
        <v>1.3552</v>
      </c>
      <c r="R665">
        <v>0</v>
      </c>
      <c r="S665" s="14">
        <v>2.99</v>
      </c>
      <c r="T665" s="10">
        <f t="shared" si="111"/>
        <v>30.042724999999997</v>
      </c>
      <c r="U665" s="10">
        <f t="shared" si="112"/>
        <v>38.244920539999995</v>
      </c>
      <c r="V665" s="10">
        <f t="shared" si="113"/>
        <v>38.7420233</v>
      </c>
      <c r="W665" s="10">
        <f t="shared" si="114"/>
        <v>49.926835400000002</v>
      </c>
      <c r="X665" s="10">
        <f t="shared" si="115"/>
        <v>54.897863000000001</v>
      </c>
      <c r="Y665" s="10">
        <f t="shared" si="116"/>
        <v>79.753000999999998</v>
      </c>
      <c r="Z665" s="10">
        <f t="shared" si="117"/>
        <v>28.421254399999995</v>
      </c>
      <c r="AA665" s="10">
        <f t="shared" si="118"/>
        <v>36.541612800000003</v>
      </c>
      <c r="AB665" s="10">
        <f t="shared" si="119"/>
        <v>40.601792000000003</v>
      </c>
      <c r="AC665" s="10">
        <f t="shared" si="120"/>
        <v>60.902687999999998</v>
      </c>
    </row>
    <row r="666" spans="1:29" x14ac:dyDescent="0.25">
      <c r="A666">
        <v>448817</v>
      </c>
      <c r="B666" t="s">
        <v>125</v>
      </c>
      <c r="C666" s="10">
        <v>15.89</v>
      </c>
      <c r="D666" s="10">
        <v>14.98</v>
      </c>
      <c r="E666" s="10">
        <v>0</v>
      </c>
      <c r="F666">
        <v>11</v>
      </c>
      <c r="G666" t="s">
        <v>15</v>
      </c>
      <c r="H666" s="11">
        <v>45989</v>
      </c>
      <c r="I666" t="s">
        <v>13</v>
      </c>
      <c r="J666" s="12">
        <v>1.75</v>
      </c>
      <c r="K666" s="3">
        <v>52.57</v>
      </c>
      <c r="L666" s="3">
        <f t="shared" si="110"/>
        <v>30.04</v>
      </c>
      <c r="M666" s="13"/>
      <c r="N666">
        <f>_xlfn.XLOOKUP(G666,'Tarievensheet per persoon'!AE:AE,'Tarievensheet per persoon'!AF:AF)</f>
        <v>1.7024999999999999</v>
      </c>
      <c r="O666">
        <f>_xlfn.XLOOKUP(G666,AE:AE,'Tarievensheet per persoon'!AG:AG)</f>
        <v>1.5642</v>
      </c>
      <c r="P666">
        <f>_xlfn.XLOOKUP(G666,AE:AE,'Tarievensheet per persoon'!AH:AH)</f>
        <v>1.3552</v>
      </c>
      <c r="Q666">
        <f>_xlfn.XLOOKUP(G666,AE:AE,'Tarievensheet per persoon'!AI:AI)</f>
        <v>1.3552</v>
      </c>
      <c r="R666">
        <v>0</v>
      </c>
      <c r="S666" s="14">
        <v>2.99</v>
      </c>
      <c r="T666" s="10">
        <f t="shared" si="111"/>
        <v>30.042724999999997</v>
      </c>
      <c r="U666" s="10">
        <f t="shared" si="112"/>
        <v>38.244920539999995</v>
      </c>
      <c r="V666" s="10">
        <f t="shared" si="113"/>
        <v>38.7420233</v>
      </c>
      <c r="W666" s="10">
        <f t="shared" si="114"/>
        <v>49.926835400000002</v>
      </c>
      <c r="X666" s="10">
        <f t="shared" si="115"/>
        <v>54.897863000000001</v>
      </c>
      <c r="Y666" s="10">
        <f t="shared" si="116"/>
        <v>79.753000999999998</v>
      </c>
      <c r="Z666" s="10">
        <f t="shared" si="117"/>
        <v>28.421254399999995</v>
      </c>
      <c r="AA666" s="10">
        <f t="shared" si="118"/>
        <v>36.541612800000003</v>
      </c>
      <c r="AB666" s="10">
        <f t="shared" si="119"/>
        <v>40.601792000000003</v>
      </c>
      <c r="AC666" s="10">
        <f t="shared" si="120"/>
        <v>60.902687999999998</v>
      </c>
    </row>
    <row r="667" spans="1:29" x14ac:dyDescent="0.25">
      <c r="A667">
        <v>448817</v>
      </c>
      <c r="B667" t="s">
        <v>125</v>
      </c>
      <c r="C667" s="10">
        <v>15.89</v>
      </c>
      <c r="D667" s="10">
        <v>14.98</v>
      </c>
      <c r="E667" s="10">
        <v>0</v>
      </c>
      <c r="F667">
        <v>11</v>
      </c>
      <c r="G667" t="s">
        <v>15</v>
      </c>
      <c r="H667" s="11">
        <v>45989</v>
      </c>
      <c r="I667" t="s">
        <v>21</v>
      </c>
      <c r="J667" s="12">
        <v>5.25</v>
      </c>
      <c r="K667" s="3">
        <v>200.76</v>
      </c>
      <c r="L667" s="3">
        <f t="shared" si="110"/>
        <v>38.239999999999995</v>
      </c>
      <c r="M667" s="13"/>
      <c r="N667">
        <f>_xlfn.XLOOKUP(G667,'Tarievensheet per persoon'!AE:AE,'Tarievensheet per persoon'!AF:AF)</f>
        <v>1.7024999999999999</v>
      </c>
      <c r="O667">
        <f>_xlfn.XLOOKUP(G667,AE:AE,'Tarievensheet per persoon'!AG:AG)</f>
        <v>1.5642</v>
      </c>
      <c r="P667">
        <f>_xlfn.XLOOKUP(G667,AE:AE,'Tarievensheet per persoon'!AH:AH)</f>
        <v>1.3552</v>
      </c>
      <c r="Q667">
        <f>_xlfn.XLOOKUP(G667,AE:AE,'Tarievensheet per persoon'!AI:AI)</f>
        <v>1.3552</v>
      </c>
      <c r="R667">
        <v>0</v>
      </c>
      <c r="S667" s="14">
        <v>2.99</v>
      </c>
      <c r="T667" s="10">
        <f t="shared" si="111"/>
        <v>30.042724999999997</v>
      </c>
      <c r="U667" s="10">
        <f t="shared" si="112"/>
        <v>38.244920539999995</v>
      </c>
      <c r="V667" s="10">
        <f t="shared" si="113"/>
        <v>38.7420233</v>
      </c>
      <c r="W667" s="10">
        <f t="shared" si="114"/>
        <v>49.926835400000002</v>
      </c>
      <c r="X667" s="10">
        <f t="shared" si="115"/>
        <v>54.897863000000001</v>
      </c>
      <c r="Y667" s="10">
        <f t="shared" si="116"/>
        <v>79.753000999999998</v>
      </c>
      <c r="Z667" s="10">
        <f t="shared" si="117"/>
        <v>28.421254399999995</v>
      </c>
      <c r="AA667" s="10">
        <f t="shared" si="118"/>
        <v>36.541612800000003</v>
      </c>
      <c r="AB667" s="10">
        <f t="shared" si="119"/>
        <v>40.601792000000003</v>
      </c>
      <c r="AC667" s="10">
        <f t="shared" si="120"/>
        <v>60.902687999999998</v>
      </c>
    </row>
    <row r="668" spans="1:29" x14ac:dyDescent="0.25">
      <c r="A668">
        <v>448817</v>
      </c>
      <c r="B668" t="s">
        <v>125</v>
      </c>
      <c r="C668" s="10">
        <v>15.89</v>
      </c>
      <c r="D668" s="10">
        <v>14.98</v>
      </c>
      <c r="E668" s="10">
        <v>0</v>
      </c>
      <c r="F668">
        <v>11</v>
      </c>
      <c r="G668" t="s">
        <v>15</v>
      </c>
      <c r="H668" s="11">
        <v>45989</v>
      </c>
      <c r="I668" t="s">
        <v>22</v>
      </c>
      <c r="J668" s="12">
        <v>1</v>
      </c>
      <c r="K668" s="3">
        <v>38.74</v>
      </c>
      <c r="L668" s="3">
        <f t="shared" si="110"/>
        <v>38.74</v>
      </c>
      <c r="M668" s="13"/>
      <c r="N668">
        <f>_xlfn.XLOOKUP(G668,'Tarievensheet per persoon'!AE:AE,'Tarievensheet per persoon'!AF:AF)</f>
        <v>1.7024999999999999</v>
      </c>
      <c r="O668">
        <f>_xlfn.XLOOKUP(G668,AE:AE,'Tarievensheet per persoon'!AG:AG)</f>
        <v>1.5642</v>
      </c>
      <c r="P668">
        <f>_xlfn.XLOOKUP(G668,AE:AE,'Tarievensheet per persoon'!AH:AH)</f>
        <v>1.3552</v>
      </c>
      <c r="Q668">
        <f>_xlfn.XLOOKUP(G668,AE:AE,'Tarievensheet per persoon'!AI:AI)</f>
        <v>1.3552</v>
      </c>
      <c r="R668">
        <v>0</v>
      </c>
      <c r="S668" s="14">
        <v>2.99</v>
      </c>
      <c r="T668" s="10">
        <f t="shared" si="111"/>
        <v>30.042724999999997</v>
      </c>
      <c r="U668" s="10">
        <f t="shared" si="112"/>
        <v>38.244920539999995</v>
      </c>
      <c r="V668" s="10">
        <f t="shared" si="113"/>
        <v>38.7420233</v>
      </c>
      <c r="W668" s="10">
        <f t="shared" si="114"/>
        <v>49.926835400000002</v>
      </c>
      <c r="X668" s="10">
        <f t="shared" si="115"/>
        <v>54.897863000000001</v>
      </c>
      <c r="Y668" s="10">
        <f t="shared" si="116"/>
        <v>79.753000999999998</v>
      </c>
      <c r="Z668" s="10">
        <f t="shared" si="117"/>
        <v>28.421254399999995</v>
      </c>
      <c r="AA668" s="10">
        <f t="shared" si="118"/>
        <v>36.541612800000003</v>
      </c>
      <c r="AB668" s="10">
        <f t="shared" si="119"/>
        <v>40.601792000000003</v>
      </c>
      <c r="AC668" s="10">
        <f t="shared" si="120"/>
        <v>60.902687999999998</v>
      </c>
    </row>
    <row r="669" spans="1:29" x14ac:dyDescent="0.25">
      <c r="A669">
        <v>449344</v>
      </c>
      <c r="B669" t="s">
        <v>126</v>
      </c>
      <c r="C669" s="10">
        <v>15.89</v>
      </c>
      <c r="D669" s="10">
        <v>14.98</v>
      </c>
      <c r="E669" s="10">
        <v>0</v>
      </c>
      <c r="F669">
        <v>10</v>
      </c>
      <c r="G669" t="s">
        <v>15</v>
      </c>
      <c r="H669" s="11">
        <v>45985</v>
      </c>
      <c r="I669" t="s">
        <v>13</v>
      </c>
      <c r="J669" s="12">
        <v>8</v>
      </c>
      <c r="K669" s="3">
        <v>240.32</v>
      </c>
      <c r="L669" s="3">
        <f t="shared" si="110"/>
        <v>30.04</v>
      </c>
      <c r="M669" s="13"/>
      <c r="N669">
        <f>_xlfn.XLOOKUP(G669,'Tarievensheet per persoon'!AE:AE,'Tarievensheet per persoon'!AF:AF)</f>
        <v>1.7024999999999999</v>
      </c>
      <c r="O669">
        <f>_xlfn.XLOOKUP(G669,AE:AE,'Tarievensheet per persoon'!AG:AG)</f>
        <v>1.5642</v>
      </c>
      <c r="P669">
        <f>_xlfn.XLOOKUP(G669,AE:AE,'Tarievensheet per persoon'!AH:AH)</f>
        <v>1.3552</v>
      </c>
      <c r="Q669">
        <f>_xlfn.XLOOKUP(G669,AE:AE,'Tarievensheet per persoon'!AI:AI)</f>
        <v>1.3552</v>
      </c>
      <c r="R669">
        <v>0</v>
      </c>
      <c r="S669" s="14">
        <v>2.99</v>
      </c>
      <c r="T669" s="10">
        <f t="shared" si="111"/>
        <v>30.042724999999997</v>
      </c>
      <c r="U669" s="10">
        <f t="shared" si="112"/>
        <v>38.244920539999995</v>
      </c>
      <c r="V669" s="10">
        <f t="shared" si="113"/>
        <v>38.7420233</v>
      </c>
      <c r="W669" s="10">
        <f t="shared" si="114"/>
        <v>49.926835400000002</v>
      </c>
      <c r="X669" s="10">
        <f t="shared" si="115"/>
        <v>54.897863000000001</v>
      </c>
      <c r="Y669" s="10">
        <f t="shared" si="116"/>
        <v>79.753000999999998</v>
      </c>
      <c r="Z669" s="10">
        <f t="shared" si="117"/>
        <v>28.421254399999995</v>
      </c>
      <c r="AA669" s="10">
        <f t="shared" si="118"/>
        <v>36.541612800000003</v>
      </c>
      <c r="AB669" s="10">
        <f t="shared" si="119"/>
        <v>40.601792000000003</v>
      </c>
      <c r="AC669" s="10">
        <f t="shared" si="120"/>
        <v>60.902687999999998</v>
      </c>
    </row>
    <row r="670" spans="1:29" x14ac:dyDescent="0.25">
      <c r="A670">
        <v>449344</v>
      </c>
      <c r="B670" t="s">
        <v>126</v>
      </c>
      <c r="C670" s="10">
        <v>15.89</v>
      </c>
      <c r="D670" s="10">
        <v>14.98</v>
      </c>
      <c r="E670" s="10">
        <v>0</v>
      </c>
      <c r="F670">
        <v>10</v>
      </c>
      <c r="G670" t="s">
        <v>15</v>
      </c>
      <c r="H670" s="11">
        <v>45986</v>
      </c>
      <c r="I670" t="s">
        <v>13</v>
      </c>
      <c r="J670" s="12">
        <v>6.25</v>
      </c>
      <c r="K670" s="3">
        <v>187.75</v>
      </c>
      <c r="L670" s="3">
        <f t="shared" si="110"/>
        <v>30.04</v>
      </c>
      <c r="M670" s="13"/>
      <c r="N670">
        <f>_xlfn.XLOOKUP(G670,'Tarievensheet per persoon'!AE:AE,'Tarievensheet per persoon'!AF:AF)</f>
        <v>1.7024999999999999</v>
      </c>
      <c r="O670">
        <f>_xlfn.XLOOKUP(G670,AE:AE,'Tarievensheet per persoon'!AG:AG)</f>
        <v>1.5642</v>
      </c>
      <c r="P670">
        <f>_xlfn.XLOOKUP(G670,AE:AE,'Tarievensheet per persoon'!AH:AH)</f>
        <v>1.3552</v>
      </c>
      <c r="Q670">
        <f>_xlfn.XLOOKUP(G670,AE:AE,'Tarievensheet per persoon'!AI:AI)</f>
        <v>1.3552</v>
      </c>
      <c r="R670">
        <v>0</v>
      </c>
      <c r="S670" s="14">
        <v>2.99</v>
      </c>
      <c r="T670" s="10">
        <f t="shared" si="111"/>
        <v>30.042724999999997</v>
      </c>
      <c r="U670" s="10">
        <f t="shared" si="112"/>
        <v>38.244920539999995</v>
      </c>
      <c r="V670" s="10">
        <f t="shared" si="113"/>
        <v>38.7420233</v>
      </c>
      <c r="W670" s="10">
        <f t="shared" si="114"/>
        <v>49.926835400000002</v>
      </c>
      <c r="X670" s="10">
        <f t="shared" si="115"/>
        <v>54.897863000000001</v>
      </c>
      <c r="Y670" s="10">
        <f t="shared" si="116"/>
        <v>79.753000999999998</v>
      </c>
      <c r="Z670" s="10">
        <f t="shared" si="117"/>
        <v>28.421254399999995</v>
      </c>
      <c r="AA670" s="10">
        <f t="shared" si="118"/>
        <v>36.541612800000003</v>
      </c>
      <c r="AB670" s="10">
        <f t="shared" si="119"/>
        <v>40.601792000000003</v>
      </c>
      <c r="AC670" s="10">
        <f t="shared" si="120"/>
        <v>60.902687999999998</v>
      </c>
    </row>
    <row r="671" spans="1:29" x14ac:dyDescent="0.25">
      <c r="A671">
        <v>449344</v>
      </c>
      <c r="B671" t="s">
        <v>126</v>
      </c>
      <c r="C671" s="10">
        <v>15.89</v>
      </c>
      <c r="D671" s="10">
        <v>14.98</v>
      </c>
      <c r="E671" s="10">
        <v>0</v>
      </c>
      <c r="F671">
        <v>10</v>
      </c>
      <c r="G671" t="s">
        <v>15</v>
      </c>
      <c r="H671" s="11">
        <v>45986</v>
      </c>
      <c r="I671" t="s">
        <v>23</v>
      </c>
      <c r="J671" s="12">
        <v>4.25</v>
      </c>
      <c r="K671" s="3">
        <v>120.79</v>
      </c>
      <c r="L671" s="3">
        <f t="shared" si="110"/>
        <v>28.421176470588236</v>
      </c>
      <c r="M671" s="13"/>
      <c r="N671">
        <f>_xlfn.XLOOKUP(G671,'Tarievensheet per persoon'!AE:AE,'Tarievensheet per persoon'!AF:AF)</f>
        <v>1.7024999999999999</v>
      </c>
      <c r="O671">
        <f>_xlfn.XLOOKUP(G671,AE:AE,'Tarievensheet per persoon'!AG:AG)</f>
        <v>1.5642</v>
      </c>
      <c r="P671">
        <f>_xlfn.XLOOKUP(G671,AE:AE,'Tarievensheet per persoon'!AH:AH)</f>
        <v>1.3552</v>
      </c>
      <c r="Q671">
        <f>_xlfn.XLOOKUP(G671,AE:AE,'Tarievensheet per persoon'!AI:AI)</f>
        <v>1.3552</v>
      </c>
      <c r="R671">
        <v>0</v>
      </c>
      <c r="S671" s="14">
        <v>2.99</v>
      </c>
      <c r="T671" s="10">
        <f t="shared" si="111"/>
        <v>30.042724999999997</v>
      </c>
      <c r="U671" s="10">
        <f t="shared" si="112"/>
        <v>38.244920539999995</v>
      </c>
      <c r="V671" s="10">
        <f t="shared" si="113"/>
        <v>38.7420233</v>
      </c>
      <c r="W671" s="10">
        <f t="shared" si="114"/>
        <v>49.926835400000002</v>
      </c>
      <c r="X671" s="10">
        <f t="shared" si="115"/>
        <v>54.897863000000001</v>
      </c>
      <c r="Y671" s="10">
        <f t="shared" si="116"/>
        <v>79.753000999999998</v>
      </c>
      <c r="Z671" s="10">
        <f t="shared" si="117"/>
        <v>28.421254399999995</v>
      </c>
      <c r="AA671" s="10">
        <f t="shared" si="118"/>
        <v>36.541612800000003</v>
      </c>
      <c r="AB671" s="10">
        <f t="shared" si="119"/>
        <v>40.601792000000003</v>
      </c>
      <c r="AC671" s="10">
        <f t="shared" si="120"/>
        <v>60.902687999999998</v>
      </c>
    </row>
    <row r="672" spans="1:29" x14ac:dyDescent="0.25">
      <c r="A672">
        <v>449344</v>
      </c>
      <c r="B672" t="s">
        <v>126</v>
      </c>
      <c r="C672" s="10">
        <v>15.89</v>
      </c>
      <c r="D672" s="10">
        <v>14.98</v>
      </c>
      <c r="E672" s="10">
        <v>0</v>
      </c>
      <c r="F672">
        <v>10</v>
      </c>
      <c r="G672" t="s">
        <v>15</v>
      </c>
      <c r="H672" s="11">
        <v>45987</v>
      </c>
      <c r="I672" t="s">
        <v>13</v>
      </c>
      <c r="J672" s="12">
        <v>9.5</v>
      </c>
      <c r="K672" s="3">
        <v>285.38</v>
      </c>
      <c r="L672" s="3">
        <f t="shared" si="110"/>
        <v>30.04</v>
      </c>
      <c r="M672" s="13"/>
      <c r="N672">
        <f>_xlfn.XLOOKUP(G672,'Tarievensheet per persoon'!AE:AE,'Tarievensheet per persoon'!AF:AF)</f>
        <v>1.7024999999999999</v>
      </c>
      <c r="O672">
        <f>_xlfn.XLOOKUP(G672,AE:AE,'Tarievensheet per persoon'!AG:AG)</f>
        <v>1.5642</v>
      </c>
      <c r="P672">
        <f>_xlfn.XLOOKUP(G672,AE:AE,'Tarievensheet per persoon'!AH:AH)</f>
        <v>1.3552</v>
      </c>
      <c r="Q672">
        <f>_xlfn.XLOOKUP(G672,AE:AE,'Tarievensheet per persoon'!AI:AI)</f>
        <v>1.3552</v>
      </c>
      <c r="R672">
        <v>0</v>
      </c>
      <c r="S672" s="14">
        <v>2.99</v>
      </c>
      <c r="T672" s="10">
        <f t="shared" si="111"/>
        <v>30.042724999999997</v>
      </c>
      <c r="U672" s="10">
        <f t="shared" si="112"/>
        <v>38.244920539999995</v>
      </c>
      <c r="V672" s="10">
        <f t="shared" si="113"/>
        <v>38.7420233</v>
      </c>
      <c r="W672" s="10">
        <f t="shared" si="114"/>
        <v>49.926835400000002</v>
      </c>
      <c r="X672" s="10">
        <f t="shared" si="115"/>
        <v>54.897863000000001</v>
      </c>
      <c r="Y672" s="10">
        <f t="shared" si="116"/>
        <v>79.753000999999998</v>
      </c>
      <c r="Z672" s="10">
        <f t="shared" si="117"/>
        <v>28.421254399999995</v>
      </c>
      <c r="AA672" s="10">
        <f t="shared" si="118"/>
        <v>36.541612800000003</v>
      </c>
      <c r="AB672" s="10">
        <f t="shared" si="119"/>
        <v>40.601792000000003</v>
      </c>
      <c r="AC672" s="10">
        <f t="shared" si="120"/>
        <v>60.902687999999998</v>
      </c>
    </row>
    <row r="673" spans="1:29" x14ac:dyDescent="0.25">
      <c r="A673">
        <v>449344</v>
      </c>
      <c r="B673" t="s">
        <v>126</v>
      </c>
      <c r="C673" s="10">
        <v>15.89</v>
      </c>
      <c r="D673" s="10">
        <v>14.98</v>
      </c>
      <c r="E673" s="10">
        <v>0</v>
      </c>
      <c r="F673">
        <v>10</v>
      </c>
      <c r="G673" t="s">
        <v>15</v>
      </c>
      <c r="H673" s="11">
        <v>45988</v>
      </c>
      <c r="I673" t="s">
        <v>13</v>
      </c>
      <c r="J673" s="12">
        <v>10.5</v>
      </c>
      <c r="K673" s="3">
        <v>315.42</v>
      </c>
      <c r="L673" s="3">
        <f t="shared" si="110"/>
        <v>30.040000000000003</v>
      </c>
      <c r="M673" s="13"/>
      <c r="N673">
        <f>_xlfn.XLOOKUP(G673,'Tarievensheet per persoon'!AE:AE,'Tarievensheet per persoon'!AF:AF)</f>
        <v>1.7024999999999999</v>
      </c>
      <c r="O673">
        <f>_xlfn.XLOOKUP(G673,AE:AE,'Tarievensheet per persoon'!AG:AG)</f>
        <v>1.5642</v>
      </c>
      <c r="P673">
        <f>_xlfn.XLOOKUP(G673,AE:AE,'Tarievensheet per persoon'!AH:AH)</f>
        <v>1.3552</v>
      </c>
      <c r="Q673">
        <f>_xlfn.XLOOKUP(G673,AE:AE,'Tarievensheet per persoon'!AI:AI)</f>
        <v>1.3552</v>
      </c>
      <c r="R673">
        <v>0</v>
      </c>
      <c r="S673" s="14">
        <v>2.99</v>
      </c>
      <c r="T673" s="10">
        <f t="shared" si="111"/>
        <v>30.042724999999997</v>
      </c>
      <c r="U673" s="10">
        <f t="shared" si="112"/>
        <v>38.244920539999995</v>
      </c>
      <c r="V673" s="10">
        <f t="shared" si="113"/>
        <v>38.7420233</v>
      </c>
      <c r="W673" s="10">
        <f t="shared" si="114"/>
        <v>49.926835400000002</v>
      </c>
      <c r="X673" s="10">
        <f t="shared" si="115"/>
        <v>54.897863000000001</v>
      </c>
      <c r="Y673" s="10">
        <f t="shared" si="116"/>
        <v>79.753000999999998</v>
      </c>
      <c r="Z673" s="10">
        <f t="shared" si="117"/>
        <v>28.421254399999995</v>
      </c>
      <c r="AA673" s="10">
        <f t="shared" si="118"/>
        <v>36.541612800000003</v>
      </c>
      <c r="AB673" s="10">
        <f t="shared" si="119"/>
        <v>40.601792000000003</v>
      </c>
      <c r="AC673" s="10">
        <f t="shared" si="120"/>
        <v>60.902687999999998</v>
      </c>
    </row>
    <row r="674" spans="1:29" x14ac:dyDescent="0.25">
      <c r="A674">
        <v>449344</v>
      </c>
      <c r="B674" t="s">
        <v>126</v>
      </c>
      <c r="C674" s="10">
        <v>15.89</v>
      </c>
      <c r="D674" s="10">
        <v>14.98</v>
      </c>
      <c r="E674" s="10">
        <v>0</v>
      </c>
      <c r="F674">
        <v>10</v>
      </c>
      <c r="G674" t="s">
        <v>15</v>
      </c>
      <c r="H674" s="11">
        <v>45989</v>
      </c>
      <c r="I674" t="s">
        <v>13</v>
      </c>
      <c r="J674" s="12">
        <v>5.75</v>
      </c>
      <c r="K674" s="3">
        <v>172.73</v>
      </c>
      <c r="L674" s="3">
        <f t="shared" si="110"/>
        <v>30.04</v>
      </c>
      <c r="M674" s="13"/>
      <c r="N674">
        <f>_xlfn.XLOOKUP(G674,'Tarievensheet per persoon'!AE:AE,'Tarievensheet per persoon'!AF:AF)</f>
        <v>1.7024999999999999</v>
      </c>
      <c r="O674">
        <f>_xlfn.XLOOKUP(G674,AE:AE,'Tarievensheet per persoon'!AG:AG)</f>
        <v>1.5642</v>
      </c>
      <c r="P674">
        <f>_xlfn.XLOOKUP(G674,AE:AE,'Tarievensheet per persoon'!AH:AH)</f>
        <v>1.3552</v>
      </c>
      <c r="Q674">
        <f>_xlfn.XLOOKUP(G674,AE:AE,'Tarievensheet per persoon'!AI:AI)</f>
        <v>1.3552</v>
      </c>
      <c r="R674">
        <v>0</v>
      </c>
      <c r="S674" s="14">
        <v>2.99</v>
      </c>
      <c r="T674" s="10">
        <f t="shared" si="111"/>
        <v>30.042724999999997</v>
      </c>
      <c r="U674" s="10">
        <f t="shared" si="112"/>
        <v>38.244920539999995</v>
      </c>
      <c r="V674" s="10">
        <f t="shared" si="113"/>
        <v>38.7420233</v>
      </c>
      <c r="W674" s="10">
        <f t="shared" si="114"/>
        <v>49.926835400000002</v>
      </c>
      <c r="X674" s="10">
        <f t="shared" si="115"/>
        <v>54.897863000000001</v>
      </c>
      <c r="Y674" s="10">
        <f t="shared" si="116"/>
        <v>79.753000999999998</v>
      </c>
      <c r="Z674" s="10">
        <f t="shared" si="117"/>
        <v>28.421254399999995</v>
      </c>
      <c r="AA674" s="10">
        <f t="shared" si="118"/>
        <v>36.541612800000003</v>
      </c>
      <c r="AB674" s="10">
        <f t="shared" si="119"/>
        <v>40.601792000000003</v>
      </c>
      <c r="AC674" s="10">
        <f t="shared" si="120"/>
        <v>60.902687999999998</v>
      </c>
    </row>
    <row r="675" spans="1:29" x14ac:dyDescent="0.25">
      <c r="A675">
        <v>449771</v>
      </c>
      <c r="B675" t="s">
        <v>85</v>
      </c>
      <c r="C675" s="10">
        <v>16.91</v>
      </c>
      <c r="D675" s="10">
        <v>15.94</v>
      </c>
      <c r="E675" s="10">
        <v>0</v>
      </c>
      <c r="F675">
        <v>10</v>
      </c>
      <c r="G675" t="s">
        <v>15</v>
      </c>
      <c r="H675" s="11">
        <v>45985</v>
      </c>
      <c r="I675" t="s">
        <v>13</v>
      </c>
      <c r="J675" s="12">
        <v>3.5</v>
      </c>
      <c r="K675" s="3">
        <v>111.23</v>
      </c>
      <c r="L675" s="3">
        <f t="shared" si="110"/>
        <v>31.78</v>
      </c>
      <c r="M675" s="13"/>
      <c r="N675">
        <f>_xlfn.XLOOKUP(G675,'Tarievensheet per persoon'!AE:AE,'Tarievensheet per persoon'!AF:AF)</f>
        <v>1.7024999999999999</v>
      </c>
      <c r="O675">
        <f>_xlfn.XLOOKUP(G675,AE:AE,'Tarievensheet per persoon'!AG:AG)</f>
        <v>1.5642</v>
      </c>
      <c r="P675">
        <f>_xlfn.XLOOKUP(G675,AE:AE,'Tarievensheet per persoon'!AH:AH)</f>
        <v>1.3552</v>
      </c>
      <c r="Q675">
        <f>_xlfn.XLOOKUP(G675,AE:AE,'Tarievensheet per persoon'!AI:AI)</f>
        <v>1.3552</v>
      </c>
      <c r="R675">
        <v>0</v>
      </c>
      <c r="S675" s="14">
        <v>2.99</v>
      </c>
      <c r="T675" s="10">
        <f t="shared" si="111"/>
        <v>31.779274999999998</v>
      </c>
      <c r="U675" s="10">
        <f t="shared" si="112"/>
        <v>40.507980259999997</v>
      </c>
      <c r="V675" s="10">
        <f t="shared" si="113"/>
        <v>41.036992699999999</v>
      </c>
      <c r="W675" s="10">
        <f t="shared" si="114"/>
        <v>52.939772599999998</v>
      </c>
      <c r="X675" s="10">
        <f t="shared" si="115"/>
        <v>58.229896999999994</v>
      </c>
      <c r="Y675" s="10">
        <f t="shared" si="116"/>
        <v>84.680519000000004</v>
      </c>
      <c r="Z675" s="10">
        <f t="shared" si="117"/>
        <v>30.242643199999996</v>
      </c>
      <c r="AA675" s="10">
        <f t="shared" si="118"/>
        <v>38.883398399999997</v>
      </c>
      <c r="AB675" s="10">
        <f t="shared" si="119"/>
        <v>43.203775999999998</v>
      </c>
      <c r="AC675" s="10">
        <f t="shared" si="120"/>
        <v>64.805663999999993</v>
      </c>
    </row>
    <row r="676" spans="1:29" x14ac:dyDescent="0.25">
      <c r="A676">
        <v>449771</v>
      </c>
      <c r="B676" t="s">
        <v>85</v>
      </c>
      <c r="C676" s="10">
        <v>16.91</v>
      </c>
      <c r="D676" s="10">
        <v>15.94</v>
      </c>
      <c r="E676" s="10">
        <v>0</v>
      </c>
      <c r="F676">
        <v>10</v>
      </c>
      <c r="G676" t="s">
        <v>15</v>
      </c>
      <c r="H676" s="11">
        <v>45985</v>
      </c>
      <c r="I676" t="s">
        <v>21</v>
      </c>
      <c r="J676" s="12">
        <v>4.75</v>
      </c>
      <c r="K676" s="3">
        <v>192.42</v>
      </c>
      <c r="L676" s="3">
        <f t="shared" si="110"/>
        <v>40.509473684210526</v>
      </c>
      <c r="M676" s="13"/>
      <c r="N676">
        <f>_xlfn.XLOOKUP(G676,'Tarievensheet per persoon'!AE:AE,'Tarievensheet per persoon'!AF:AF)</f>
        <v>1.7024999999999999</v>
      </c>
      <c r="O676">
        <f>_xlfn.XLOOKUP(G676,AE:AE,'Tarievensheet per persoon'!AG:AG)</f>
        <v>1.5642</v>
      </c>
      <c r="P676">
        <f>_xlfn.XLOOKUP(G676,AE:AE,'Tarievensheet per persoon'!AH:AH)</f>
        <v>1.3552</v>
      </c>
      <c r="Q676">
        <f>_xlfn.XLOOKUP(G676,AE:AE,'Tarievensheet per persoon'!AI:AI)</f>
        <v>1.3552</v>
      </c>
      <c r="R676">
        <v>0</v>
      </c>
      <c r="S676" s="14">
        <v>2.99</v>
      </c>
      <c r="T676" s="10">
        <f t="shared" si="111"/>
        <v>31.779274999999998</v>
      </c>
      <c r="U676" s="10">
        <f t="shared" si="112"/>
        <v>40.507980259999997</v>
      </c>
      <c r="V676" s="10">
        <f t="shared" si="113"/>
        <v>41.036992699999999</v>
      </c>
      <c r="W676" s="10">
        <f t="shared" si="114"/>
        <v>52.939772599999998</v>
      </c>
      <c r="X676" s="10">
        <f t="shared" si="115"/>
        <v>58.229896999999994</v>
      </c>
      <c r="Y676" s="10">
        <f t="shared" si="116"/>
        <v>84.680519000000004</v>
      </c>
      <c r="Z676" s="10">
        <f t="shared" si="117"/>
        <v>30.242643199999996</v>
      </c>
      <c r="AA676" s="10">
        <f t="shared" si="118"/>
        <v>38.883398399999997</v>
      </c>
      <c r="AB676" s="10">
        <f t="shared" si="119"/>
        <v>43.203775999999998</v>
      </c>
      <c r="AC676" s="10">
        <f t="shared" si="120"/>
        <v>64.805663999999993</v>
      </c>
    </row>
    <row r="677" spans="1:29" x14ac:dyDescent="0.25">
      <c r="A677">
        <v>449771</v>
      </c>
      <c r="B677" t="s">
        <v>85</v>
      </c>
      <c r="C677" s="10">
        <v>16.91</v>
      </c>
      <c r="D677" s="10">
        <v>15.94</v>
      </c>
      <c r="E677" s="10">
        <v>0</v>
      </c>
      <c r="F677">
        <v>10</v>
      </c>
      <c r="G677" t="s">
        <v>15</v>
      </c>
      <c r="H677" s="11">
        <v>45986</v>
      </c>
      <c r="I677" t="s">
        <v>13</v>
      </c>
      <c r="J677" s="12">
        <v>3.5</v>
      </c>
      <c r="K677" s="3">
        <v>111.23</v>
      </c>
      <c r="L677" s="3">
        <f t="shared" si="110"/>
        <v>31.78</v>
      </c>
      <c r="M677" s="13"/>
      <c r="N677">
        <f>_xlfn.XLOOKUP(G677,'Tarievensheet per persoon'!AE:AE,'Tarievensheet per persoon'!AF:AF)</f>
        <v>1.7024999999999999</v>
      </c>
      <c r="O677">
        <f>_xlfn.XLOOKUP(G677,AE:AE,'Tarievensheet per persoon'!AG:AG)</f>
        <v>1.5642</v>
      </c>
      <c r="P677">
        <f>_xlfn.XLOOKUP(G677,AE:AE,'Tarievensheet per persoon'!AH:AH)</f>
        <v>1.3552</v>
      </c>
      <c r="Q677">
        <f>_xlfn.XLOOKUP(G677,AE:AE,'Tarievensheet per persoon'!AI:AI)</f>
        <v>1.3552</v>
      </c>
      <c r="R677">
        <v>0</v>
      </c>
      <c r="S677" s="14">
        <v>2.99</v>
      </c>
      <c r="T677" s="10">
        <f t="shared" si="111"/>
        <v>31.779274999999998</v>
      </c>
      <c r="U677" s="10">
        <f t="shared" si="112"/>
        <v>40.507980259999997</v>
      </c>
      <c r="V677" s="10">
        <f t="shared" si="113"/>
        <v>41.036992699999999</v>
      </c>
      <c r="W677" s="10">
        <f t="shared" si="114"/>
        <v>52.939772599999998</v>
      </c>
      <c r="X677" s="10">
        <f t="shared" si="115"/>
        <v>58.229896999999994</v>
      </c>
      <c r="Y677" s="10">
        <f t="shared" si="116"/>
        <v>84.680519000000004</v>
      </c>
      <c r="Z677" s="10">
        <f t="shared" si="117"/>
        <v>30.242643199999996</v>
      </c>
      <c r="AA677" s="10">
        <f t="shared" si="118"/>
        <v>38.883398399999997</v>
      </c>
      <c r="AB677" s="10">
        <f t="shared" si="119"/>
        <v>43.203775999999998</v>
      </c>
      <c r="AC677" s="10">
        <f t="shared" si="120"/>
        <v>64.805663999999993</v>
      </c>
    </row>
    <row r="678" spans="1:29" x14ac:dyDescent="0.25">
      <c r="A678">
        <v>449771</v>
      </c>
      <c r="B678" t="s">
        <v>85</v>
      </c>
      <c r="C678" s="10">
        <v>16.91</v>
      </c>
      <c r="D678" s="10">
        <v>15.94</v>
      </c>
      <c r="E678" s="10">
        <v>0</v>
      </c>
      <c r="F678">
        <v>10</v>
      </c>
      <c r="G678" t="s">
        <v>15</v>
      </c>
      <c r="H678" s="11">
        <v>45986</v>
      </c>
      <c r="I678" t="s">
        <v>21</v>
      </c>
      <c r="J678" s="12">
        <v>4.75</v>
      </c>
      <c r="K678" s="3">
        <v>192.42</v>
      </c>
      <c r="L678" s="3">
        <f t="shared" si="110"/>
        <v>40.509473684210526</v>
      </c>
      <c r="M678" s="13"/>
      <c r="N678">
        <f>_xlfn.XLOOKUP(G678,'Tarievensheet per persoon'!AE:AE,'Tarievensheet per persoon'!AF:AF)</f>
        <v>1.7024999999999999</v>
      </c>
      <c r="O678">
        <f>_xlfn.XLOOKUP(G678,AE:AE,'Tarievensheet per persoon'!AG:AG)</f>
        <v>1.5642</v>
      </c>
      <c r="P678">
        <f>_xlfn.XLOOKUP(G678,AE:AE,'Tarievensheet per persoon'!AH:AH)</f>
        <v>1.3552</v>
      </c>
      <c r="Q678">
        <f>_xlfn.XLOOKUP(G678,AE:AE,'Tarievensheet per persoon'!AI:AI)</f>
        <v>1.3552</v>
      </c>
      <c r="R678">
        <v>0</v>
      </c>
      <c r="S678" s="14">
        <v>2.99</v>
      </c>
      <c r="T678" s="10">
        <f t="shared" si="111"/>
        <v>31.779274999999998</v>
      </c>
      <c r="U678" s="10">
        <f t="shared" si="112"/>
        <v>40.507980259999997</v>
      </c>
      <c r="V678" s="10">
        <f t="shared" si="113"/>
        <v>41.036992699999999</v>
      </c>
      <c r="W678" s="10">
        <f t="shared" si="114"/>
        <v>52.939772599999998</v>
      </c>
      <c r="X678" s="10">
        <f t="shared" si="115"/>
        <v>58.229896999999994</v>
      </c>
      <c r="Y678" s="10">
        <f t="shared" si="116"/>
        <v>84.680519000000004</v>
      </c>
      <c r="Z678" s="10">
        <f t="shared" si="117"/>
        <v>30.242643199999996</v>
      </c>
      <c r="AA678" s="10">
        <f t="shared" si="118"/>
        <v>38.883398399999997</v>
      </c>
      <c r="AB678" s="10">
        <f t="shared" si="119"/>
        <v>43.203775999999998</v>
      </c>
      <c r="AC678" s="10">
        <f t="shared" si="120"/>
        <v>64.805663999999993</v>
      </c>
    </row>
    <row r="679" spans="1:29" x14ac:dyDescent="0.25">
      <c r="A679">
        <v>449771</v>
      </c>
      <c r="B679" t="s">
        <v>85</v>
      </c>
      <c r="C679" s="10">
        <v>16.91</v>
      </c>
      <c r="D679" s="10">
        <v>15.94</v>
      </c>
      <c r="E679" s="10">
        <v>0</v>
      </c>
      <c r="F679">
        <v>10</v>
      </c>
      <c r="G679" t="s">
        <v>15</v>
      </c>
      <c r="H679" s="11">
        <v>45987</v>
      </c>
      <c r="I679" t="s">
        <v>13</v>
      </c>
      <c r="J679" s="12">
        <v>3</v>
      </c>
      <c r="K679" s="3">
        <v>95.34</v>
      </c>
      <c r="L679" s="3">
        <f t="shared" si="110"/>
        <v>31.78</v>
      </c>
      <c r="M679" s="13"/>
      <c r="N679">
        <f>_xlfn.XLOOKUP(G679,'Tarievensheet per persoon'!AE:AE,'Tarievensheet per persoon'!AF:AF)</f>
        <v>1.7024999999999999</v>
      </c>
      <c r="O679">
        <f>_xlfn.XLOOKUP(G679,AE:AE,'Tarievensheet per persoon'!AG:AG)</f>
        <v>1.5642</v>
      </c>
      <c r="P679">
        <f>_xlfn.XLOOKUP(G679,AE:AE,'Tarievensheet per persoon'!AH:AH)</f>
        <v>1.3552</v>
      </c>
      <c r="Q679">
        <f>_xlfn.XLOOKUP(G679,AE:AE,'Tarievensheet per persoon'!AI:AI)</f>
        <v>1.3552</v>
      </c>
      <c r="R679">
        <v>0</v>
      </c>
      <c r="S679" s="14">
        <v>2.99</v>
      </c>
      <c r="T679" s="10">
        <f t="shared" si="111"/>
        <v>31.779274999999998</v>
      </c>
      <c r="U679" s="10">
        <f t="shared" si="112"/>
        <v>40.507980259999997</v>
      </c>
      <c r="V679" s="10">
        <f t="shared" si="113"/>
        <v>41.036992699999999</v>
      </c>
      <c r="W679" s="10">
        <f t="shared" si="114"/>
        <v>52.939772599999998</v>
      </c>
      <c r="X679" s="10">
        <f t="shared" si="115"/>
        <v>58.229896999999994</v>
      </c>
      <c r="Y679" s="10">
        <f t="shared" si="116"/>
        <v>84.680519000000004</v>
      </c>
      <c r="Z679" s="10">
        <f t="shared" si="117"/>
        <v>30.242643199999996</v>
      </c>
      <c r="AA679" s="10">
        <f t="shared" si="118"/>
        <v>38.883398399999997</v>
      </c>
      <c r="AB679" s="10">
        <f t="shared" si="119"/>
        <v>43.203775999999998</v>
      </c>
      <c r="AC679" s="10">
        <f t="shared" si="120"/>
        <v>64.805663999999993</v>
      </c>
    </row>
    <row r="680" spans="1:29" x14ac:dyDescent="0.25">
      <c r="A680">
        <v>449771</v>
      </c>
      <c r="B680" t="s">
        <v>85</v>
      </c>
      <c r="C680" s="10">
        <v>16.91</v>
      </c>
      <c r="D680" s="10">
        <v>15.94</v>
      </c>
      <c r="E680" s="10">
        <v>0</v>
      </c>
      <c r="F680">
        <v>10</v>
      </c>
      <c r="G680" t="s">
        <v>15</v>
      </c>
      <c r="H680" s="11">
        <v>45987</v>
      </c>
      <c r="I680" t="s">
        <v>23</v>
      </c>
      <c r="J680" s="12">
        <v>0.5</v>
      </c>
      <c r="K680" s="3">
        <v>15.12</v>
      </c>
      <c r="L680" s="3">
        <f t="shared" si="110"/>
        <v>30.24</v>
      </c>
      <c r="M680" s="13"/>
      <c r="N680">
        <f>_xlfn.XLOOKUP(G680,'Tarievensheet per persoon'!AE:AE,'Tarievensheet per persoon'!AF:AF)</f>
        <v>1.7024999999999999</v>
      </c>
      <c r="O680">
        <f>_xlfn.XLOOKUP(G680,AE:AE,'Tarievensheet per persoon'!AG:AG)</f>
        <v>1.5642</v>
      </c>
      <c r="P680">
        <f>_xlfn.XLOOKUP(G680,AE:AE,'Tarievensheet per persoon'!AH:AH)</f>
        <v>1.3552</v>
      </c>
      <c r="Q680">
        <f>_xlfn.XLOOKUP(G680,AE:AE,'Tarievensheet per persoon'!AI:AI)</f>
        <v>1.3552</v>
      </c>
      <c r="R680">
        <v>0</v>
      </c>
      <c r="S680" s="14">
        <v>2.99</v>
      </c>
      <c r="T680" s="10">
        <f t="shared" si="111"/>
        <v>31.779274999999998</v>
      </c>
      <c r="U680" s="10">
        <f t="shared" si="112"/>
        <v>40.507980259999997</v>
      </c>
      <c r="V680" s="10">
        <f t="shared" si="113"/>
        <v>41.036992699999999</v>
      </c>
      <c r="W680" s="10">
        <f t="shared" si="114"/>
        <v>52.939772599999998</v>
      </c>
      <c r="X680" s="10">
        <f t="shared" si="115"/>
        <v>58.229896999999994</v>
      </c>
      <c r="Y680" s="10">
        <f t="shared" si="116"/>
        <v>84.680519000000004</v>
      </c>
      <c r="Z680" s="10">
        <f t="shared" si="117"/>
        <v>30.242643199999996</v>
      </c>
      <c r="AA680" s="10">
        <f t="shared" si="118"/>
        <v>38.883398399999997</v>
      </c>
      <c r="AB680" s="10">
        <f t="shared" si="119"/>
        <v>43.203775999999998</v>
      </c>
      <c r="AC680" s="10">
        <f t="shared" si="120"/>
        <v>64.805663999999993</v>
      </c>
    </row>
    <row r="681" spans="1:29" x14ac:dyDescent="0.25">
      <c r="A681">
        <v>449771</v>
      </c>
      <c r="B681" t="s">
        <v>85</v>
      </c>
      <c r="C681" s="10">
        <v>16.91</v>
      </c>
      <c r="D681" s="10">
        <v>15.94</v>
      </c>
      <c r="E681" s="10">
        <v>0</v>
      </c>
      <c r="F681">
        <v>10</v>
      </c>
      <c r="G681" t="s">
        <v>15</v>
      </c>
      <c r="H681" s="11">
        <v>45987</v>
      </c>
      <c r="I681" t="s">
        <v>21</v>
      </c>
      <c r="J681" s="12">
        <v>4.5</v>
      </c>
      <c r="K681" s="3">
        <v>182.3</v>
      </c>
      <c r="L681" s="3">
        <f t="shared" si="110"/>
        <v>40.511111111111113</v>
      </c>
      <c r="M681" s="13"/>
      <c r="N681">
        <f>_xlfn.XLOOKUP(G681,'Tarievensheet per persoon'!AE:AE,'Tarievensheet per persoon'!AF:AF)</f>
        <v>1.7024999999999999</v>
      </c>
      <c r="O681">
        <f>_xlfn.XLOOKUP(G681,AE:AE,'Tarievensheet per persoon'!AG:AG)</f>
        <v>1.5642</v>
      </c>
      <c r="P681">
        <f>_xlfn.XLOOKUP(G681,AE:AE,'Tarievensheet per persoon'!AH:AH)</f>
        <v>1.3552</v>
      </c>
      <c r="Q681">
        <f>_xlfn.XLOOKUP(G681,AE:AE,'Tarievensheet per persoon'!AI:AI)</f>
        <v>1.3552</v>
      </c>
      <c r="R681">
        <v>0</v>
      </c>
      <c r="S681" s="14">
        <v>2.99</v>
      </c>
      <c r="T681" s="10">
        <f t="shared" si="111"/>
        <v>31.779274999999998</v>
      </c>
      <c r="U681" s="10">
        <f t="shared" si="112"/>
        <v>40.507980259999997</v>
      </c>
      <c r="V681" s="10">
        <f t="shared" si="113"/>
        <v>41.036992699999999</v>
      </c>
      <c r="W681" s="10">
        <f t="shared" si="114"/>
        <v>52.939772599999998</v>
      </c>
      <c r="X681" s="10">
        <f t="shared" si="115"/>
        <v>58.229896999999994</v>
      </c>
      <c r="Y681" s="10">
        <f t="shared" si="116"/>
        <v>84.680519000000004</v>
      </c>
      <c r="Z681" s="10">
        <f t="shared" si="117"/>
        <v>30.242643199999996</v>
      </c>
      <c r="AA681" s="10">
        <f t="shared" si="118"/>
        <v>38.883398399999997</v>
      </c>
      <c r="AB681" s="10">
        <f t="shared" si="119"/>
        <v>43.203775999999998</v>
      </c>
      <c r="AC681" s="10">
        <f t="shared" si="120"/>
        <v>64.805663999999993</v>
      </c>
    </row>
    <row r="682" spans="1:29" x14ac:dyDescent="0.25">
      <c r="A682">
        <v>449771</v>
      </c>
      <c r="B682" t="s">
        <v>85</v>
      </c>
      <c r="C682" s="10">
        <v>16.91</v>
      </c>
      <c r="D682" s="10">
        <v>15.94</v>
      </c>
      <c r="E682" s="10">
        <v>0</v>
      </c>
      <c r="F682">
        <v>10</v>
      </c>
      <c r="G682" t="s">
        <v>15</v>
      </c>
      <c r="H682" s="11">
        <v>45988</v>
      </c>
      <c r="I682" t="s">
        <v>13</v>
      </c>
      <c r="J682" s="12">
        <v>3.5</v>
      </c>
      <c r="K682" s="3">
        <v>111.23</v>
      </c>
      <c r="L682" s="3">
        <f t="shared" si="110"/>
        <v>31.78</v>
      </c>
      <c r="M682" s="13"/>
      <c r="N682">
        <f>_xlfn.XLOOKUP(G682,'Tarievensheet per persoon'!AE:AE,'Tarievensheet per persoon'!AF:AF)</f>
        <v>1.7024999999999999</v>
      </c>
      <c r="O682">
        <f>_xlfn.XLOOKUP(G682,AE:AE,'Tarievensheet per persoon'!AG:AG)</f>
        <v>1.5642</v>
      </c>
      <c r="P682">
        <f>_xlfn.XLOOKUP(G682,AE:AE,'Tarievensheet per persoon'!AH:AH)</f>
        <v>1.3552</v>
      </c>
      <c r="Q682">
        <f>_xlfn.XLOOKUP(G682,AE:AE,'Tarievensheet per persoon'!AI:AI)</f>
        <v>1.3552</v>
      </c>
      <c r="R682">
        <v>0</v>
      </c>
      <c r="S682" s="14">
        <v>2.99</v>
      </c>
      <c r="T682" s="10">
        <f t="shared" si="111"/>
        <v>31.779274999999998</v>
      </c>
      <c r="U682" s="10">
        <f t="shared" si="112"/>
        <v>40.507980259999997</v>
      </c>
      <c r="V682" s="10">
        <f t="shared" si="113"/>
        <v>41.036992699999999</v>
      </c>
      <c r="W682" s="10">
        <f t="shared" si="114"/>
        <v>52.939772599999998</v>
      </c>
      <c r="X682" s="10">
        <f t="shared" si="115"/>
        <v>58.229896999999994</v>
      </c>
      <c r="Y682" s="10">
        <f t="shared" si="116"/>
        <v>84.680519000000004</v>
      </c>
      <c r="Z682" s="10">
        <f t="shared" si="117"/>
        <v>30.242643199999996</v>
      </c>
      <c r="AA682" s="10">
        <f t="shared" si="118"/>
        <v>38.883398399999997</v>
      </c>
      <c r="AB682" s="10">
        <f t="shared" si="119"/>
        <v>43.203775999999998</v>
      </c>
      <c r="AC682" s="10">
        <f t="shared" si="120"/>
        <v>64.805663999999993</v>
      </c>
    </row>
    <row r="683" spans="1:29" x14ac:dyDescent="0.25">
      <c r="A683">
        <v>449771</v>
      </c>
      <c r="B683" t="s">
        <v>85</v>
      </c>
      <c r="C683" s="10">
        <v>16.91</v>
      </c>
      <c r="D683" s="10">
        <v>15.94</v>
      </c>
      <c r="E683" s="10">
        <v>0</v>
      </c>
      <c r="F683">
        <v>10</v>
      </c>
      <c r="G683" t="s">
        <v>15</v>
      </c>
      <c r="H683" s="11">
        <v>45988</v>
      </c>
      <c r="I683" t="s">
        <v>21</v>
      </c>
      <c r="J683" s="12">
        <v>4.5</v>
      </c>
      <c r="K683" s="3">
        <v>182.3</v>
      </c>
      <c r="L683" s="3">
        <f t="shared" si="110"/>
        <v>40.511111111111113</v>
      </c>
      <c r="M683" s="13"/>
      <c r="N683">
        <f>_xlfn.XLOOKUP(G683,'Tarievensheet per persoon'!AE:AE,'Tarievensheet per persoon'!AF:AF)</f>
        <v>1.7024999999999999</v>
      </c>
      <c r="O683">
        <f>_xlfn.XLOOKUP(G683,AE:AE,'Tarievensheet per persoon'!AG:AG)</f>
        <v>1.5642</v>
      </c>
      <c r="P683">
        <f>_xlfn.XLOOKUP(G683,AE:AE,'Tarievensheet per persoon'!AH:AH)</f>
        <v>1.3552</v>
      </c>
      <c r="Q683">
        <f>_xlfn.XLOOKUP(G683,AE:AE,'Tarievensheet per persoon'!AI:AI)</f>
        <v>1.3552</v>
      </c>
      <c r="R683">
        <v>0</v>
      </c>
      <c r="S683" s="14">
        <v>2.99</v>
      </c>
      <c r="T683" s="10">
        <f t="shared" si="111"/>
        <v>31.779274999999998</v>
      </c>
      <c r="U683" s="10">
        <f t="shared" si="112"/>
        <v>40.507980259999997</v>
      </c>
      <c r="V683" s="10">
        <f t="shared" si="113"/>
        <v>41.036992699999999</v>
      </c>
      <c r="W683" s="10">
        <f t="shared" si="114"/>
        <v>52.939772599999998</v>
      </c>
      <c r="X683" s="10">
        <f t="shared" si="115"/>
        <v>58.229896999999994</v>
      </c>
      <c r="Y683" s="10">
        <f t="shared" si="116"/>
        <v>84.680519000000004</v>
      </c>
      <c r="Z683" s="10">
        <f t="shared" si="117"/>
        <v>30.242643199999996</v>
      </c>
      <c r="AA683" s="10">
        <f t="shared" si="118"/>
        <v>38.883398399999997</v>
      </c>
      <c r="AB683" s="10">
        <f t="shared" si="119"/>
        <v>43.203775999999998</v>
      </c>
      <c r="AC683" s="10">
        <f t="shared" si="120"/>
        <v>64.805663999999993</v>
      </c>
    </row>
    <row r="684" spans="1:29" x14ac:dyDescent="0.25">
      <c r="A684">
        <v>449771</v>
      </c>
      <c r="B684" t="s">
        <v>85</v>
      </c>
      <c r="C684" s="10">
        <v>16.91</v>
      </c>
      <c r="D684" s="10">
        <v>15.94</v>
      </c>
      <c r="E684" s="10">
        <v>0</v>
      </c>
      <c r="F684">
        <v>10</v>
      </c>
      <c r="G684" t="s">
        <v>15</v>
      </c>
      <c r="H684" s="11">
        <v>45989</v>
      </c>
      <c r="I684" t="s">
        <v>13</v>
      </c>
      <c r="J684" s="12">
        <v>3.5</v>
      </c>
      <c r="K684" s="3">
        <v>111.23</v>
      </c>
      <c r="L684" s="3">
        <f t="shared" si="110"/>
        <v>31.78</v>
      </c>
      <c r="M684" s="13"/>
      <c r="N684">
        <f>_xlfn.XLOOKUP(G684,'Tarievensheet per persoon'!AE:AE,'Tarievensheet per persoon'!AF:AF)</f>
        <v>1.7024999999999999</v>
      </c>
      <c r="O684">
        <f>_xlfn.XLOOKUP(G684,AE:AE,'Tarievensheet per persoon'!AG:AG)</f>
        <v>1.5642</v>
      </c>
      <c r="P684">
        <f>_xlfn.XLOOKUP(G684,AE:AE,'Tarievensheet per persoon'!AH:AH)</f>
        <v>1.3552</v>
      </c>
      <c r="Q684">
        <f>_xlfn.XLOOKUP(G684,AE:AE,'Tarievensheet per persoon'!AI:AI)</f>
        <v>1.3552</v>
      </c>
      <c r="R684">
        <v>0</v>
      </c>
      <c r="S684" s="14">
        <v>2.99</v>
      </c>
      <c r="T684" s="10">
        <f t="shared" si="111"/>
        <v>31.779274999999998</v>
      </c>
      <c r="U684" s="10">
        <f t="shared" si="112"/>
        <v>40.507980259999997</v>
      </c>
      <c r="V684" s="10">
        <f t="shared" si="113"/>
        <v>41.036992699999999</v>
      </c>
      <c r="W684" s="10">
        <f t="shared" si="114"/>
        <v>52.939772599999998</v>
      </c>
      <c r="X684" s="10">
        <f t="shared" si="115"/>
        <v>58.229896999999994</v>
      </c>
      <c r="Y684" s="10">
        <f t="shared" si="116"/>
        <v>84.680519000000004</v>
      </c>
      <c r="Z684" s="10">
        <f t="shared" si="117"/>
        <v>30.242643199999996</v>
      </c>
      <c r="AA684" s="10">
        <f t="shared" si="118"/>
        <v>38.883398399999997</v>
      </c>
      <c r="AB684" s="10">
        <f t="shared" si="119"/>
        <v>43.203775999999998</v>
      </c>
      <c r="AC684" s="10">
        <f t="shared" si="120"/>
        <v>64.805663999999993</v>
      </c>
    </row>
    <row r="685" spans="1:29" x14ac:dyDescent="0.25">
      <c r="A685">
        <v>449771</v>
      </c>
      <c r="B685" t="s">
        <v>85</v>
      </c>
      <c r="C685" s="10">
        <v>16.91</v>
      </c>
      <c r="D685" s="10">
        <v>15.94</v>
      </c>
      <c r="E685" s="10">
        <v>0</v>
      </c>
      <c r="F685">
        <v>10</v>
      </c>
      <c r="G685" t="s">
        <v>15</v>
      </c>
      <c r="H685" s="11">
        <v>45989</v>
      </c>
      <c r="I685" t="s">
        <v>21</v>
      </c>
      <c r="J685" s="12">
        <v>4.5</v>
      </c>
      <c r="K685" s="3">
        <v>182.3</v>
      </c>
      <c r="L685" s="3">
        <f t="shared" si="110"/>
        <v>40.511111111111113</v>
      </c>
      <c r="M685" s="13"/>
      <c r="N685">
        <f>_xlfn.XLOOKUP(G685,'Tarievensheet per persoon'!AE:AE,'Tarievensheet per persoon'!AF:AF)</f>
        <v>1.7024999999999999</v>
      </c>
      <c r="O685">
        <f>_xlfn.XLOOKUP(G685,AE:AE,'Tarievensheet per persoon'!AG:AG)</f>
        <v>1.5642</v>
      </c>
      <c r="P685">
        <f>_xlfn.XLOOKUP(G685,AE:AE,'Tarievensheet per persoon'!AH:AH)</f>
        <v>1.3552</v>
      </c>
      <c r="Q685">
        <f>_xlfn.XLOOKUP(G685,AE:AE,'Tarievensheet per persoon'!AI:AI)</f>
        <v>1.3552</v>
      </c>
      <c r="R685">
        <v>0</v>
      </c>
      <c r="S685" s="14">
        <v>2.99</v>
      </c>
      <c r="T685" s="10">
        <f t="shared" si="111"/>
        <v>31.779274999999998</v>
      </c>
      <c r="U685" s="10">
        <f t="shared" si="112"/>
        <v>40.507980259999997</v>
      </c>
      <c r="V685" s="10">
        <f t="shared" si="113"/>
        <v>41.036992699999999</v>
      </c>
      <c r="W685" s="10">
        <f t="shared" si="114"/>
        <v>52.939772599999998</v>
      </c>
      <c r="X685" s="10">
        <f t="shared" si="115"/>
        <v>58.229896999999994</v>
      </c>
      <c r="Y685" s="10">
        <f t="shared" si="116"/>
        <v>84.680519000000004</v>
      </c>
      <c r="Z685" s="10">
        <f t="shared" si="117"/>
        <v>30.242643199999996</v>
      </c>
      <c r="AA685" s="10">
        <f t="shared" si="118"/>
        <v>38.883398399999997</v>
      </c>
      <c r="AB685" s="10">
        <f t="shared" si="119"/>
        <v>43.203775999999998</v>
      </c>
      <c r="AC685" s="10">
        <f t="shared" si="120"/>
        <v>64.805663999999993</v>
      </c>
    </row>
    <row r="686" spans="1:29" x14ac:dyDescent="0.25">
      <c r="A686">
        <v>450962</v>
      </c>
      <c r="B686" t="s">
        <v>87</v>
      </c>
      <c r="C686" s="10">
        <v>15.89</v>
      </c>
      <c r="D686" s="10">
        <v>14.98</v>
      </c>
      <c r="E686" s="10">
        <v>0</v>
      </c>
      <c r="F686">
        <v>2</v>
      </c>
      <c r="G686" t="s">
        <v>15</v>
      </c>
      <c r="H686" s="11">
        <v>45985</v>
      </c>
      <c r="I686" t="s">
        <v>13</v>
      </c>
      <c r="J686" s="12">
        <v>8</v>
      </c>
      <c r="K686" s="3">
        <v>240.32</v>
      </c>
      <c r="L686" s="3">
        <f t="shared" si="110"/>
        <v>30.04</v>
      </c>
      <c r="M686" s="13"/>
      <c r="N686">
        <f>_xlfn.XLOOKUP(G686,'Tarievensheet per persoon'!AE:AE,'Tarievensheet per persoon'!AF:AF)</f>
        <v>1.7024999999999999</v>
      </c>
      <c r="O686">
        <f>_xlfn.XLOOKUP(G686,AE:AE,'Tarievensheet per persoon'!AG:AG)</f>
        <v>1.5642</v>
      </c>
      <c r="P686">
        <f>_xlfn.XLOOKUP(G686,AE:AE,'Tarievensheet per persoon'!AH:AH)</f>
        <v>1.3552</v>
      </c>
      <c r="Q686">
        <f>_xlfn.XLOOKUP(G686,AE:AE,'Tarievensheet per persoon'!AI:AI)</f>
        <v>1.3552</v>
      </c>
      <c r="R686">
        <v>0</v>
      </c>
      <c r="S686" s="14">
        <v>2.99</v>
      </c>
      <c r="T686" s="10">
        <f t="shared" si="111"/>
        <v>30.042724999999997</v>
      </c>
      <c r="U686" s="10">
        <f t="shared" si="112"/>
        <v>38.244920539999995</v>
      </c>
      <c r="V686" s="10">
        <f t="shared" si="113"/>
        <v>38.7420233</v>
      </c>
      <c r="W686" s="10">
        <f t="shared" si="114"/>
        <v>49.926835400000002</v>
      </c>
      <c r="X686" s="10">
        <f t="shared" si="115"/>
        <v>54.897863000000001</v>
      </c>
      <c r="Y686" s="10">
        <f t="shared" si="116"/>
        <v>79.753000999999998</v>
      </c>
      <c r="Z686" s="10">
        <f t="shared" si="117"/>
        <v>28.421254399999995</v>
      </c>
      <c r="AA686" s="10">
        <f t="shared" si="118"/>
        <v>36.541612800000003</v>
      </c>
      <c r="AB686" s="10">
        <f t="shared" si="119"/>
        <v>40.601792000000003</v>
      </c>
      <c r="AC686" s="10">
        <f t="shared" si="120"/>
        <v>60.902687999999998</v>
      </c>
    </row>
    <row r="687" spans="1:29" x14ac:dyDescent="0.25">
      <c r="A687">
        <v>450962</v>
      </c>
      <c r="B687" t="s">
        <v>87</v>
      </c>
      <c r="C687" s="10">
        <v>15.89</v>
      </c>
      <c r="D687" s="10">
        <v>14.98</v>
      </c>
      <c r="E687" s="10">
        <v>0</v>
      </c>
      <c r="F687">
        <v>2</v>
      </c>
      <c r="G687" t="s">
        <v>15</v>
      </c>
      <c r="H687" s="11">
        <v>45986</v>
      </c>
      <c r="I687" t="s">
        <v>13</v>
      </c>
      <c r="J687" s="12">
        <v>8</v>
      </c>
      <c r="K687" s="3">
        <v>240.32</v>
      </c>
      <c r="L687" s="3">
        <f t="shared" si="110"/>
        <v>30.04</v>
      </c>
      <c r="M687" s="13"/>
      <c r="N687">
        <f>_xlfn.XLOOKUP(G687,'Tarievensheet per persoon'!AE:AE,'Tarievensheet per persoon'!AF:AF)</f>
        <v>1.7024999999999999</v>
      </c>
      <c r="O687">
        <f>_xlfn.XLOOKUP(G687,AE:AE,'Tarievensheet per persoon'!AG:AG)</f>
        <v>1.5642</v>
      </c>
      <c r="P687">
        <f>_xlfn.XLOOKUP(G687,AE:AE,'Tarievensheet per persoon'!AH:AH)</f>
        <v>1.3552</v>
      </c>
      <c r="Q687">
        <f>_xlfn.XLOOKUP(G687,AE:AE,'Tarievensheet per persoon'!AI:AI)</f>
        <v>1.3552</v>
      </c>
      <c r="R687">
        <v>0</v>
      </c>
      <c r="S687" s="14">
        <v>2.99</v>
      </c>
      <c r="T687" s="10">
        <f t="shared" si="111"/>
        <v>30.042724999999997</v>
      </c>
      <c r="U687" s="10">
        <f t="shared" si="112"/>
        <v>38.244920539999995</v>
      </c>
      <c r="V687" s="10">
        <f t="shared" si="113"/>
        <v>38.7420233</v>
      </c>
      <c r="W687" s="10">
        <f t="shared" si="114"/>
        <v>49.926835400000002</v>
      </c>
      <c r="X687" s="10">
        <f t="shared" si="115"/>
        <v>54.897863000000001</v>
      </c>
      <c r="Y687" s="10">
        <f t="shared" si="116"/>
        <v>79.753000999999998</v>
      </c>
      <c r="Z687" s="10">
        <f t="shared" si="117"/>
        <v>28.421254399999995</v>
      </c>
      <c r="AA687" s="10">
        <f t="shared" si="118"/>
        <v>36.541612800000003</v>
      </c>
      <c r="AB687" s="10">
        <f t="shared" si="119"/>
        <v>40.601792000000003</v>
      </c>
      <c r="AC687" s="10">
        <f t="shared" si="120"/>
        <v>60.902687999999998</v>
      </c>
    </row>
    <row r="688" spans="1:29" x14ac:dyDescent="0.25">
      <c r="A688">
        <v>450962</v>
      </c>
      <c r="B688" t="s">
        <v>87</v>
      </c>
      <c r="C688" s="10">
        <v>15.89</v>
      </c>
      <c r="D688" s="10">
        <v>14.98</v>
      </c>
      <c r="E688" s="10">
        <v>0</v>
      </c>
      <c r="F688">
        <v>2</v>
      </c>
      <c r="G688" t="s">
        <v>15</v>
      </c>
      <c r="H688" s="11">
        <v>45987</v>
      </c>
      <c r="I688" t="s">
        <v>13</v>
      </c>
      <c r="J688" s="12">
        <v>8</v>
      </c>
      <c r="K688" s="3">
        <v>240.32</v>
      </c>
      <c r="L688" s="3">
        <f t="shared" si="110"/>
        <v>30.04</v>
      </c>
      <c r="M688" s="13"/>
      <c r="N688">
        <f>_xlfn.XLOOKUP(G688,'Tarievensheet per persoon'!AE:AE,'Tarievensheet per persoon'!AF:AF)</f>
        <v>1.7024999999999999</v>
      </c>
      <c r="O688">
        <f>_xlfn.XLOOKUP(G688,AE:AE,'Tarievensheet per persoon'!AG:AG)</f>
        <v>1.5642</v>
      </c>
      <c r="P688">
        <f>_xlfn.XLOOKUP(G688,AE:AE,'Tarievensheet per persoon'!AH:AH)</f>
        <v>1.3552</v>
      </c>
      <c r="Q688">
        <f>_xlfn.XLOOKUP(G688,AE:AE,'Tarievensheet per persoon'!AI:AI)</f>
        <v>1.3552</v>
      </c>
      <c r="R688">
        <v>0</v>
      </c>
      <c r="S688" s="14">
        <v>2.99</v>
      </c>
      <c r="T688" s="10">
        <f t="shared" si="111"/>
        <v>30.042724999999997</v>
      </c>
      <c r="U688" s="10">
        <f t="shared" si="112"/>
        <v>38.244920539999995</v>
      </c>
      <c r="V688" s="10">
        <f t="shared" si="113"/>
        <v>38.7420233</v>
      </c>
      <c r="W688" s="10">
        <f t="shared" si="114"/>
        <v>49.926835400000002</v>
      </c>
      <c r="X688" s="10">
        <f t="shared" si="115"/>
        <v>54.897863000000001</v>
      </c>
      <c r="Y688" s="10">
        <f t="shared" si="116"/>
        <v>79.753000999999998</v>
      </c>
      <c r="Z688" s="10">
        <f t="shared" si="117"/>
        <v>28.421254399999995</v>
      </c>
      <c r="AA688" s="10">
        <f t="shared" si="118"/>
        <v>36.541612800000003</v>
      </c>
      <c r="AB688" s="10">
        <f t="shared" si="119"/>
        <v>40.601792000000003</v>
      </c>
      <c r="AC688" s="10">
        <f t="shared" si="120"/>
        <v>60.902687999999998</v>
      </c>
    </row>
    <row r="689" spans="1:29" x14ac:dyDescent="0.25">
      <c r="A689">
        <v>450962</v>
      </c>
      <c r="B689" t="s">
        <v>87</v>
      </c>
      <c r="C689" s="10">
        <v>15.89</v>
      </c>
      <c r="D689" s="10">
        <v>14.98</v>
      </c>
      <c r="E689" s="10">
        <v>0</v>
      </c>
      <c r="F689">
        <v>2</v>
      </c>
      <c r="G689" t="s">
        <v>15</v>
      </c>
      <c r="H689" s="11">
        <v>45988</v>
      </c>
      <c r="I689" t="s">
        <v>13</v>
      </c>
      <c r="J689" s="12">
        <v>8</v>
      </c>
      <c r="K689" s="3">
        <v>240.32</v>
      </c>
      <c r="L689" s="3">
        <f t="shared" si="110"/>
        <v>30.04</v>
      </c>
      <c r="M689" s="13"/>
      <c r="N689">
        <f>_xlfn.XLOOKUP(G689,'Tarievensheet per persoon'!AE:AE,'Tarievensheet per persoon'!AF:AF)</f>
        <v>1.7024999999999999</v>
      </c>
      <c r="O689">
        <f>_xlfn.XLOOKUP(G689,AE:AE,'Tarievensheet per persoon'!AG:AG)</f>
        <v>1.5642</v>
      </c>
      <c r="P689">
        <f>_xlfn.XLOOKUP(G689,AE:AE,'Tarievensheet per persoon'!AH:AH)</f>
        <v>1.3552</v>
      </c>
      <c r="Q689">
        <f>_xlfn.XLOOKUP(G689,AE:AE,'Tarievensheet per persoon'!AI:AI)</f>
        <v>1.3552</v>
      </c>
      <c r="R689">
        <v>0</v>
      </c>
      <c r="S689" s="14">
        <v>2.99</v>
      </c>
      <c r="T689" s="10">
        <f t="shared" si="111"/>
        <v>30.042724999999997</v>
      </c>
      <c r="U689" s="10">
        <f t="shared" si="112"/>
        <v>38.244920539999995</v>
      </c>
      <c r="V689" s="10">
        <f t="shared" si="113"/>
        <v>38.7420233</v>
      </c>
      <c r="W689" s="10">
        <f t="shared" si="114"/>
        <v>49.926835400000002</v>
      </c>
      <c r="X689" s="10">
        <f t="shared" si="115"/>
        <v>54.897863000000001</v>
      </c>
      <c r="Y689" s="10">
        <f t="shared" si="116"/>
        <v>79.753000999999998</v>
      </c>
      <c r="Z689" s="10">
        <f t="shared" si="117"/>
        <v>28.421254399999995</v>
      </c>
      <c r="AA689" s="10">
        <f t="shared" si="118"/>
        <v>36.541612800000003</v>
      </c>
      <c r="AB689" s="10">
        <f t="shared" si="119"/>
        <v>40.601792000000003</v>
      </c>
      <c r="AC689" s="10">
        <f t="shared" si="120"/>
        <v>60.902687999999998</v>
      </c>
    </row>
    <row r="690" spans="1:29" x14ac:dyDescent="0.25">
      <c r="A690">
        <v>450962</v>
      </c>
      <c r="B690" t="s">
        <v>87</v>
      </c>
      <c r="C690" s="10">
        <v>15.89</v>
      </c>
      <c r="D690" s="10">
        <v>14.98</v>
      </c>
      <c r="E690" s="10">
        <v>0</v>
      </c>
      <c r="F690">
        <v>2</v>
      </c>
      <c r="G690" t="s">
        <v>15</v>
      </c>
      <c r="H690" s="11">
        <v>45989</v>
      </c>
      <c r="I690" t="s">
        <v>13</v>
      </c>
      <c r="J690" s="12">
        <v>7.5</v>
      </c>
      <c r="K690" s="3">
        <v>225.3</v>
      </c>
      <c r="L690" s="3">
        <f t="shared" si="110"/>
        <v>30.040000000000003</v>
      </c>
      <c r="M690" s="13"/>
      <c r="N690">
        <f>_xlfn.XLOOKUP(G690,'Tarievensheet per persoon'!AE:AE,'Tarievensheet per persoon'!AF:AF)</f>
        <v>1.7024999999999999</v>
      </c>
      <c r="O690">
        <f>_xlfn.XLOOKUP(G690,AE:AE,'Tarievensheet per persoon'!AG:AG)</f>
        <v>1.5642</v>
      </c>
      <c r="P690">
        <f>_xlfn.XLOOKUP(G690,AE:AE,'Tarievensheet per persoon'!AH:AH)</f>
        <v>1.3552</v>
      </c>
      <c r="Q690">
        <f>_xlfn.XLOOKUP(G690,AE:AE,'Tarievensheet per persoon'!AI:AI)</f>
        <v>1.3552</v>
      </c>
      <c r="R690">
        <v>0</v>
      </c>
      <c r="S690" s="14">
        <v>2.99</v>
      </c>
      <c r="T690" s="10">
        <f t="shared" si="111"/>
        <v>30.042724999999997</v>
      </c>
      <c r="U690" s="10">
        <f t="shared" si="112"/>
        <v>38.244920539999995</v>
      </c>
      <c r="V690" s="10">
        <f t="shared" si="113"/>
        <v>38.7420233</v>
      </c>
      <c r="W690" s="10">
        <f t="shared" si="114"/>
        <v>49.926835400000002</v>
      </c>
      <c r="X690" s="10">
        <f t="shared" si="115"/>
        <v>54.897863000000001</v>
      </c>
      <c r="Y690" s="10">
        <f t="shared" si="116"/>
        <v>79.753000999999998</v>
      </c>
      <c r="Z690" s="10">
        <f t="shared" si="117"/>
        <v>28.421254399999995</v>
      </c>
      <c r="AA690" s="10">
        <f t="shared" si="118"/>
        <v>36.541612800000003</v>
      </c>
      <c r="AB690" s="10">
        <f t="shared" si="119"/>
        <v>40.601792000000003</v>
      </c>
      <c r="AC690" s="10">
        <f t="shared" si="120"/>
        <v>60.902687999999998</v>
      </c>
    </row>
    <row r="691" spans="1:29" x14ac:dyDescent="0.25">
      <c r="A691">
        <v>451013</v>
      </c>
      <c r="B691" t="s">
        <v>88</v>
      </c>
      <c r="C691" s="10">
        <v>15.89</v>
      </c>
      <c r="D691" s="10">
        <v>14.98</v>
      </c>
      <c r="E691" s="10">
        <v>0</v>
      </c>
      <c r="F691">
        <v>2</v>
      </c>
      <c r="G691" t="s">
        <v>15</v>
      </c>
      <c r="H691" s="11">
        <v>45985</v>
      </c>
      <c r="I691" t="s">
        <v>13</v>
      </c>
      <c r="J691" s="12">
        <v>8</v>
      </c>
      <c r="K691" s="3">
        <v>240.32</v>
      </c>
      <c r="L691" s="3">
        <f t="shared" si="110"/>
        <v>30.04</v>
      </c>
      <c r="M691" s="13"/>
      <c r="N691">
        <f>_xlfn.XLOOKUP(G691,'Tarievensheet per persoon'!AE:AE,'Tarievensheet per persoon'!AF:AF)</f>
        <v>1.7024999999999999</v>
      </c>
      <c r="O691">
        <f>_xlfn.XLOOKUP(G691,AE:AE,'Tarievensheet per persoon'!AG:AG)</f>
        <v>1.5642</v>
      </c>
      <c r="P691">
        <f>_xlfn.XLOOKUP(G691,AE:AE,'Tarievensheet per persoon'!AH:AH)</f>
        <v>1.3552</v>
      </c>
      <c r="Q691">
        <f>_xlfn.XLOOKUP(G691,AE:AE,'Tarievensheet per persoon'!AI:AI)</f>
        <v>1.3552</v>
      </c>
      <c r="R691">
        <v>0</v>
      </c>
      <c r="S691" s="14">
        <v>2.99</v>
      </c>
      <c r="T691" s="10">
        <f t="shared" si="111"/>
        <v>30.042724999999997</v>
      </c>
      <c r="U691" s="10">
        <f t="shared" si="112"/>
        <v>38.244920539999995</v>
      </c>
      <c r="V691" s="10">
        <f t="shared" si="113"/>
        <v>38.7420233</v>
      </c>
      <c r="W691" s="10">
        <f t="shared" si="114"/>
        <v>49.926835400000002</v>
      </c>
      <c r="X691" s="10">
        <f t="shared" si="115"/>
        <v>54.897863000000001</v>
      </c>
      <c r="Y691" s="10">
        <f t="shared" si="116"/>
        <v>79.753000999999998</v>
      </c>
      <c r="Z691" s="10">
        <f t="shared" si="117"/>
        <v>28.421254399999995</v>
      </c>
      <c r="AA691" s="10">
        <f t="shared" si="118"/>
        <v>36.541612800000003</v>
      </c>
      <c r="AB691" s="10">
        <f t="shared" si="119"/>
        <v>40.601792000000003</v>
      </c>
      <c r="AC691" s="10">
        <f t="shared" si="120"/>
        <v>60.902687999999998</v>
      </c>
    </row>
    <row r="692" spans="1:29" x14ac:dyDescent="0.25">
      <c r="A692">
        <v>451013</v>
      </c>
      <c r="B692" t="s">
        <v>88</v>
      </c>
      <c r="C692" s="10">
        <v>15.89</v>
      </c>
      <c r="D692" s="10">
        <v>14.98</v>
      </c>
      <c r="E692" s="10">
        <v>0</v>
      </c>
      <c r="F692">
        <v>2</v>
      </c>
      <c r="G692" t="s">
        <v>15</v>
      </c>
      <c r="H692" s="11">
        <v>45986</v>
      </c>
      <c r="I692" t="s">
        <v>13</v>
      </c>
      <c r="J692" s="12">
        <v>8</v>
      </c>
      <c r="K692" s="3">
        <v>240.32</v>
      </c>
      <c r="L692" s="3">
        <f t="shared" si="110"/>
        <v>30.04</v>
      </c>
      <c r="M692" s="13"/>
      <c r="N692">
        <f>_xlfn.XLOOKUP(G692,'Tarievensheet per persoon'!AE:AE,'Tarievensheet per persoon'!AF:AF)</f>
        <v>1.7024999999999999</v>
      </c>
      <c r="O692">
        <f>_xlfn.XLOOKUP(G692,AE:AE,'Tarievensheet per persoon'!AG:AG)</f>
        <v>1.5642</v>
      </c>
      <c r="P692">
        <f>_xlfn.XLOOKUP(G692,AE:AE,'Tarievensheet per persoon'!AH:AH)</f>
        <v>1.3552</v>
      </c>
      <c r="Q692">
        <f>_xlfn.XLOOKUP(G692,AE:AE,'Tarievensheet per persoon'!AI:AI)</f>
        <v>1.3552</v>
      </c>
      <c r="R692">
        <v>0</v>
      </c>
      <c r="S692" s="14">
        <v>2.99</v>
      </c>
      <c r="T692" s="10">
        <f t="shared" si="111"/>
        <v>30.042724999999997</v>
      </c>
      <c r="U692" s="10">
        <f t="shared" si="112"/>
        <v>38.244920539999995</v>
      </c>
      <c r="V692" s="10">
        <f t="shared" si="113"/>
        <v>38.7420233</v>
      </c>
      <c r="W692" s="10">
        <f t="shared" si="114"/>
        <v>49.926835400000002</v>
      </c>
      <c r="X692" s="10">
        <f t="shared" si="115"/>
        <v>54.897863000000001</v>
      </c>
      <c r="Y692" s="10">
        <f t="shared" si="116"/>
        <v>79.753000999999998</v>
      </c>
      <c r="Z692" s="10">
        <f t="shared" si="117"/>
        <v>28.421254399999995</v>
      </c>
      <c r="AA692" s="10">
        <f t="shared" si="118"/>
        <v>36.541612800000003</v>
      </c>
      <c r="AB692" s="10">
        <f t="shared" si="119"/>
        <v>40.601792000000003</v>
      </c>
      <c r="AC692" s="10">
        <f t="shared" si="120"/>
        <v>60.902687999999998</v>
      </c>
    </row>
    <row r="693" spans="1:29" x14ac:dyDescent="0.25">
      <c r="A693">
        <v>451013</v>
      </c>
      <c r="B693" t="s">
        <v>88</v>
      </c>
      <c r="C693" s="10">
        <v>15.89</v>
      </c>
      <c r="D693" s="10">
        <v>14.98</v>
      </c>
      <c r="E693" s="10">
        <v>0</v>
      </c>
      <c r="F693">
        <v>2</v>
      </c>
      <c r="G693" t="s">
        <v>15</v>
      </c>
      <c r="H693" s="11">
        <v>45987</v>
      </c>
      <c r="I693" t="s">
        <v>13</v>
      </c>
      <c r="J693" s="12">
        <v>8</v>
      </c>
      <c r="K693" s="3">
        <v>240.32</v>
      </c>
      <c r="L693" s="3">
        <f t="shared" si="110"/>
        <v>30.04</v>
      </c>
      <c r="M693" s="13"/>
      <c r="N693">
        <f>_xlfn.XLOOKUP(G693,'Tarievensheet per persoon'!AE:AE,'Tarievensheet per persoon'!AF:AF)</f>
        <v>1.7024999999999999</v>
      </c>
      <c r="O693">
        <f>_xlfn.XLOOKUP(G693,AE:AE,'Tarievensheet per persoon'!AG:AG)</f>
        <v>1.5642</v>
      </c>
      <c r="P693">
        <f>_xlfn.XLOOKUP(G693,AE:AE,'Tarievensheet per persoon'!AH:AH)</f>
        <v>1.3552</v>
      </c>
      <c r="Q693">
        <f>_xlfn.XLOOKUP(G693,AE:AE,'Tarievensheet per persoon'!AI:AI)</f>
        <v>1.3552</v>
      </c>
      <c r="R693">
        <v>0</v>
      </c>
      <c r="S693" s="14">
        <v>2.99</v>
      </c>
      <c r="T693" s="10">
        <f t="shared" si="111"/>
        <v>30.042724999999997</v>
      </c>
      <c r="U693" s="10">
        <f t="shared" si="112"/>
        <v>38.244920539999995</v>
      </c>
      <c r="V693" s="10">
        <f t="shared" si="113"/>
        <v>38.7420233</v>
      </c>
      <c r="W693" s="10">
        <f t="shared" si="114"/>
        <v>49.926835400000002</v>
      </c>
      <c r="X693" s="10">
        <f t="shared" si="115"/>
        <v>54.897863000000001</v>
      </c>
      <c r="Y693" s="10">
        <f t="shared" si="116"/>
        <v>79.753000999999998</v>
      </c>
      <c r="Z693" s="10">
        <f t="shared" si="117"/>
        <v>28.421254399999995</v>
      </c>
      <c r="AA693" s="10">
        <f t="shared" si="118"/>
        <v>36.541612800000003</v>
      </c>
      <c r="AB693" s="10">
        <f t="shared" si="119"/>
        <v>40.601792000000003</v>
      </c>
      <c r="AC693" s="10">
        <f t="shared" si="120"/>
        <v>60.902687999999998</v>
      </c>
    </row>
    <row r="694" spans="1:29" x14ac:dyDescent="0.25">
      <c r="A694">
        <v>451013</v>
      </c>
      <c r="B694" t="s">
        <v>88</v>
      </c>
      <c r="C694" s="10">
        <v>15.89</v>
      </c>
      <c r="D694" s="10">
        <v>14.98</v>
      </c>
      <c r="E694" s="10">
        <v>0</v>
      </c>
      <c r="F694">
        <v>2</v>
      </c>
      <c r="G694" t="s">
        <v>15</v>
      </c>
      <c r="H694" s="11">
        <v>45988</v>
      </c>
      <c r="I694" t="s">
        <v>13</v>
      </c>
      <c r="J694" s="12">
        <v>8</v>
      </c>
      <c r="K694" s="3">
        <v>240.32</v>
      </c>
      <c r="L694" s="3">
        <f t="shared" si="110"/>
        <v>30.04</v>
      </c>
      <c r="M694" s="13"/>
      <c r="N694">
        <f>_xlfn.XLOOKUP(G694,'Tarievensheet per persoon'!AE:AE,'Tarievensheet per persoon'!AF:AF)</f>
        <v>1.7024999999999999</v>
      </c>
      <c r="O694">
        <f>_xlfn.XLOOKUP(G694,AE:AE,'Tarievensheet per persoon'!AG:AG)</f>
        <v>1.5642</v>
      </c>
      <c r="P694">
        <f>_xlfn.XLOOKUP(G694,AE:AE,'Tarievensheet per persoon'!AH:AH)</f>
        <v>1.3552</v>
      </c>
      <c r="Q694">
        <f>_xlfn.XLOOKUP(G694,AE:AE,'Tarievensheet per persoon'!AI:AI)</f>
        <v>1.3552</v>
      </c>
      <c r="R694">
        <v>0</v>
      </c>
      <c r="S694" s="14">
        <v>2.99</v>
      </c>
      <c r="T694" s="10">
        <f t="shared" si="111"/>
        <v>30.042724999999997</v>
      </c>
      <c r="U694" s="10">
        <f t="shared" si="112"/>
        <v>38.244920539999995</v>
      </c>
      <c r="V694" s="10">
        <f t="shared" si="113"/>
        <v>38.7420233</v>
      </c>
      <c r="W694" s="10">
        <f t="shared" si="114"/>
        <v>49.926835400000002</v>
      </c>
      <c r="X694" s="10">
        <f t="shared" si="115"/>
        <v>54.897863000000001</v>
      </c>
      <c r="Y694" s="10">
        <f t="shared" si="116"/>
        <v>79.753000999999998</v>
      </c>
      <c r="Z694" s="10">
        <f t="shared" si="117"/>
        <v>28.421254399999995</v>
      </c>
      <c r="AA694" s="10">
        <f t="shared" si="118"/>
        <v>36.541612800000003</v>
      </c>
      <c r="AB694" s="10">
        <f t="shared" si="119"/>
        <v>40.601792000000003</v>
      </c>
      <c r="AC694" s="10">
        <f t="shared" si="120"/>
        <v>60.902687999999998</v>
      </c>
    </row>
    <row r="695" spans="1:29" x14ac:dyDescent="0.25">
      <c r="A695">
        <v>451013</v>
      </c>
      <c r="B695" t="s">
        <v>88</v>
      </c>
      <c r="C695" s="10">
        <v>15.89</v>
      </c>
      <c r="D695" s="10">
        <v>14.98</v>
      </c>
      <c r="E695" s="10">
        <v>0</v>
      </c>
      <c r="F695">
        <v>2</v>
      </c>
      <c r="G695" t="s">
        <v>15</v>
      </c>
      <c r="H695" s="11">
        <v>45989</v>
      </c>
      <c r="I695" t="s">
        <v>13</v>
      </c>
      <c r="J695" s="12">
        <v>7.5</v>
      </c>
      <c r="K695" s="3">
        <v>225.3</v>
      </c>
      <c r="L695" s="3">
        <f t="shared" si="110"/>
        <v>30.040000000000003</v>
      </c>
      <c r="M695" s="13"/>
      <c r="N695">
        <f>_xlfn.XLOOKUP(G695,'Tarievensheet per persoon'!AE:AE,'Tarievensheet per persoon'!AF:AF)</f>
        <v>1.7024999999999999</v>
      </c>
      <c r="O695">
        <f>_xlfn.XLOOKUP(G695,AE:AE,'Tarievensheet per persoon'!AG:AG)</f>
        <v>1.5642</v>
      </c>
      <c r="P695">
        <f>_xlfn.XLOOKUP(G695,AE:AE,'Tarievensheet per persoon'!AH:AH)</f>
        <v>1.3552</v>
      </c>
      <c r="Q695">
        <f>_xlfn.XLOOKUP(G695,AE:AE,'Tarievensheet per persoon'!AI:AI)</f>
        <v>1.3552</v>
      </c>
      <c r="R695">
        <v>0</v>
      </c>
      <c r="S695" s="14">
        <v>2.99</v>
      </c>
      <c r="T695" s="10">
        <f t="shared" si="111"/>
        <v>30.042724999999997</v>
      </c>
      <c r="U695" s="10">
        <f t="shared" si="112"/>
        <v>38.244920539999995</v>
      </c>
      <c r="V695" s="10">
        <f t="shared" si="113"/>
        <v>38.7420233</v>
      </c>
      <c r="W695" s="10">
        <f t="shared" si="114"/>
        <v>49.926835400000002</v>
      </c>
      <c r="X695" s="10">
        <f t="shared" si="115"/>
        <v>54.897863000000001</v>
      </c>
      <c r="Y695" s="10">
        <f t="shared" si="116"/>
        <v>79.753000999999998</v>
      </c>
      <c r="Z695" s="10">
        <f t="shared" si="117"/>
        <v>28.421254399999995</v>
      </c>
      <c r="AA695" s="10">
        <f t="shared" si="118"/>
        <v>36.541612800000003</v>
      </c>
      <c r="AB695" s="10">
        <f t="shared" si="119"/>
        <v>40.601792000000003</v>
      </c>
      <c r="AC695" s="10">
        <f t="shared" si="120"/>
        <v>60.902687999999998</v>
      </c>
    </row>
    <row r="696" spans="1:29" x14ac:dyDescent="0.25">
      <c r="A696">
        <v>451234</v>
      </c>
      <c r="B696" t="s">
        <v>89</v>
      </c>
      <c r="C696" s="10">
        <v>15.89</v>
      </c>
      <c r="D696" s="10">
        <v>14.98</v>
      </c>
      <c r="E696" s="10">
        <v>0</v>
      </c>
      <c r="F696">
        <v>6</v>
      </c>
      <c r="G696" t="s">
        <v>15</v>
      </c>
      <c r="H696" s="11">
        <v>45985</v>
      </c>
      <c r="I696" t="s">
        <v>13</v>
      </c>
      <c r="J696" s="12">
        <v>3</v>
      </c>
      <c r="K696" s="3">
        <v>90.12</v>
      </c>
      <c r="L696" s="3">
        <f t="shared" si="110"/>
        <v>30.040000000000003</v>
      </c>
      <c r="M696" s="13"/>
      <c r="N696">
        <f>_xlfn.XLOOKUP(G696,'Tarievensheet per persoon'!AE:AE,'Tarievensheet per persoon'!AF:AF)</f>
        <v>1.7024999999999999</v>
      </c>
      <c r="O696">
        <f>_xlfn.XLOOKUP(G696,AE:AE,'Tarievensheet per persoon'!AG:AG)</f>
        <v>1.5642</v>
      </c>
      <c r="P696">
        <f>_xlfn.XLOOKUP(G696,AE:AE,'Tarievensheet per persoon'!AH:AH)</f>
        <v>1.3552</v>
      </c>
      <c r="Q696">
        <f>_xlfn.XLOOKUP(G696,AE:AE,'Tarievensheet per persoon'!AI:AI)</f>
        <v>1.3552</v>
      </c>
      <c r="R696">
        <v>0</v>
      </c>
      <c r="S696" s="14">
        <v>2.99</v>
      </c>
      <c r="T696" s="10">
        <f t="shared" si="111"/>
        <v>30.042724999999997</v>
      </c>
      <c r="U696" s="10">
        <f t="shared" si="112"/>
        <v>38.244920539999995</v>
      </c>
      <c r="V696" s="10">
        <f t="shared" si="113"/>
        <v>38.7420233</v>
      </c>
      <c r="W696" s="10">
        <f t="shared" si="114"/>
        <v>49.926835400000002</v>
      </c>
      <c r="X696" s="10">
        <f t="shared" si="115"/>
        <v>54.897863000000001</v>
      </c>
      <c r="Y696" s="10">
        <f t="shared" si="116"/>
        <v>79.753000999999998</v>
      </c>
      <c r="Z696" s="10">
        <f t="shared" si="117"/>
        <v>28.421254399999995</v>
      </c>
      <c r="AA696" s="10">
        <f t="shared" si="118"/>
        <v>36.541612800000003</v>
      </c>
      <c r="AB696" s="10">
        <f t="shared" si="119"/>
        <v>40.601792000000003</v>
      </c>
      <c r="AC696" s="10">
        <f t="shared" si="120"/>
        <v>60.902687999999998</v>
      </c>
    </row>
    <row r="697" spans="1:29" x14ac:dyDescent="0.25">
      <c r="A697">
        <v>451234</v>
      </c>
      <c r="B697" t="s">
        <v>89</v>
      </c>
      <c r="C697" s="10">
        <v>15.89</v>
      </c>
      <c r="D697" s="10">
        <v>14.98</v>
      </c>
      <c r="E697" s="10">
        <v>0</v>
      </c>
      <c r="F697">
        <v>6</v>
      </c>
      <c r="G697" t="s">
        <v>15</v>
      </c>
      <c r="H697" s="11">
        <v>45985</v>
      </c>
      <c r="I697" t="s">
        <v>21</v>
      </c>
      <c r="J697" s="12">
        <v>4.5</v>
      </c>
      <c r="K697" s="3">
        <v>172.08</v>
      </c>
      <c r="L697" s="3">
        <f t="shared" si="110"/>
        <v>38.24</v>
      </c>
      <c r="M697" s="13"/>
      <c r="N697">
        <f>_xlfn.XLOOKUP(G697,'Tarievensheet per persoon'!AE:AE,'Tarievensheet per persoon'!AF:AF)</f>
        <v>1.7024999999999999</v>
      </c>
      <c r="O697">
        <f>_xlfn.XLOOKUP(G697,AE:AE,'Tarievensheet per persoon'!AG:AG)</f>
        <v>1.5642</v>
      </c>
      <c r="P697">
        <f>_xlfn.XLOOKUP(G697,AE:AE,'Tarievensheet per persoon'!AH:AH)</f>
        <v>1.3552</v>
      </c>
      <c r="Q697">
        <f>_xlfn.XLOOKUP(G697,AE:AE,'Tarievensheet per persoon'!AI:AI)</f>
        <v>1.3552</v>
      </c>
      <c r="R697">
        <v>0</v>
      </c>
      <c r="S697" s="14">
        <v>2.99</v>
      </c>
      <c r="T697" s="10">
        <f t="shared" si="111"/>
        <v>30.042724999999997</v>
      </c>
      <c r="U697" s="10">
        <f t="shared" si="112"/>
        <v>38.244920539999995</v>
      </c>
      <c r="V697" s="10">
        <f t="shared" si="113"/>
        <v>38.7420233</v>
      </c>
      <c r="W697" s="10">
        <f t="shared" si="114"/>
        <v>49.926835400000002</v>
      </c>
      <c r="X697" s="10">
        <f t="shared" si="115"/>
        <v>54.897863000000001</v>
      </c>
      <c r="Y697" s="10">
        <f t="shared" si="116"/>
        <v>79.753000999999998</v>
      </c>
      <c r="Z697" s="10">
        <f t="shared" si="117"/>
        <v>28.421254399999995</v>
      </c>
      <c r="AA697" s="10">
        <f t="shared" si="118"/>
        <v>36.541612800000003</v>
      </c>
      <c r="AB697" s="10">
        <f t="shared" si="119"/>
        <v>40.601792000000003</v>
      </c>
      <c r="AC697" s="10">
        <f t="shared" si="120"/>
        <v>60.902687999999998</v>
      </c>
    </row>
    <row r="698" spans="1:29" x14ac:dyDescent="0.25">
      <c r="A698">
        <v>451234</v>
      </c>
      <c r="B698" t="s">
        <v>89</v>
      </c>
      <c r="C698" s="10">
        <v>15.89</v>
      </c>
      <c r="D698" s="10">
        <v>14.98</v>
      </c>
      <c r="E698" s="10">
        <v>0</v>
      </c>
      <c r="F698">
        <v>6</v>
      </c>
      <c r="G698" t="s">
        <v>15</v>
      </c>
      <c r="H698" s="11">
        <v>45986</v>
      </c>
      <c r="I698" t="s">
        <v>13</v>
      </c>
      <c r="J698" s="12">
        <v>3.25</v>
      </c>
      <c r="K698" s="3">
        <v>97.63</v>
      </c>
      <c r="L698" s="3">
        <f t="shared" si="110"/>
        <v>30.04</v>
      </c>
      <c r="M698" s="13"/>
      <c r="N698">
        <f>_xlfn.XLOOKUP(G698,'Tarievensheet per persoon'!AE:AE,'Tarievensheet per persoon'!AF:AF)</f>
        <v>1.7024999999999999</v>
      </c>
      <c r="O698">
        <f>_xlfn.XLOOKUP(G698,AE:AE,'Tarievensheet per persoon'!AG:AG)</f>
        <v>1.5642</v>
      </c>
      <c r="P698">
        <f>_xlfn.XLOOKUP(G698,AE:AE,'Tarievensheet per persoon'!AH:AH)</f>
        <v>1.3552</v>
      </c>
      <c r="Q698">
        <f>_xlfn.XLOOKUP(G698,AE:AE,'Tarievensheet per persoon'!AI:AI)</f>
        <v>1.3552</v>
      </c>
      <c r="R698">
        <v>0</v>
      </c>
      <c r="S698" s="14">
        <v>2.99</v>
      </c>
      <c r="T698" s="10">
        <f t="shared" si="111"/>
        <v>30.042724999999997</v>
      </c>
      <c r="U698" s="10">
        <f t="shared" si="112"/>
        <v>38.244920539999995</v>
      </c>
      <c r="V698" s="10">
        <f t="shared" si="113"/>
        <v>38.7420233</v>
      </c>
      <c r="W698" s="10">
        <f t="shared" si="114"/>
        <v>49.926835400000002</v>
      </c>
      <c r="X698" s="10">
        <f t="shared" si="115"/>
        <v>54.897863000000001</v>
      </c>
      <c r="Y698" s="10">
        <f t="shared" si="116"/>
        <v>79.753000999999998</v>
      </c>
      <c r="Z698" s="10">
        <f t="shared" si="117"/>
        <v>28.421254399999995</v>
      </c>
      <c r="AA698" s="10">
        <f t="shared" si="118"/>
        <v>36.541612800000003</v>
      </c>
      <c r="AB698" s="10">
        <f t="shared" si="119"/>
        <v>40.601792000000003</v>
      </c>
      <c r="AC698" s="10">
        <f t="shared" si="120"/>
        <v>60.902687999999998</v>
      </c>
    </row>
    <row r="699" spans="1:29" x14ac:dyDescent="0.25">
      <c r="A699">
        <v>451234</v>
      </c>
      <c r="B699" t="s">
        <v>89</v>
      </c>
      <c r="C699" s="10">
        <v>15.89</v>
      </c>
      <c r="D699" s="10">
        <v>14.98</v>
      </c>
      <c r="E699" s="10">
        <v>0</v>
      </c>
      <c r="F699">
        <v>6</v>
      </c>
      <c r="G699" t="s">
        <v>15</v>
      </c>
      <c r="H699" s="11">
        <v>45986</v>
      </c>
      <c r="I699" t="s">
        <v>21</v>
      </c>
      <c r="J699" s="12">
        <v>5</v>
      </c>
      <c r="K699" s="3">
        <v>191.2</v>
      </c>
      <c r="L699" s="3">
        <f t="shared" si="110"/>
        <v>38.239999999999995</v>
      </c>
      <c r="M699" s="13"/>
      <c r="N699">
        <f>_xlfn.XLOOKUP(G699,'Tarievensheet per persoon'!AE:AE,'Tarievensheet per persoon'!AF:AF)</f>
        <v>1.7024999999999999</v>
      </c>
      <c r="O699">
        <f>_xlfn.XLOOKUP(G699,AE:AE,'Tarievensheet per persoon'!AG:AG)</f>
        <v>1.5642</v>
      </c>
      <c r="P699">
        <f>_xlfn.XLOOKUP(G699,AE:AE,'Tarievensheet per persoon'!AH:AH)</f>
        <v>1.3552</v>
      </c>
      <c r="Q699">
        <f>_xlfn.XLOOKUP(G699,AE:AE,'Tarievensheet per persoon'!AI:AI)</f>
        <v>1.3552</v>
      </c>
      <c r="R699">
        <v>0</v>
      </c>
      <c r="S699" s="14">
        <v>2.99</v>
      </c>
      <c r="T699" s="10">
        <f t="shared" si="111"/>
        <v>30.042724999999997</v>
      </c>
      <c r="U699" s="10">
        <f t="shared" si="112"/>
        <v>38.244920539999995</v>
      </c>
      <c r="V699" s="10">
        <f t="shared" si="113"/>
        <v>38.7420233</v>
      </c>
      <c r="W699" s="10">
        <f t="shared" si="114"/>
        <v>49.926835400000002</v>
      </c>
      <c r="X699" s="10">
        <f t="shared" si="115"/>
        <v>54.897863000000001</v>
      </c>
      <c r="Y699" s="10">
        <f t="shared" si="116"/>
        <v>79.753000999999998</v>
      </c>
      <c r="Z699" s="10">
        <f t="shared" si="117"/>
        <v>28.421254399999995</v>
      </c>
      <c r="AA699" s="10">
        <f t="shared" si="118"/>
        <v>36.541612800000003</v>
      </c>
      <c r="AB699" s="10">
        <f t="shared" si="119"/>
        <v>40.601792000000003</v>
      </c>
      <c r="AC699" s="10">
        <f t="shared" si="120"/>
        <v>60.902687999999998</v>
      </c>
    </row>
    <row r="700" spans="1:29" x14ac:dyDescent="0.25">
      <c r="A700">
        <v>451234</v>
      </c>
      <c r="B700" t="s">
        <v>89</v>
      </c>
      <c r="C700" s="10">
        <v>15.89</v>
      </c>
      <c r="D700" s="10">
        <v>14.98</v>
      </c>
      <c r="E700" s="10">
        <v>0</v>
      </c>
      <c r="F700">
        <v>6</v>
      </c>
      <c r="G700" t="s">
        <v>15</v>
      </c>
      <c r="H700" s="11">
        <v>45986</v>
      </c>
      <c r="I700" t="s">
        <v>22</v>
      </c>
      <c r="J700" s="12">
        <v>0.5</v>
      </c>
      <c r="K700" s="3">
        <v>19.37</v>
      </c>
      <c r="L700" s="3">
        <f t="shared" si="110"/>
        <v>38.74</v>
      </c>
      <c r="M700" s="13"/>
      <c r="N700">
        <f>_xlfn.XLOOKUP(G700,'Tarievensheet per persoon'!AE:AE,'Tarievensheet per persoon'!AF:AF)</f>
        <v>1.7024999999999999</v>
      </c>
      <c r="O700">
        <f>_xlfn.XLOOKUP(G700,AE:AE,'Tarievensheet per persoon'!AG:AG)</f>
        <v>1.5642</v>
      </c>
      <c r="P700">
        <f>_xlfn.XLOOKUP(G700,AE:AE,'Tarievensheet per persoon'!AH:AH)</f>
        <v>1.3552</v>
      </c>
      <c r="Q700">
        <f>_xlfn.XLOOKUP(G700,AE:AE,'Tarievensheet per persoon'!AI:AI)</f>
        <v>1.3552</v>
      </c>
      <c r="R700">
        <v>0</v>
      </c>
      <c r="S700" s="14">
        <v>2.99</v>
      </c>
      <c r="T700" s="10">
        <f t="shared" si="111"/>
        <v>30.042724999999997</v>
      </c>
      <c r="U700" s="10">
        <f t="shared" si="112"/>
        <v>38.244920539999995</v>
      </c>
      <c r="V700" s="10">
        <f t="shared" si="113"/>
        <v>38.7420233</v>
      </c>
      <c r="W700" s="10">
        <f t="shared" si="114"/>
        <v>49.926835400000002</v>
      </c>
      <c r="X700" s="10">
        <f t="shared" si="115"/>
        <v>54.897863000000001</v>
      </c>
      <c r="Y700" s="10">
        <f t="shared" si="116"/>
        <v>79.753000999999998</v>
      </c>
      <c r="Z700" s="10">
        <f t="shared" si="117"/>
        <v>28.421254399999995</v>
      </c>
      <c r="AA700" s="10">
        <f t="shared" si="118"/>
        <v>36.541612800000003</v>
      </c>
      <c r="AB700" s="10">
        <f t="shared" si="119"/>
        <v>40.601792000000003</v>
      </c>
      <c r="AC700" s="10">
        <f t="shared" si="120"/>
        <v>60.902687999999998</v>
      </c>
    </row>
    <row r="701" spans="1:29" x14ac:dyDescent="0.25">
      <c r="A701">
        <v>451234</v>
      </c>
      <c r="B701" t="s">
        <v>89</v>
      </c>
      <c r="C701" s="10">
        <v>15.89</v>
      </c>
      <c r="D701" s="10">
        <v>14.98</v>
      </c>
      <c r="E701" s="10">
        <v>0</v>
      </c>
      <c r="F701">
        <v>6</v>
      </c>
      <c r="G701" t="s">
        <v>15</v>
      </c>
      <c r="H701" s="11">
        <v>45987</v>
      </c>
      <c r="I701" t="s">
        <v>13</v>
      </c>
      <c r="J701" s="12">
        <v>2.75</v>
      </c>
      <c r="K701" s="3">
        <v>82.61</v>
      </c>
      <c r="L701" s="3">
        <f t="shared" si="110"/>
        <v>30.04</v>
      </c>
      <c r="M701" s="13"/>
      <c r="N701">
        <f>_xlfn.XLOOKUP(G701,'Tarievensheet per persoon'!AE:AE,'Tarievensheet per persoon'!AF:AF)</f>
        <v>1.7024999999999999</v>
      </c>
      <c r="O701">
        <f>_xlfn.XLOOKUP(G701,AE:AE,'Tarievensheet per persoon'!AG:AG)</f>
        <v>1.5642</v>
      </c>
      <c r="P701">
        <f>_xlfn.XLOOKUP(G701,AE:AE,'Tarievensheet per persoon'!AH:AH)</f>
        <v>1.3552</v>
      </c>
      <c r="Q701">
        <f>_xlfn.XLOOKUP(G701,AE:AE,'Tarievensheet per persoon'!AI:AI)</f>
        <v>1.3552</v>
      </c>
      <c r="R701">
        <v>0</v>
      </c>
      <c r="S701" s="14">
        <v>2.99</v>
      </c>
      <c r="T701" s="10">
        <f t="shared" si="111"/>
        <v>30.042724999999997</v>
      </c>
      <c r="U701" s="10">
        <f t="shared" si="112"/>
        <v>38.244920539999995</v>
      </c>
      <c r="V701" s="10">
        <f t="shared" si="113"/>
        <v>38.7420233</v>
      </c>
      <c r="W701" s="10">
        <f t="shared" si="114"/>
        <v>49.926835400000002</v>
      </c>
      <c r="X701" s="10">
        <f t="shared" si="115"/>
        <v>54.897863000000001</v>
      </c>
      <c r="Y701" s="10">
        <f t="shared" si="116"/>
        <v>79.753000999999998</v>
      </c>
      <c r="Z701" s="10">
        <f t="shared" si="117"/>
        <v>28.421254399999995</v>
      </c>
      <c r="AA701" s="10">
        <f t="shared" si="118"/>
        <v>36.541612800000003</v>
      </c>
      <c r="AB701" s="10">
        <f t="shared" si="119"/>
        <v>40.601792000000003</v>
      </c>
      <c r="AC701" s="10">
        <f t="shared" si="120"/>
        <v>60.902687999999998</v>
      </c>
    </row>
    <row r="702" spans="1:29" x14ac:dyDescent="0.25">
      <c r="A702">
        <v>451234</v>
      </c>
      <c r="B702" t="s">
        <v>89</v>
      </c>
      <c r="C702" s="10">
        <v>15.89</v>
      </c>
      <c r="D702" s="10">
        <v>14.98</v>
      </c>
      <c r="E702" s="10">
        <v>0</v>
      </c>
      <c r="F702">
        <v>6</v>
      </c>
      <c r="G702" t="s">
        <v>15</v>
      </c>
      <c r="H702" s="11">
        <v>45987</v>
      </c>
      <c r="I702" t="s">
        <v>23</v>
      </c>
      <c r="J702" s="12">
        <v>0.25</v>
      </c>
      <c r="K702" s="3">
        <v>7.11</v>
      </c>
      <c r="L702" s="3">
        <f t="shared" si="110"/>
        <v>28.44</v>
      </c>
      <c r="M702" s="13"/>
      <c r="N702">
        <f>_xlfn.XLOOKUP(G702,'Tarievensheet per persoon'!AE:AE,'Tarievensheet per persoon'!AF:AF)</f>
        <v>1.7024999999999999</v>
      </c>
      <c r="O702">
        <f>_xlfn.XLOOKUP(G702,AE:AE,'Tarievensheet per persoon'!AG:AG)</f>
        <v>1.5642</v>
      </c>
      <c r="P702">
        <f>_xlfn.XLOOKUP(G702,AE:AE,'Tarievensheet per persoon'!AH:AH)</f>
        <v>1.3552</v>
      </c>
      <c r="Q702">
        <f>_xlfn.XLOOKUP(G702,AE:AE,'Tarievensheet per persoon'!AI:AI)</f>
        <v>1.3552</v>
      </c>
      <c r="R702">
        <v>0</v>
      </c>
      <c r="S702" s="14">
        <v>2.99</v>
      </c>
      <c r="T702" s="10">
        <f t="shared" si="111"/>
        <v>30.042724999999997</v>
      </c>
      <c r="U702" s="10">
        <f t="shared" si="112"/>
        <v>38.244920539999995</v>
      </c>
      <c r="V702" s="10">
        <f t="shared" si="113"/>
        <v>38.7420233</v>
      </c>
      <c r="W702" s="10">
        <f t="shared" si="114"/>
        <v>49.926835400000002</v>
      </c>
      <c r="X702" s="10">
        <f t="shared" si="115"/>
        <v>54.897863000000001</v>
      </c>
      <c r="Y702" s="10">
        <f t="shared" si="116"/>
        <v>79.753000999999998</v>
      </c>
      <c r="Z702" s="10">
        <f t="shared" si="117"/>
        <v>28.421254399999995</v>
      </c>
      <c r="AA702" s="10">
        <f t="shared" si="118"/>
        <v>36.541612800000003</v>
      </c>
      <c r="AB702" s="10">
        <f t="shared" si="119"/>
        <v>40.601792000000003</v>
      </c>
      <c r="AC702" s="10">
        <f t="shared" si="120"/>
        <v>60.902687999999998</v>
      </c>
    </row>
    <row r="703" spans="1:29" x14ac:dyDescent="0.25">
      <c r="A703">
        <v>451234</v>
      </c>
      <c r="B703" t="s">
        <v>89</v>
      </c>
      <c r="C703" s="10">
        <v>15.89</v>
      </c>
      <c r="D703" s="10">
        <v>14.98</v>
      </c>
      <c r="E703" s="10">
        <v>0</v>
      </c>
      <c r="F703">
        <v>6</v>
      </c>
      <c r="G703" t="s">
        <v>15</v>
      </c>
      <c r="H703" s="11">
        <v>45987</v>
      </c>
      <c r="I703" t="s">
        <v>21</v>
      </c>
      <c r="J703" s="12">
        <v>5</v>
      </c>
      <c r="K703" s="3">
        <v>191.2</v>
      </c>
      <c r="L703" s="3">
        <f t="shared" si="110"/>
        <v>38.239999999999995</v>
      </c>
      <c r="M703" s="13"/>
      <c r="N703">
        <f>_xlfn.XLOOKUP(G703,'Tarievensheet per persoon'!AE:AE,'Tarievensheet per persoon'!AF:AF)</f>
        <v>1.7024999999999999</v>
      </c>
      <c r="O703">
        <f>_xlfn.XLOOKUP(G703,AE:AE,'Tarievensheet per persoon'!AG:AG)</f>
        <v>1.5642</v>
      </c>
      <c r="P703">
        <f>_xlfn.XLOOKUP(G703,AE:AE,'Tarievensheet per persoon'!AH:AH)</f>
        <v>1.3552</v>
      </c>
      <c r="Q703">
        <f>_xlfn.XLOOKUP(G703,AE:AE,'Tarievensheet per persoon'!AI:AI)</f>
        <v>1.3552</v>
      </c>
      <c r="R703">
        <v>0</v>
      </c>
      <c r="S703" s="14">
        <v>2.99</v>
      </c>
      <c r="T703" s="10">
        <f t="shared" si="111"/>
        <v>30.042724999999997</v>
      </c>
      <c r="U703" s="10">
        <f t="shared" si="112"/>
        <v>38.244920539999995</v>
      </c>
      <c r="V703" s="10">
        <f t="shared" si="113"/>
        <v>38.7420233</v>
      </c>
      <c r="W703" s="10">
        <f t="shared" si="114"/>
        <v>49.926835400000002</v>
      </c>
      <c r="X703" s="10">
        <f t="shared" si="115"/>
        <v>54.897863000000001</v>
      </c>
      <c r="Y703" s="10">
        <f t="shared" si="116"/>
        <v>79.753000999999998</v>
      </c>
      <c r="Z703" s="10">
        <f t="shared" si="117"/>
        <v>28.421254399999995</v>
      </c>
      <c r="AA703" s="10">
        <f t="shared" si="118"/>
        <v>36.541612800000003</v>
      </c>
      <c r="AB703" s="10">
        <f t="shared" si="119"/>
        <v>40.601792000000003</v>
      </c>
      <c r="AC703" s="10">
        <f t="shared" si="120"/>
        <v>60.902687999999998</v>
      </c>
    </row>
    <row r="704" spans="1:29" x14ac:dyDescent="0.25">
      <c r="A704">
        <v>451234</v>
      </c>
      <c r="B704" t="s">
        <v>89</v>
      </c>
      <c r="C704" s="10">
        <v>15.89</v>
      </c>
      <c r="D704" s="10">
        <v>14.98</v>
      </c>
      <c r="E704" s="10">
        <v>0</v>
      </c>
      <c r="F704">
        <v>6</v>
      </c>
      <c r="G704" t="s">
        <v>15</v>
      </c>
      <c r="H704" s="11">
        <v>45987</v>
      </c>
      <c r="I704" t="s">
        <v>22</v>
      </c>
      <c r="J704" s="12">
        <v>0.5</v>
      </c>
      <c r="K704" s="3">
        <v>19.37</v>
      </c>
      <c r="L704" s="3">
        <f t="shared" si="110"/>
        <v>38.74</v>
      </c>
      <c r="M704" s="13"/>
      <c r="N704">
        <f>_xlfn.XLOOKUP(G704,'Tarievensheet per persoon'!AE:AE,'Tarievensheet per persoon'!AF:AF)</f>
        <v>1.7024999999999999</v>
      </c>
      <c r="O704">
        <f>_xlfn.XLOOKUP(G704,AE:AE,'Tarievensheet per persoon'!AG:AG)</f>
        <v>1.5642</v>
      </c>
      <c r="P704">
        <f>_xlfn.XLOOKUP(G704,AE:AE,'Tarievensheet per persoon'!AH:AH)</f>
        <v>1.3552</v>
      </c>
      <c r="Q704">
        <f>_xlfn.XLOOKUP(G704,AE:AE,'Tarievensheet per persoon'!AI:AI)</f>
        <v>1.3552</v>
      </c>
      <c r="R704">
        <v>0</v>
      </c>
      <c r="S704" s="14">
        <v>2.99</v>
      </c>
      <c r="T704" s="10">
        <f t="shared" si="111"/>
        <v>30.042724999999997</v>
      </c>
      <c r="U704" s="10">
        <f t="shared" si="112"/>
        <v>38.244920539999995</v>
      </c>
      <c r="V704" s="10">
        <f t="shared" si="113"/>
        <v>38.7420233</v>
      </c>
      <c r="W704" s="10">
        <f t="shared" si="114"/>
        <v>49.926835400000002</v>
      </c>
      <c r="X704" s="10">
        <f t="shared" si="115"/>
        <v>54.897863000000001</v>
      </c>
      <c r="Y704" s="10">
        <f t="shared" si="116"/>
        <v>79.753000999999998</v>
      </c>
      <c r="Z704" s="10">
        <f t="shared" si="117"/>
        <v>28.421254399999995</v>
      </c>
      <c r="AA704" s="10">
        <f t="shared" si="118"/>
        <v>36.541612800000003</v>
      </c>
      <c r="AB704" s="10">
        <f t="shared" si="119"/>
        <v>40.601792000000003</v>
      </c>
      <c r="AC704" s="10">
        <f t="shared" si="120"/>
        <v>60.902687999999998</v>
      </c>
    </row>
    <row r="705" spans="1:29" x14ac:dyDescent="0.25">
      <c r="A705">
        <v>451234</v>
      </c>
      <c r="B705" t="s">
        <v>89</v>
      </c>
      <c r="C705" s="10">
        <v>15.89</v>
      </c>
      <c r="D705" s="10">
        <v>14.98</v>
      </c>
      <c r="E705" s="10">
        <v>0</v>
      </c>
      <c r="F705">
        <v>6</v>
      </c>
      <c r="G705" t="s">
        <v>15</v>
      </c>
      <c r="H705" s="11">
        <v>45988</v>
      </c>
      <c r="I705" t="s">
        <v>13</v>
      </c>
      <c r="J705" s="12">
        <v>3</v>
      </c>
      <c r="K705" s="3">
        <v>90.12</v>
      </c>
      <c r="L705" s="3">
        <f t="shared" si="110"/>
        <v>30.040000000000003</v>
      </c>
      <c r="M705" s="13"/>
      <c r="N705">
        <f>_xlfn.XLOOKUP(G705,'Tarievensheet per persoon'!AE:AE,'Tarievensheet per persoon'!AF:AF)</f>
        <v>1.7024999999999999</v>
      </c>
      <c r="O705">
        <f>_xlfn.XLOOKUP(G705,AE:AE,'Tarievensheet per persoon'!AG:AG)</f>
        <v>1.5642</v>
      </c>
      <c r="P705">
        <f>_xlfn.XLOOKUP(G705,AE:AE,'Tarievensheet per persoon'!AH:AH)</f>
        <v>1.3552</v>
      </c>
      <c r="Q705">
        <f>_xlfn.XLOOKUP(G705,AE:AE,'Tarievensheet per persoon'!AI:AI)</f>
        <v>1.3552</v>
      </c>
      <c r="R705">
        <v>0</v>
      </c>
      <c r="S705" s="14">
        <v>2.99</v>
      </c>
      <c r="T705" s="10">
        <f t="shared" si="111"/>
        <v>30.042724999999997</v>
      </c>
      <c r="U705" s="10">
        <f t="shared" si="112"/>
        <v>38.244920539999995</v>
      </c>
      <c r="V705" s="10">
        <f t="shared" si="113"/>
        <v>38.7420233</v>
      </c>
      <c r="W705" s="10">
        <f t="shared" si="114"/>
        <v>49.926835400000002</v>
      </c>
      <c r="X705" s="10">
        <f t="shared" si="115"/>
        <v>54.897863000000001</v>
      </c>
      <c r="Y705" s="10">
        <f t="shared" si="116"/>
        <v>79.753000999999998</v>
      </c>
      <c r="Z705" s="10">
        <f t="shared" si="117"/>
        <v>28.421254399999995</v>
      </c>
      <c r="AA705" s="10">
        <f t="shared" si="118"/>
        <v>36.541612800000003</v>
      </c>
      <c r="AB705" s="10">
        <f t="shared" si="119"/>
        <v>40.601792000000003</v>
      </c>
      <c r="AC705" s="10">
        <f t="shared" si="120"/>
        <v>60.902687999999998</v>
      </c>
    </row>
    <row r="706" spans="1:29" x14ac:dyDescent="0.25">
      <c r="A706">
        <v>451234</v>
      </c>
      <c r="B706" t="s">
        <v>89</v>
      </c>
      <c r="C706" s="10">
        <v>15.89</v>
      </c>
      <c r="D706" s="10">
        <v>14.98</v>
      </c>
      <c r="E706" s="10">
        <v>0</v>
      </c>
      <c r="F706">
        <v>6</v>
      </c>
      <c r="G706" t="s">
        <v>15</v>
      </c>
      <c r="H706" s="11">
        <v>45988</v>
      </c>
      <c r="I706" t="s">
        <v>21</v>
      </c>
      <c r="J706" s="12">
        <v>5</v>
      </c>
      <c r="K706" s="3">
        <v>191.2</v>
      </c>
      <c r="L706" s="3">
        <f t="shared" si="110"/>
        <v>38.239999999999995</v>
      </c>
      <c r="M706" s="13"/>
      <c r="N706">
        <f>_xlfn.XLOOKUP(G706,'Tarievensheet per persoon'!AE:AE,'Tarievensheet per persoon'!AF:AF)</f>
        <v>1.7024999999999999</v>
      </c>
      <c r="O706">
        <f>_xlfn.XLOOKUP(G706,AE:AE,'Tarievensheet per persoon'!AG:AG)</f>
        <v>1.5642</v>
      </c>
      <c r="P706">
        <f>_xlfn.XLOOKUP(G706,AE:AE,'Tarievensheet per persoon'!AH:AH)</f>
        <v>1.3552</v>
      </c>
      <c r="Q706">
        <f>_xlfn.XLOOKUP(G706,AE:AE,'Tarievensheet per persoon'!AI:AI)</f>
        <v>1.3552</v>
      </c>
      <c r="R706">
        <v>0</v>
      </c>
      <c r="S706" s="14">
        <v>2.99</v>
      </c>
      <c r="T706" s="10">
        <f t="shared" si="111"/>
        <v>30.042724999999997</v>
      </c>
      <c r="U706" s="10">
        <f t="shared" si="112"/>
        <v>38.244920539999995</v>
      </c>
      <c r="V706" s="10">
        <f t="shared" si="113"/>
        <v>38.7420233</v>
      </c>
      <c r="W706" s="10">
        <f t="shared" si="114"/>
        <v>49.926835400000002</v>
      </c>
      <c r="X706" s="10">
        <f t="shared" si="115"/>
        <v>54.897863000000001</v>
      </c>
      <c r="Y706" s="10">
        <f t="shared" si="116"/>
        <v>79.753000999999998</v>
      </c>
      <c r="Z706" s="10">
        <f t="shared" si="117"/>
        <v>28.421254399999995</v>
      </c>
      <c r="AA706" s="10">
        <f t="shared" si="118"/>
        <v>36.541612800000003</v>
      </c>
      <c r="AB706" s="10">
        <f t="shared" si="119"/>
        <v>40.601792000000003</v>
      </c>
      <c r="AC706" s="10">
        <f t="shared" si="120"/>
        <v>60.902687999999998</v>
      </c>
    </row>
    <row r="707" spans="1:29" x14ac:dyDescent="0.25">
      <c r="A707">
        <v>451234</v>
      </c>
      <c r="B707" t="s">
        <v>89</v>
      </c>
      <c r="C707" s="10">
        <v>15.89</v>
      </c>
      <c r="D707" s="10">
        <v>14.98</v>
      </c>
      <c r="E707" s="10">
        <v>0</v>
      </c>
      <c r="F707">
        <v>6</v>
      </c>
      <c r="G707" t="s">
        <v>15</v>
      </c>
      <c r="H707" s="11">
        <v>45988</v>
      </c>
      <c r="I707" t="s">
        <v>22</v>
      </c>
      <c r="J707" s="12">
        <v>0.5</v>
      </c>
      <c r="K707" s="3">
        <v>19.37</v>
      </c>
      <c r="L707" s="3">
        <f t="shared" ref="L707:L770" si="121">K707/J707</f>
        <v>38.74</v>
      </c>
      <c r="M707" s="13"/>
      <c r="N707">
        <f>_xlfn.XLOOKUP(G707,'Tarievensheet per persoon'!AE:AE,'Tarievensheet per persoon'!AF:AF)</f>
        <v>1.7024999999999999</v>
      </c>
      <c r="O707">
        <f>_xlfn.XLOOKUP(G707,AE:AE,'Tarievensheet per persoon'!AG:AG)</f>
        <v>1.5642</v>
      </c>
      <c r="P707">
        <f>_xlfn.XLOOKUP(G707,AE:AE,'Tarievensheet per persoon'!AH:AH)</f>
        <v>1.3552</v>
      </c>
      <c r="Q707">
        <f>_xlfn.XLOOKUP(G707,AE:AE,'Tarievensheet per persoon'!AI:AI)</f>
        <v>1.3552</v>
      </c>
      <c r="R707">
        <v>0</v>
      </c>
      <c r="S707" s="14">
        <v>2.99</v>
      </c>
      <c r="T707" s="10">
        <f t="shared" ref="T707:T770" si="122">C707*N707+C707*Q707*R707+S707+(E707*O707)</f>
        <v>30.042724999999997</v>
      </c>
      <c r="U707" s="10">
        <f t="shared" ref="U707:U770" si="123">T707+C707*(U$1-1)*O707</f>
        <v>38.244920539999995</v>
      </c>
      <c r="V707" s="10">
        <f t="shared" ref="V707:V770" si="124">T707+C707*(V$1-1)*O707</f>
        <v>38.7420233</v>
      </c>
      <c r="W707" s="10">
        <f t="shared" ref="W707:W770" si="125">T707+C707*(W$1-1)*O707</f>
        <v>49.926835400000002</v>
      </c>
      <c r="X707" s="10">
        <f t="shared" ref="X707:X770" si="126">T707+C707*(X$1-1)*O707</f>
        <v>54.897863000000001</v>
      </c>
      <c r="Y707" s="10">
        <f t="shared" ref="Y707:Y770" si="127">T707+C707*(Y$1-1)*O707</f>
        <v>79.753000999999998</v>
      </c>
      <c r="Z707" s="10">
        <f t="shared" ref="Z707:Z770" si="128">D707*Z$1*P707</f>
        <v>28.421254399999995</v>
      </c>
      <c r="AA707" s="10">
        <f t="shared" ref="AA707:AA770" si="129">D707*AA$1*P707</f>
        <v>36.541612800000003</v>
      </c>
      <c r="AB707" s="10">
        <f t="shared" ref="AB707:AB770" si="130">D707*AB$1*P707</f>
        <v>40.601792000000003</v>
      </c>
      <c r="AC707" s="10">
        <f t="shared" ref="AC707:AC770" si="131">D707*AC$1*P707</f>
        <v>60.902687999999998</v>
      </c>
    </row>
    <row r="708" spans="1:29" x14ac:dyDescent="0.25">
      <c r="A708">
        <v>451234</v>
      </c>
      <c r="B708" t="s">
        <v>89</v>
      </c>
      <c r="C708" s="10">
        <v>15.89</v>
      </c>
      <c r="D708" s="10">
        <v>14.98</v>
      </c>
      <c r="E708" s="10">
        <v>0</v>
      </c>
      <c r="F708">
        <v>6</v>
      </c>
      <c r="G708" t="s">
        <v>15</v>
      </c>
      <c r="H708" s="11">
        <v>45989</v>
      </c>
      <c r="I708" t="s">
        <v>13</v>
      </c>
      <c r="J708" s="12">
        <v>3</v>
      </c>
      <c r="K708" s="3">
        <v>90.12</v>
      </c>
      <c r="L708" s="3">
        <f t="shared" si="121"/>
        <v>30.040000000000003</v>
      </c>
      <c r="M708" s="13"/>
      <c r="N708">
        <f>_xlfn.XLOOKUP(G708,'Tarievensheet per persoon'!AE:AE,'Tarievensheet per persoon'!AF:AF)</f>
        <v>1.7024999999999999</v>
      </c>
      <c r="O708">
        <f>_xlfn.XLOOKUP(G708,AE:AE,'Tarievensheet per persoon'!AG:AG)</f>
        <v>1.5642</v>
      </c>
      <c r="P708">
        <f>_xlfn.XLOOKUP(G708,AE:AE,'Tarievensheet per persoon'!AH:AH)</f>
        <v>1.3552</v>
      </c>
      <c r="Q708">
        <f>_xlfn.XLOOKUP(G708,AE:AE,'Tarievensheet per persoon'!AI:AI)</f>
        <v>1.3552</v>
      </c>
      <c r="R708">
        <v>0</v>
      </c>
      <c r="S708" s="14">
        <v>2.99</v>
      </c>
      <c r="T708" s="10">
        <f t="shared" si="122"/>
        <v>30.042724999999997</v>
      </c>
      <c r="U708" s="10">
        <f t="shared" si="123"/>
        <v>38.244920539999995</v>
      </c>
      <c r="V708" s="10">
        <f t="shared" si="124"/>
        <v>38.7420233</v>
      </c>
      <c r="W708" s="10">
        <f t="shared" si="125"/>
        <v>49.926835400000002</v>
      </c>
      <c r="X708" s="10">
        <f t="shared" si="126"/>
        <v>54.897863000000001</v>
      </c>
      <c r="Y708" s="10">
        <f t="shared" si="127"/>
        <v>79.753000999999998</v>
      </c>
      <c r="Z708" s="10">
        <f t="shared" si="128"/>
        <v>28.421254399999995</v>
      </c>
      <c r="AA708" s="10">
        <f t="shared" si="129"/>
        <v>36.541612800000003</v>
      </c>
      <c r="AB708" s="10">
        <f t="shared" si="130"/>
        <v>40.601792000000003</v>
      </c>
      <c r="AC708" s="10">
        <f t="shared" si="131"/>
        <v>60.902687999999998</v>
      </c>
    </row>
    <row r="709" spans="1:29" x14ac:dyDescent="0.25">
      <c r="A709">
        <v>451234</v>
      </c>
      <c r="B709" t="s">
        <v>89</v>
      </c>
      <c r="C709" s="10">
        <v>15.89</v>
      </c>
      <c r="D709" s="10">
        <v>14.98</v>
      </c>
      <c r="E709" s="10">
        <v>0</v>
      </c>
      <c r="F709">
        <v>6</v>
      </c>
      <c r="G709" t="s">
        <v>15</v>
      </c>
      <c r="H709" s="11">
        <v>45989</v>
      </c>
      <c r="I709" t="s">
        <v>21</v>
      </c>
      <c r="J709" s="12">
        <v>4</v>
      </c>
      <c r="K709" s="3">
        <v>152.96</v>
      </c>
      <c r="L709" s="3">
        <f t="shared" si="121"/>
        <v>38.24</v>
      </c>
      <c r="M709" s="13"/>
      <c r="N709">
        <f>_xlfn.XLOOKUP(G709,'Tarievensheet per persoon'!AE:AE,'Tarievensheet per persoon'!AF:AF)</f>
        <v>1.7024999999999999</v>
      </c>
      <c r="O709">
        <f>_xlfn.XLOOKUP(G709,AE:AE,'Tarievensheet per persoon'!AG:AG)</f>
        <v>1.5642</v>
      </c>
      <c r="P709">
        <f>_xlfn.XLOOKUP(G709,AE:AE,'Tarievensheet per persoon'!AH:AH)</f>
        <v>1.3552</v>
      </c>
      <c r="Q709">
        <f>_xlfn.XLOOKUP(G709,AE:AE,'Tarievensheet per persoon'!AI:AI)</f>
        <v>1.3552</v>
      </c>
      <c r="R709">
        <v>0</v>
      </c>
      <c r="S709" s="14">
        <v>2.99</v>
      </c>
      <c r="T709" s="10">
        <f t="shared" si="122"/>
        <v>30.042724999999997</v>
      </c>
      <c r="U709" s="10">
        <f t="shared" si="123"/>
        <v>38.244920539999995</v>
      </c>
      <c r="V709" s="10">
        <f t="shared" si="124"/>
        <v>38.7420233</v>
      </c>
      <c r="W709" s="10">
        <f t="shared" si="125"/>
        <v>49.926835400000002</v>
      </c>
      <c r="X709" s="10">
        <f t="shared" si="126"/>
        <v>54.897863000000001</v>
      </c>
      <c r="Y709" s="10">
        <f t="shared" si="127"/>
        <v>79.753000999999998</v>
      </c>
      <c r="Z709" s="10">
        <f t="shared" si="128"/>
        <v>28.421254399999995</v>
      </c>
      <c r="AA709" s="10">
        <f t="shared" si="129"/>
        <v>36.541612800000003</v>
      </c>
      <c r="AB709" s="10">
        <f t="shared" si="130"/>
        <v>40.601792000000003</v>
      </c>
      <c r="AC709" s="10">
        <f t="shared" si="131"/>
        <v>60.902687999999998</v>
      </c>
    </row>
    <row r="710" spans="1:29" x14ac:dyDescent="0.25">
      <c r="A710">
        <v>451383</v>
      </c>
      <c r="B710" t="s">
        <v>90</v>
      </c>
      <c r="C710" s="10">
        <v>15.89</v>
      </c>
      <c r="D710" s="10">
        <v>14.98</v>
      </c>
      <c r="E710" s="10">
        <v>0</v>
      </c>
      <c r="F710">
        <v>6</v>
      </c>
      <c r="G710" t="s">
        <v>15</v>
      </c>
      <c r="H710" s="11">
        <v>45985</v>
      </c>
      <c r="I710" t="s">
        <v>13</v>
      </c>
      <c r="J710" s="12">
        <v>3</v>
      </c>
      <c r="K710" s="3">
        <v>90.12</v>
      </c>
      <c r="L710" s="3">
        <f t="shared" si="121"/>
        <v>30.040000000000003</v>
      </c>
      <c r="M710" s="13"/>
      <c r="N710">
        <f>_xlfn.XLOOKUP(G710,'Tarievensheet per persoon'!AE:AE,'Tarievensheet per persoon'!AF:AF)</f>
        <v>1.7024999999999999</v>
      </c>
      <c r="O710">
        <f>_xlfn.XLOOKUP(G710,AE:AE,'Tarievensheet per persoon'!AG:AG)</f>
        <v>1.5642</v>
      </c>
      <c r="P710">
        <f>_xlfn.XLOOKUP(G710,AE:AE,'Tarievensheet per persoon'!AH:AH)</f>
        <v>1.3552</v>
      </c>
      <c r="Q710">
        <f>_xlfn.XLOOKUP(G710,AE:AE,'Tarievensheet per persoon'!AI:AI)</f>
        <v>1.3552</v>
      </c>
      <c r="R710">
        <v>0</v>
      </c>
      <c r="S710" s="14">
        <v>2.99</v>
      </c>
      <c r="T710" s="10">
        <f t="shared" si="122"/>
        <v>30.042724999999997</v>
      </c>
      <c r="U710" s="10">
        <f t="shared" si="123"/>
        <v>38.244920539999995</v>
      </c>
      <c r="V710" s="10">
        <f t="shared" si="124"/>
        <v>38.7420233</v>
      </c>
      <c r="W710" s="10">
        <f t="shared" si="125"/>
        <v>49.926835400000002</v>
      </c>
      <c r="X710" s="10">
        <f t="shared" si="126"/>
        <v>54.897863000000001</v>
      </c>
      <c r="Y710" s="10">
        <f t="shared" si="127"/>
        <v>79.753000999999998</v>
      </c>
      <c r="Z710" s="10">
        <f t="shared" si="128"/>
        <v>28.421254399999995</v>
      </c>
      <c r="AA710" s="10">
        <f t="shared" si="129"/>
        <v>36.541612800000003</v>
      </c>
      <c r="AB710" s="10">
        <f t="shared" si="130"/>
        <v>40.601792000000003</v>
      </c>
      <c r="AC710" s="10">
        <f t="shared" si="131"/>
        <v>60.902687999999998</v>
      </c>
    </row>
    <row r="711" spans="1:29" x14ac:dyDescent="0.25">
      <c r="A711">
        <v>451383</v>
      </c>
      <c r="B711" t="s">
        <v>90</v>
      </c>
      <c r="C711" s="10">
        <v>15.89</v>
      </c>
      <c r="D711" s="10">
        <v>14.98</v>
      </c>
      <c r="E711" s="10">
        <v>0</v>
      </c>
      <c r="F711">
        <v>6</v>
      </c>
      <c r="G711" t="s">
        <v>15</v>
      </c>
      <c r="H711" s="11">
        <v>45985</v>
      </c>
      <c r="I711" t="s">
        <v>21</v>
      </c>
      <c r="J711" s="12">
        <v>4.5</v>
      </c>
      <c r="K711" s="3">
        <v>172.08</v>
      </c>
      <c r="L711" s="3">
        <f t="shared" si="121"/>
        <v>38.24</v>
      </c>
      <c r="M711" s="13"/>
      <c r="N711">
        <f>_xlfn.XLOOKUP(G711,'Tarievensheet per persoon'!AE:AE,'Tarievensheet per persoon'!AF:AF)</f>
        <v>1.7024999999999999</v>
      </c>
      <c r="O711">
        <f>_xlfn.XLOOKUP(G711,AE:AE,'Tarievensheet per persoon'!AG:AG)</f>
        <v>1.5642</v>
      </c>
      <c r="P711">
        <f>_xlfn.XLOOKUP(G711,AE:AE,'Tarievensheet per persoon'!AH:AH)</f>
        <v>1.3552</v>
      </c>
      <c r="Q711">
        <f>_xlfn.XLOOKUP(G711,AE:AE,'Tarievensheet per persoon'!AI:AI)</f>
        <v>1.3552</v>
      </c>
      <c r="R711">
        <v>0</v>
      </c>
      <c r="S711" s="14">
        <v>2.99</v>
      </c>
      <c r="T711" s="10">
        <f t="shared" si="122"/>
        <v>30.042724999999997</v>
      </c>
      <c r="U711" s="10">
        <f t="shared" si="123"/>
        <v>38.244920539999995</v>
      </c>
      <c r="V711" s="10">
        <f t="shared" si="124"/>
        <v>38.7420233</v>
      </c>
      <c r="W711" s="10">
        <f t="shared" si="125"/>
        <v>49.926835400000002</v>
      </c>
      <c r="X711" s="10">
        <f t="shared" si="126"/>
        <v>54.897863000000001</v>
      </c>
      <c r="Y711" s="10">
        <f t="shared" si="127"/>
        <v>79.753000999999998</v>
      </c>
      <c r="Z711" s="10">
        <f t="shared" si="128"/>
        <v>28.421254399999995</v>
      </c>
      <c r="AA711" s="10">
        <f t="shared" si="129"/>
        <v>36.541612800000003</v>
      </c>
      <c r="AB711" s="10">
        <f t="shared" si="130"/>
        <v>40.601792000000003</v>
      </c>
      <c r="AC711" s="10">
        <f t="shared" si="131"/>
        <v>60.902687999999998</v>
      </c>
    </row>
    <row r="712" spans="1:29" x14ac:dyDescent="0.25">
      <c r="A712">
        <v>451383</v>
      </c>
      <c r="B712" t="s">
        <v>90</v>
      </c>
      <c r="C712" s="10">
        <v>15.89</v>
      </c>
      <c r="D712" s="10">
        <v>14.98</v>
      </c>
      <c r="E712" s="10">
        <v>0</v>
      </c>
      <c r="F712">
        <v>6</v>
      </c>
      <c r="G712" t="s">
        <v>15</v>
      </c>
      <c r="H712" s="11">
        <v>45986</v>
      </c>
      <c r="I712" t="s">
        <v>13</v>
      </c>
      <c r="J712" s="12">
        <v>3</v>
      </c>
      <c r="K712" s="3">
        <v>90.12</v>
      </c>
      <c r="L712" s="3">
        <f t="shared" si="121"/>
        <v>30.040000000000003</v>
      </c>
      <c r="M712" s="13"/>
      <c r="N712">
        <f>_xlfn.XLOOKUP(G712,'Tarievensheet per persoon'!AE:AE,'Tarievensheet per persoon'!AF:AF)</f>
        <v>1.7024999999999999</v>
      </c>
      <c r="O712">
        <f>_xlfn.XLOOKUP(G712,AE:AE,'Tarievensheet per persoon'!AG:AG)</f>
        <v>1.5642</v>
      </c>
      <c r="P712">
        <f>_xlfn.XLOOKUP(G712,AE:AE,'Tarievensheet per persoon'!AH:AH)</f>
        <v>1.3552</v>
      </c>
      <c r="Q712">
        <f>_xlfn.XLOOKUP(G712,AE:AE,'Tarievensheet per persoon'!AI:AI)</f>
        <v>1.3552</v>
      </c>
      <c r="R712">
        <v>0</v>
      </c>
      <c r="S712" s="14">
        <v>2.99</v>
      </c>
      <c r="T712" s="10">
        <f t="shared" si="122"/>
        <v>30.042724999999997</v>
      </c>
      <c r="U712" s="10">
        <f t="shared" si="123"/>
        <v>38.244920539999995</v>
      </c>
      <c r="V712" s="10">
        <f t="shared" si="124"/>
        <v>38.7420233</v>
      </c>
      <c r="W712" s="10">
        <f t="shared" si="125"/>
        <v>49.926835400000002</v>
      </c>
      <c r="X712" s="10">
        <f t="shared" si="126"/>
        <v>54.897863000000001</v>
      </c>
      <c r="Y712" s="10">
        <f t="shared" si="127"/>
        <v>79.753000999999998</v>
      </c>
      <c r="Z712" s="10">
        <f t="shared" si="128"/>
        <v>28.421254399999995</v>
      </c>
      <c r="AA712" s="10">
        <f t="shared" si="129"/>
        <v>36.541612800000003</v>
      </c>
      <c r="AB712" s="10">
        <f t="shared" si="130"/>
        <v>40.601792000000003</v>
      </c>
      <c r="AC712" s="10">
        <f t="shared" si="131"/>
        <v>60.902687999999998</v>
      </c>
    </row>
    <row r="713" spans="1:29" x14ac:dyDescent="0.25">
      <c r="A713">
        <v>451383</v>
      </c>
      <c r="B713" t="s">
        <v>90</v>
      </c>
      <c r="C713" s="10">
        <v>15.89</v>
      </c>
      <c r="D713" s="10">
        <v>14.98</v>
      </c>
      <c r="E713" s="10">
        <v>0</v>
      </c>
      <c r="F713">
        <v>6</v>
      </c>
      <c r="G713" t="s">
        <v>15</v>
      </c>
      <c r="H713" s="11">
        <v>45986</v>
      </c>
      <c r="I713" t="s">
        <v>21</v>
      </c>
      <c r="J713" s="12">
        <v>5</v>
      </c>
      <c r="K713" s="3">
        <v>191.2</v>
      </c>
      <c r="L713" s="3">
        <f t="shared" si="121"/>
        <v>38.239999999999995</v>
      </c>
      <c r="M713" s="13"/>
      <c r="N713">
        <f>_xlfn.XLOOKUP(G713,'Tarievensheet per persoon'!AE:AE,'Tarievensheet per persoon'!AF:AF)</f>
        <v>1.7024999999999999</v>
      </c>
      <c r="O713">
        <f>_xlfn.XLOOKUP(G713,AE:AE,'Tarievensheet per persoon'!AG:AG)</f>
        <v>1.5642</v>
      </c>
      <c r="P713">
        <f>_xlfn.XLOOKUP(G713,AE:AE,'Tarievensheet per persoon'!AH:AH)</f>
        <v>1.3552</v>
      </c>
      <c r="Q713">
        <f>_xlfn.XLOOKUP(G713,AE:AE,'Tarievensheet per persoon'!AI:AI)</f>
        <v>1.3552</v>
      </c>
      <c r="R713">
        <v>0</v>
      </c>
      <c r="S713" s="14">
        <v>2.99</v>
      </c>
      <c r="T713" s="10">
        <f t="shared" si="122"/>
        <v>30.042724999999997</v>
      </c>
      <c r="U713" s="10">
        <f t="shared" si="123"/>
        <v>38.244920539999995</v>
      </c>
      <c r="V713" s="10">
        <f t="shared" si="124"/>
        <v>38.7420233</v>
      </c>
      <c r="W713" s="10">
        <f t="shared" si="125"/>
        <v>49.926835400000002</v>
      </c>
      <c r="X713" s="10">
        <f t="shared" si="126"/>
        <v>54.897863000000001</v>
      </c>
      <c r="Y713" s="10">
        <f t="shared" si="127"/>
        <v>79.753000999999998</v>
      </c>
      <c r="Z713" s="10">
        <f t="shared" si="128"/>
        <v>28.421254399999995</v>
      </c>
      <c r="AA713" s="10">
        <f t="shared" si="129"/>
        <v>36.541612800000003</v>
      </c>
      <c r="AB713" s="10">
        <f t="shared" si="130"/>
        <v>40.601792000000003</v>
      </c>
      <c r="AC713" s="10">
        <f t="shared" si="131"/>
        <v>60.902687999999998</v>
      </c>
    </row>
    <row r="714" spans="1:29" x14ac:dyDescent="0.25">
      <c r="A714">
        <v>451383</v>
      </c>
      <c r="B714" t="s">
        <v>90</v>
      </c>
      <c r="C714" s="10">
        <v>15.89</v>
      </c>
      <c r="D714" s="10">
        <v>14.98</v>
      </c>
      <c r="E714" s="10">
        <v>0</v>
      </c>
      <c r="F714">
        <v>6</v>
      </c>
      <c r="G714" t="s">
        <v>15</v>
      </c>
      <c r="H714" s="11">
        <v>45986</v>
      </c>
      <c r="I714" t="s">
        <v>22</v>
      </c>
      <c r="J714" s="12">
        <v>0.75</v>
      </c>
      <c r="K714" s="3">
        <v>29.06</v>
      </c>
      <c r="L714" s="3">
        <f t="shared" si="121"/>
        <v>38.746666666666663</v>
      </c>
      <c r="M714" s="13"/>
      <c r="N714">
        <f>_xlfn.XLOOKUP(G714,'Tarievensheet per persoon'!AE:AE,'Tarievensheet per persoon'!AF:AF)</f>
        <v>1.7024999999999999</v>
      </c>
      <c r="O714">
        <f>_xlfn.XLOOKUP(G714,AE:AE,'Tarievensheet per persoon'!AG:AG)</f>
        <v>1.5642</v>
      </c>
      <c r="P714">
        <f>_xlfn.XLOOKUP(G714,AE:AE,'Tarievensheet per persoon'!AH:AH)</f>
        <v>1.3552</v>
      </c>
      <c r="Q714">
        <f>_xlfn.XLOOKUP(G714,AE:AE,'Tarievensheet per persoon'!AI:AI)</f>
        <v>1.3552</v>
      </c>
      <c r="R714">
        <v>0</v>
      </c>
      <c r="S714" s="14">
        <v>2.99</v>
      </c>
      <c r="T714" s="10">
        <f t="shared" si="122"/>
        <v>30.042724999999997</v>
      </c>
      <c r="U714" s="10">
        <f t="shared" si="123"/>
        <v>38.244920539999995</v>
      </c>
      <c r="V714" s="10">
        <f t="shared" si="124"/>
        <v>38.7420233</v>
      </c>
      <c r="W714" s="10">
        <f t="shared" si="125"/>
        <v>49.926835400000002</v>
      </c>
      <c r="X714" s="10">
        <f t="shared" si="126"/>
        <v>54.897863000000001</v>
      </c>
      <c r="Y714" s="10">
        <f t="shared" si="127"/>
        <v>79.753000999999998</v>
      </c>
      <c r="Z714" s="10">
        <f t="shared" si="128"/>
        <v>28.421254399999995</v>
      </c>
      <c r="AA714" s="10">
        <f t="shared" si="129"/>
        <v>36.541612800000003</v>
      </c>
      <c r="AB714" s="10">
        <f t="shared" si="130"/>
        <v>40.601792000000003</v>
      </c>
      <c r="AC714" s="10">
        <f t="shared" si="131"/>
        <v>60.902687999999998</v>
      </c>
    </row>
    <row r="715" spans="1:29" x14ac:dyDescent="0.25">
      <c r="A715">
        <v>451383</v>
      </c>
      <c r="B715" t="s">
        <v>90</v>
      </c>
      <c r="C715" s="10">
        <v>15.89</v>
      </c>
      <c r="D715" s="10">
        <v>14.98</v>
      </c>
      <c r="E715" s="10">
        <v>0</v>
      </c>
      <c r="F715">
        <v>6</v>
      </c>
      <c r="G715" t="s">
        <v>15</v>
      </c>
      <c r="H715" s="11">
        <v>45987</v>
      </c>
      <c r="I715" t="s">
        <v>13</v>
      </c>
      <c r="J715" s="12">
        <v>2.75</v>
      </c>
      <c r="K715" s="3">
        <v>82.61</v>
      </c>
      <c r="L715" s="3">
        <f t="shared" si="121"/>
        <v>30.04</v>
      </c>
      <c r="M715" s="13"/>
      <c r="N715">
        <f>_xlfn.XLOOKUP(G715,'Tarievensheet per persoon'!AE:AE,'Tarievensheet per persoon'!AF:AF)</f>
        <v>1.7024999999999999</v>
      </c>
      <c r="O715">
        <f>_xlfn.XLOOKUP(G715,AE:AE,'Tarievensheet per persoon'!AG:AG)</f>
        <v>1.5642</v>
      </c>
      <c r="P715">
        <f>_xlfn.XLOOKUP(G715,AE:AE,'Tarievensheet per persoon'!AH:AH)</f>
        <v>1.3552</v>
      </c>
      <c r="Q715">
        <f>_xlfn.XLOOKUP(G715,AE:AE,'Tarievensheet per persoon'!AI:AI)</f>
        <v>1.3552</v>
      </c>
      <c r="R715">
        <v>0</v>
      </c>
      <c r="S715" s="14">
        <v>2.99</v>
      </c>
      <c r="T715" s="10">
        <f t="shared" si="122"/>
        <v>30.042724999999997</v>
      </c>
      <c r="U715" s="10">
        <f t="shared" si="123"/>
        <v>38.244920539999995</v>
      </c>
      <c r="V715" s="10">
        <f t="shared" si="124"/>
        <v>38.7420233</v>
      </c>
      <c r="W715" s="10">
        <f t="shared" si="125"/>
        <v>49.926835400000002</v>
      </c>
      <c r="X715" s="10">
        <f t="shared" si="126"/>
        <v>54.897863000000001</v>
      </c>
      <c r="Y715" s="10">
        <f t="shared" si="127"/>
        <v>79.753000999999998</v>
      </c>
      <c r="Z715" s="10">
        <f t="shared" si="128"/>
        <v>28.421254399999995</v>
      </c>
      <c r="AA715" s="10">
        <f t="shared" si="129"/>
        <v>36.541612800000003</v>
      </c>
      <c r="AB715" s="10">
        <f t="shared" si="130"/>
        <v>40.601792000000003</v>
      </c>
      <c r="AC715" s="10">
        <f t="shared" si="131"/>
        <v>60.902687999999998</v>
      </c>
    </row>
    <row r="716" spans="1:29" x14ac:dyDescent="0.25">
      <c r="A716">
        <v>451383</v>
      </c>
      <c r="B716" t="s">
        <v>90</v>
      </c>
      <c r="C716" s="10">
        <v>15.89</v>
      </c>
      <c r="D716" s="10">
        <v>14.98</v>
      </c>
      <c r="E716" s="10">
        <v>0</v>
      </c>
      <c r="F716">
        <v>6</v>
      </c>
      <c r="G716" t="s">
        <v>15</v>
      </c>
      <c r="H716" s="11">
        <v>45987</v>
      </c>
      <c r="I716" t="s">
        <v>23</v>
      </c>
      <c r="J716" s="12">
        <v>0.25</v>
      </c>
      <c r="K716" s="3">
        <v>7.11</v>
      </c>
      <c r="L716" s="3">
        <f t="shared" si="121"/>
        <v>28.44</v>
      </c>
      <c r="M716" s="13"/>
      <c r="N716">
        <f>_xlfn.XLOOKUP(G716,'Tarievensheet per persoon'!AE:AE,'Tarievensheet per persoon'!AF:AF)</f>
        <v>1.7024999999999999</v>
      </c>
      <c r="O716">
        <f>_xlfn.XLOOKUP(G716,AE:AE,'Tarievensheet per persoon'!AG:AG)</f>
        <v>1.5642</v>
      </c>
      <c r="P716">
        <f>_xlfn.XLOOKUP(G716,AE:AE,'Tarievensheet per persoon'!AH:AH)</f>
        <v>1.3552</v>
      </c>
      <c r="Q716">
        <f>_xlfn.XLOOKUP(G716,AE:AE,'Tarievensheet per persoon'!AI:AI)</f>
        <v>1.3552</v>
      </c>
      <c r="R716">
        <v>0</v>
      </c>
      <c r="S716" s="14">
        <v>2.99</v>
      </c>
      <c r="T716" s="10">
        <f t="shared" si="122"/>
        <v>30.042724999999997</v>
      </c>
      <c r="U716" s="10">
        <f t="shared" si="123"/>
        <v>38.244920539999995</v>
      </c>
      <c r="V716" s="10">
        <f t="shared" si="124"/>
        <v>38.7420233</v>
      </c>
      <c r="W716" s="10">
        <f t="shared" si="125"/>
        <v>49.926835400000002</v>
      </c>
      <c r="X716" s="10">
        <f t="shared" si="126"/>
        <v>54.897863000000001</v>
      </c>
      <c r="Y716" s="10">
        <f t="shared" si="127"/>
        <v>79.753000999999998</v>
      </c>
      <c r="Z716" s="10">
        <f t="shared" si="128"/>
        <v>28.421254399999995</v>
      </c>
      <c r="AA716" s="10">
        <f t="shared" si="129"/>
        <v>36.541612800000003</v>
      </c>
      <c r="AB716" s="10">
        <f t="shared" si="130"/>
        <v>40.601792000000003</v>
      </c>
      <c r="AC716" s="10">
        <f t="shared" si="131"/>
        <v>60.902687999999998</v>
      </c>
    </row>
    <row r="717" spans="1:29" x14ac:dyDescent="0.25">
      <c r="A717">
        <v>451383</v>
      </c>
      <c r="B717" t="s">
        <v>90</v>
      </c>
      <c r="C717" s="10">
        <v>15.89</v>
      </c>
      <c r="D717" s="10">
        <v>14.98</v>
      </c>
      <c r="E717" s="10">
        <v>0</v>
      </c>
      <c r="F717">
        <v>6</v>
      </c>
      <c r="G717" t="s">
        <v>15</v>
      </c>
      <c r="H717" s="11">
        <v>45987</v>
      </c>
      <c r="I717" t="s">
        <v>21</v>
      </c>
      <c r="J717" s="12">
        <v>5</v>
      </c>
      <c r="K717" s="3">
        <v>191.2</v>
      </c>
      <c r="L717" s="3">
        <f t="shared" si="121"/>
        <v>38.239999999999995</v>
      </c>
      <c r="M717" s="13"/>
      <c r="N717">
        <f>_xlfn.XLOOKUP(G717,'Tarievensheet per persoon'!AE:AE,'Tarievensheet per persoon'!AF:AF)</f>
        <v>1.7024999999999999</v>
      </c>
      <c r="O717">
        <f>_xlfn.XLOOKUP(G717,AE:AE,'Tarievensheet per persoon'!AG:AG)</f>
        <v>1.5642</v>
      </c>
      <c r="P717">
        <f>_xlfn.XLOOKUP(G717,AE:AE,'Tarievensheet per persoon'!AH:AH)</f>
        <v>1.3552</v>
      </c>
      <c r="Q717">
        <f>_xlfn.XLOOKUP(G717,AE:AE,'Tarievensheet per persoon'!AI:AI)</f>
        <v>1.3552</v>
      </c>
      <c r="R717">
        <v>0</v>
      </c>
      <c r="S717" s="14">
        <v>2.99</v>
      </c>
      <c r="T717" s="10">
        <f t="shared" si="122"/>
        <v>30.042724999999997</v>
      </c>
      <c r="U717" s="10">
        <f t="shared" si="123"/>
        <v>38.244920539999995</v>
      </c>
      <c r="V717" s="10">
        <f t="shared" si="124"/>
        <v>38.7420233</v>
      </c>
      <c r="W717" s="10">
        <f t="shared" si="125"/>
        <v>49.926835400000002</v>
      </c>
      <c r="X717" s="10">
        <f t="shared" si="126"/>
        <v>54.897863000000001</v>
      </c>
      <c r="Y717" s="10">
        <f t="shared" si="127"/>
        <v>79.753000999999998</v>
      </c>
      <c r="Z717" s="10">
        <f t="shared" si="128"/>
        <v>28.421254399999995</v>
      </c>
      <c r="AA717" s="10">
        <f t="shared" si="129"/>
        <v>36.541612800000003</v>
      </c>
      <c r="AB717" s="10">
        <f t="shared" si="130"/>
        <v>40.601792000000003</v>
      </c>
      <c r="AC717" s="10">
        <f t="shared" si="131"/>
        <v>60.902687999999998</v>
      </c>
    </row>
    <row r="718" spans="1:29" x14ac:dyDescent="0.25">
      <c r="A718">
        <v>451383</v>
      </c>
      <c r="B718" t="s">
        <v>90</v>
      </c>
      <c r="C718" s="10">
        <v>15.89</v>
      </c>
      <c r="D718" s="10">
        <v>14.98</v>
      </c>
      <c r="E718" s="10">
        <v>0</v>
      </c>
      <c r="F718">
        <v>6</v>
      </c>
      <c r="G718" t="s">
        <v>15</v>
      </c>
      <c r="H718" s="11">
        <v>45987</v>
      </c>
      <c r="I718" t="s">
        <v>22</v>
      </c>
      <c r="J718" s="12">
        <v>0.5</v>
      </c>
      <c r="K718" s="3">
        <v>19.37</v>
      </c>
      <c r="L718" s="3">
        <f t="shared" si="121"/>
        <v>38.74</v>
      </c>
      <c r="M718" s="13"/>
      <c r="N718">
        <f>_xlfn.XLOOKUP(G718,'Tarievensheet per persoon'!AE:AE,'Tarievensheet per persoon'!AF:AF)</f>
        <v>1.7024999999999999</v>
      </c>
      <c r="O718">
        <f>_xlfn.XLOOKUP(G718,AE:AE,'Tarievensheet per persoon'!AG:AG)</f>
        <v>1.5642</v>
      </c>
      <c r="P718">
        <f>_xlfn.XLOOKUP(G718,AE:AE,'Tarievensheet per persoon'!AH:AH)</f>
        <v>1.3552</v>
      </c>
      <c r="Q718">
        <f>_xlfn.XLOOKUP(G718,AE:AE,'Tarievensheet per persoon'!AI:AI)</f>
        <v>1.3552</v>
      </c>
      <c r="R718">
        <v>0</v>
      </c>
      <c r="S718" s="14">
        <v>2.99</v>
      </c>
      <c r="T718" s="10">
        <f t="shared" si="122"/>
        <v>30.042724999999997</v>
      </c>
      <c r="U718" s="10">
        <f t="shared" si="123"/>
        <v>38.244920539999995</v>
      </c>
      <c r="V718" s="10">
        <f t="shared" si="124"/>
        <v>38.7420233</v>
      </c>
      <c r="W718" s="10">
        <f t="shared" si="125"/>
        <v>49.926835400000002</v>
      </c>
      <c r="X718" s="10">
        <f t="shared" si="126"/>
        <v>54.897863000000001</v>
      </c>
      <c r="Y718" s="10">
        <f t="shared" si="127"/>
        <v>79.753000999999998</v>
      </c>
      <c r="Z718" s="10">
        <f t="shared" si="128"/>
        <v>28.421254399999995</v>
      </c>
      <c r="AA718" s="10">
        <f t="shared" si="129"/>
        <v>36.541612800000003</v>
      </c>
      <c r="AB718" s="10">
        <f t="shared" si="130"/>
        <v>40.601792000000003</v>
      </c>
      <c r="AC718" s="10">
        <f t="shared" si="131"/>
        <v>60.902687999999998</v>
      </c>
    </row>
    <row r="719" spans="1:29" x14ac:dyDescent="0.25">
      <c r="A719">
        <v>451383</v>
      </c>
      <c r="B719" t="s">
        <v>90</v>
      </c>
      <c r="C719" s="10">
        <v>15.89</v>
      </c>
      <c r="D719" s="10">
        <v>14.98</v>
      </c>
      <c r="E719" s="10">
        <v>0</v>
      </c>
      <c r="F719">
        <v>6</v>
      </c>
      <c r="G719" t="s">
        <v>15</v>
      </c>
      <c r="H719" s="11">
        <v>45988</v>
      </c>
      <c r="I719" t="s">
        <v>13</v>
      </c>
      <c r="J719" s="12">
        <v>3</v>
      </c>
      <c r="K719" s="3">
        <v>90.12</v>
      </c>
      <c r="L719" s="3">
        <f t="shared" si="121"/>
        <v>30.040000000000003</v>
      </c>
      <c r="M719" s="13"/>
      <c r="N719">
        <f>_xlfn.XLOOKUP(G719,'Tarievensheet per persoon'!AE:AE,'Tarievensheet per persoon'!AF:AF)</f>
        <v>1.7024999999999999</v>
      </c>
      <c r="O719">
        <f>_xlfn.XLOOKUP(G719,AE:AE,'Tarievensheet per persoon'!AG:AG)</f>
        <v>1.5642</v>
      </c>
      <c r="P719">
        <f>_xlfn.XLOOKUP(G719,AE:AE,'Tarievensheet per persoon'!AH:AH)</f>
        <v>1.3552</v>
      </c>
      <c r="Q719">
        <f>_xlfn.XLOOKUP(G719,AE:AE,'Tarievensheet per persoon'!AI:AI)</f>
        <v>1.3552</v>
      </c>
      <c r="R719">
        <v>0</v>
      </c>
      <c r="S719" s="14">
        <v>2.99</v>
      </c>
      <c r="T719" s="10">
        <f t="shared" si="122"/>
        <v>30.042724999999997</v>
      </c>
      <c r="U719" s="10">
        <f t="shared" si="123"/>
        <v>38.244920539999995</v>
      </c>
      <c r="V719" s="10">
        <f t="shared" si="124"/>
        <v>38.7420233</v>
      </c>
      <c r="W719" s="10">
        <f t="shared" si="125"/>
        <v>49.926835400000002</v>
      </c>
      <c r="X719" s="10">
        <f t="shared" si="126"/>
        <v>54.897863000000001</v>
      </c>
      <c r="Y719" s="10">
        <f t="shared" si="127"/>
        <v>79.753000999999998</v>
      </c>
      <c r="Z719" s="10">
        <f t="shared" si="128"/>
        <v>28.421254399999995</v>
      </c>
      <c r="AA719" s="10">
        <f t="shared" si="129"/>
        <v>36.541612800000003</v>
      </c>
      <c r="AB719" s="10">
        <f t="shared" si="130"/>
        <v>40.601792000000003</v>
      </c>
      <c r="AC719" s="10">
        <f t="shared" si="131"/>
        <v>60.902687999999998</v>
      </c>
    </row>
    <row r="720" spans="1:29" x14ac:dyDescent="0.25">
      <c r="A720">
        <v>451383</v>
      </c>
      <c r="B720" t="s">
        <v>90</v>
      </c>
      <c r="C720" s="10">
        <v>15.89</v>
      </c>
      <c r="D720" s="10">
        <v>14.98</v>
      </c>
      <c r="E720" s="10">
        <v>0</v>
      </c>
      <c r="F720">
        <v>6</v>
      </c>
      <c r="G720" t="s">
        <v>15</v>
      </c>
      <c r="H720" s="11">
        <v>45988</v>
      </c>
      <c r="I720" t="s">
        <v>21</v>
      </c>
      <c r="J720" s="12">
        <v>5</v>
      </c>
      <c r="K720" s="3">
        <v>191.2</v>
      </c>
      <c r="L720" s="3">
        <f t="shared" si="121"/>
        <v>38.239999999999995</v>
      </c>
      <c r="M720" s="13"/>
      <c r="N720">
        <f>_xlfn.XLOOKUP(G720,'Tarievensheet per persoon'!AE:AE,'Tarievensheet per persoon'!AF:AF)</f>
        <v>1.7024999999999999</v>
      </c>
      <c r="O720">
        <f>_xlfn.XLOOKUP(G720,AE:AE,'Tarievensheet per persoon'!AG:AG)</f>
        <v>1.5642</v>
      </c>
      <c r="P720">
        <f>_xlfn.XLOOKUP(G720,AE:AE,'Tarievensheet per persoon'!AH:AH)</f>
        <v>1.3552</v>
      </c>
      <c r="Q720">
        <f>_xlfn.XLOOKUP(G720,AE:AE,'Tarievensheet per persoon'!AI:AI)</f>
        <v>1.3552</v>
      </c>
      <c r="R720">
        <v>0</v>
      </c>
      <c r="S720" s="14">
        <v>2.99</v>
      </c>
      <c r="T720" s="10">
        <f t="shared" si="122"/>
        <v>30.042724999999997</v>
      </c>
      <c r="U720" s="10">
        <f t="shared" si="123"/>
        <v>38.244920539999995</v>
      </c>
      <c r="V720" s="10">
        <f t="shared" si="124"/>
        <v>38.7420233</v>
      </c>
      <c r="W720" s="10">
        <f t="shared" si="125"/>
        <v>49.926835400000002</v>
      </c>
      <c r="X720" s="10">
        <f t="shared" si="126"/>
        <v>54.897863000000001</v>
      </c>
      <c r="Y720" s="10">
        <f t="shared" si="127"/>
        <v>79.753000999999998</v>
      </c>
      <c r="Z720" s="10">
        <f t="shared" si="128"/>
        <v>28.421254399999995</v>
      </c>
      <c r="AA720" s="10">
        <f t="shared" si="129"/>
        <v>36.541612800000003</v>
      </c>
      <c r="AB720" s="10">
        <f t="shared" si="130"/>
        <v>40.601792000000003</v>
      </c>
      <c r="AC720" s="10">
        <f t="shared" si="131"/>
        <v>60.902687999999998</v>
      </c>
    </row>
    <row r="721" spans="1:29" x14ac:dyDescent="0.25">
      <c r="A721">
        <v>451383</v>
      </c>
      <c r="B721" t="s">
        <v>90</v>
      </c>
      <c r="C721" s="10">
        <v>15.89</v>
      </c>
      <c r="D721" s="10">
        <v>14.98</v>
      </c>
      <c r="E721" s="10">
        <v>0</v>
      </c>
      <c r="F721">
        <v>6</v>
      </c>
      <c r="G721" t="s">
        <v>15</v>
      </c>
      <c r="H721" s="11">
        <v>45988</v>
      </c>
      <c r="I721" t="s">
        <v>22</v>
      </c>
      <c r="J721" s="12">
        <v>0.5</v>
      </c>
      <c r="K721" s="3">
        <v>19.37</v>
      </c>
      <c r="L721" s="3">
        <f t="shared" si="121"/>
        <v>38.74</v>
      </c>
      <c r="M721" s="13"/>
      <c r="N721">
        <f>_xlfn.XLOOKUP(G721,'Tarievensheet per persoon'!AE:AE,'Tarievensheet per persoon'!AF:AF)</f>
        <v>1.7024999999999999</v>
      </c>
      <c r="O721">
        <f>_xlfn.XLOOKUP(G721,AE:AE,'Tarievensheet per persoon'!AG:AG)</f>
        <v>1.5642</v>
      </c>
      <c r="P721">
        <f>_xlfn.XLOOKUP(G721,AE:AE,'Tarievensheet per persoon'!AH:AH)</f>
        <v>1.3552</v>
      </c>
      <c r="Q721">
        <f>_xlfn.XLOOKUP(G721,AE:AE,'Tarievensheet per persoon'!AI:AI)</f>
        <v>1.3552</v>
      </c>
      <c r="R721">
        <v>0</v>
      </c>
      <c r="S721" s="14">
        <v>2.99</v>
      </c>
      <c r="T721" s="10">
        <f t="shared" si="122"/>
        <v>30.042724999999997</v>
      </c>
      <c r="U721" s="10">
        <f t="shared" si="123"/>
        <v>38.244920539999995</v>
      </c>
      <c r="V721" s="10">
        <f t="shared" si="124"/>
        <v>38.7420233</v>
      </c>
      <c r="W721" s="10">
        <f t="shared" si="125"/>
        <v>49.926835400000002</v>
      </c>
      <c r="X721" s="10">
        <f t="shared" si="126"/>
        <v>54.897863000000001</v>
      </c>
      <c r="Y721" s="10">
        <f t="shared" si="127"/>
        <v>79.753000999999998</v>
      </c>
      <c r="Z721" s="10">
        <f t="shared" si="128"/>
        <v>28.421254399999995</v>
      </c>
      <c r="AA721" s="10">
        <f t="shared" si="129"/>
        <v>36.541612800000003</v>
      </c>
      <c r="AB721" s="10">
        <f t="shared" si="130"/>
        <v>40.601792000000003</v>
      </c>
      <c r="AC721" s="10">
        <f t="shared" si="131"/>
        <v>60.902687999999998</v>
      </c>
    </row>
    <row r="722" spans="1:29" x14ac:dyDescent="0.25">
      <c r="A722">
        <v>451383</v>
      </c>
      <c r="B722" t="s">
        <v>90</v>
      </c>
      <c r="C722" s="10">
        <v>15.89</v>
      </c>
      <c r="D722" s="10">
        <v>14.98</v>
      </c>
      <c r="E722" s="10">
        <v>0</v>
      </c>
      <c r="F722">
        <v>6</v>
      </c>
      <c r="G722" t="s">
        <v>15</v>
      </c>
      <c r="H722" s="11">
        <v>45989</v>
      </c>
      <c r="I722" t="s">
        <v>13</v>
      </c>
      <c r="J722" s="12">
        <v>3</v>
      </c>
      <c r="K722" s="3">
        <v>90.12</v>
      </c>
      <c r="L722" s="3">
        <f t="shared" si="121"/>
        <v>30.040000000000003</v>
      </c>
      <c r="M722" s="13"/>
      <c r="N722">
        <f>_xlfn.XLOOKUP(G722,'Tarievensheet per persoon'!AE:AE,'Tarievensheet per persoon'!AF:AF)</f>
        <v>1.7024999999999999</v>
      </c>
      <c r="O722">
        <f>_xlfn.XLOOKUP(G722,AE:AE,'Tarievensheet per persoon'!AG:AG)</f>
        <v>1.5642</v>
      </c>
      <c r="P722">
        <f>_xlfn.XLOOKUP(G722,AE:AE,'Tarievensheet per persoon'!AH:AH)</f>
        <v>1.3552</v>
      </c>
      <c r="Q722">
        <f>_xlfn.XLOOKUP(G722,AE:AE,'Tarievensheet per persoon'!AI:AI)</f>
        <v>1.3552</v>
      </c>
      <c r="R722">
        <v>0</v>
      </c>
      <c r="S722" s="14">
        <v>2.99</v>
      </c>
      <c r="T722" s="10">
        <f t="shared" si="122"/>
        <v>30.042724999999997</v>
      </c>
      <c r="U722" s="10">
        <f t="shared" si="123"/>
        <v>38.244920539999995</v>
      </c>
      <c r="V722" s="10">
        <f t="shared" si="124"/>
        <v>38.7420233</v>
      </c>
      <c r="W722" s="10">
        <f t="shared" si="125"/>
        <v>49.926835400000002</v>
      </c>
      <c r="X722" s="10">
        <f t="shared" si="126"/>
        <v>54.897863000000001</v>
      </c>
      <c r="Y722" s="10">
        <f t="shared" si="127"/>
        <v>79.753000999999998</v>
      </c>
      <c r="Z722" s="10">
        <f t="shared" si="128"/>
        <v>28.421254399999995</v>
      </c>
      <c r="AA722" s="10">
        <f t="shared" si="129"/>
        <v>36.541612800000003</v>
      </c>
      <c r="AB722" s="10">
        <f t="shared" si="130"/>
        <v>40.601792000000003</v>
      </c>
      <c r="AC722" s="10">
        <f t="shared" si="131"/>
        <v>60.902687999999998</v>
      </c>
    </row>
    <row r="723" spans="1:29" x14ac:dyDescent="0.25">
      <c r="A723">
        <v>451383</v>
      </c>
      <c r="B723" t="s">
        <v>90</v>
      </c>
      <c r="C723" s="10">
        <v>15.89</v>
      </c>
      <c r="D723" s="10">
        <v>14.98</v>
      </c>
      <c r="E723" s="10">
        <v>0</v>
      </c>
      <c r="F723">
        <v>6</v>
      </c>
      <c r="G723" t="s">
        <v>15</v>
      </c>
      <c r="H723" s="11">
        <v>45989</v>
      </c>
      <c r="I723" t="s">
        <v>21</v>
      </c>
      <c r="J723" s="12">
        <v>4</v>
      </c>
      <c r="K723" s="3">
        <v>152.96</v>
      </c>
      <c r="L723" s="3">
        <f t="shared" si="121"/>
        <v>38.24</v>
      </c>
      <c r="M723" s="13"/>
      <c r="N723">
        <f>_xlfn.XLOOKUP(G723,'Tarievensheet per persoon'!AE:AE,'Tarievensheet per persoon'!AF:AF)</f>
        <v>1.7024999999999999</v>
      </c>
      <c r="O723">
        <f>_xlfn.XLOOKUP(G723,AE:AE,'Tarievensheet per persoon'!AG:AG)</f>
        <v>1.5642</v>
      </c>
      <c r="P723">
        <f>_xlfn.XLOOKUP(G723,AE:AE,'Tarievensheet per persoon'!AH:AH)</f>
        <v>1.3552</v>
      </c>
      <c r="Q723">
        <f>_xlfn.XLOOKUP(G723,AE:AE,'Tarievensheet per persoon'!AI:AI)</f>
        <v>1.3552</v>
      </c>
      <c r="R723">
        <v>0</v>
      </c>
      <c r="S723" s="14">
        <v>2.99</v>
      </c>
      <c r="T723" s="10">
        <f t="shared" si="122"/>
        <v>30.042724999999997</v>
      </c>
      <c r="U723" s="10">
        <f t="shared" si="123"/>
        <v>38.244920539999995</v>
      </c>
      <c r="V723" s="10">
        <f t="shared" si="124"/>
        <v>38.7420233</v>
      </c>
      <c r="W723" s="10">
        <f t="shared" si="125"/>
        <v>49.926835400000002</v>
      </c>
      <c r="X723" s="10">
        <f t="shared" si="126"/>
        <v>54.897863000000001</v>
      </c>
      <c r="Y723" s="10">
        <f t="shared" si="127"/>
        <v>79.753000999999998</v>
      </c>
      <c r="Z723" s="10">
        <f t="shared" si="128"/>
        <v>28.421254399999995</v>
      </c>
      <c r="AA723" s="10">
        <f t="shared" si="129"/>
        <v>36.541612800000003</v>
      </c>
      <c r="AB723" s="10">
        <f t="shared" si="130"/>
        <v>40.601792000000003</v>
      </c>
      <c r="AC723" s="10">
        <f t="shared" si="131"/>
        <v>60.902687999999998</v>
      </c>
    </row>
    <row r="724" spans="1:29" x14ac:dyDescent="0.25">
      <c r="A724">
        <v>451815</v>
      </c>
      <c r="B724" t="s">
        <v>91</v>
      </c>
      <c r="C724" s="10">
        <v>15.89</v>
      </c>
      <c r="D724" s="10">
        <v>14.98</v>
      </c>
      <c r="E724" s="10">
        <v>0</v>
      </c>
      <c r="F724">
        <v>6</v>
      </c>
      <c r="G724" t="s">
        <v>15</v>
      </c>
      <c r="H724" s="11">
        <v>45985</v>
      </c>
      <c r="I724" t="s">
        <v>13</v>
      </c>
      <c r="J724" s="12">
        <v>3.75</v>
      </c>
      <c r="K724" s="3">
        <v>112.65</v>
      </c>
      <c r="L724" s="3">
        <f t="shared" si="121"/>
        <v>30.040000000000003</v>
      </c>
      <c r="M724" s="13"/>
      <c r="N724">
        <f>_xlfn.XLOOKUP(G724,'Tarievensheet per persoon'!AE:AE,'Tarievensheet per persoon'!AF:AF)</f>
        <v>1.7024999999999999</v>
      </c>
      <c r="O724">
        <f>_xlfn.XLOOKUP(G724,AE:AE,'Tarievensheet per persoon'!AG:AG)</f>
        <v>1.5642</v>
      </c>
      <c r="P724">
        <f>_xlfn.XLOOKUP(G724,AE:AE,'Tarievensheet per persoon'!AH:AH)</f>
        <v>1.3552</v>
      </c>
      <c r="Q724">
        <f>_xlfn.XLOOKUP(G724,AE:AE,'Tarievensheet per persoon'!AI:AI)</f>
        <v>1.3552</v>
      </c>
      <c r="R724">
        <v>0</v>
      </c>
      <c r="S724" s="14">
        <v>2.99</v>
      </c>
      <c r="T724" s="10">
        <f t="shared" si="122"/>
        <v>30.042724999999997</v>
      </c>
      <c r="U724" s="10">
        <f t="shared" si="123"/>
        <v>38.244920539999995</v>
      </c>
      <c r="V724" s="10">
        <f t="shared" si="124"/>
        <v>38.7420233</v>
      </c>
      <c r="W724" s="10">
        <f t="shared" si="125"/>
        <v>49.926835400000002</v>
      </c>
      <c r="X724" s="10">
        <f t="shared" si="126"/>
        <v>54.897863000000001</v>
      </c>
      <c r="Y724" s="10">
        <f t="shared" si="127"/>
        <v>79.753000999999998</v>
      </c>
      <c r="Z724" s="10">
        <f t="shared" si="128"/>
        <v>28.421254399999995</v>
      </c>
      <c r="AA724" s="10">
        <f t="shared" si="129"/>
        <v>36.541612800000003</v>
      </c>
      <c r="AB724" s="10">
        <f t="shared" si="130"/>
        <v>40.601792000000003</v>
      </c>
      <c r="AC724" s="10">
        <f t="shared" si="131"/>
        <v>60.902687999999998</v>
      </c>
    </row>
    <row r="725" spans="1:29" x14ac:dyDescent="0.25">
      <c r="A725">
        <v>451815</v>
      </c>
      <c r="B725" t="s">
        <v>91</v>
      </c>
      <c r="C725" s="10">
        <v>15.89</v>
      </c>
      <c r="D725" s="10">
        <v>14.98</v>
      </c>
      <c r="E725" s="10">
        <v>0</v>
      </c>
      <c r="F725">
        <v>6</v>
      </c>
      <c r="G725" t="s">
        <v>15</v>
      </c>
      <c r="H725" s="11">
        <v>45985</v>
      </c>
      <c r="I725" t="s">
        <v>21</v>
      </c>
      <c r="J725" s="12">
        <v>3.75</v>
      </c>
      <c r="K725" s="3">
        <v>143.4</v>
      </c>
      <c r="L725" s="3">
        <f t="shared" si="121"/>
        <v>38.24</v>
      </c>
      <c r="M725" s="13"/>
      <c r="N725">
        <f>_xlfn.XLOOKUP(G725,'Tarievensheet per persoon'!AE:AE,'Tarievensheet per persoon'!AF:AF)</f>
        <v>1.7024999999999999</v>
      </c>
      <c r="O725">
        <f>_xlfn.XLOOKUP(G725,AE:AE,'Tarievensheet per persoon'!AG:AG)</f>
        <v>1.5642</v>
      </c>
      <c r="P725">
        <f>_xlfn.XLOOKUP(G725,AE:AE,'Tarievensheet per persoon'!AH:AH)</f>
        <v>1.3552</v>
      </c>
      <c r="Q725">
        <f>_xlfn.XLOOKUP(G725,AE:AE,'Tarievensheet per persoon'!AI:AI)</f>
        <v>1.3552</v>
      </c>
      <c r="R725">
        <v>0</v>
      </c>
      <c r="S725" s="14">
        <v>2.99</v>
      </c>
      <c r="T725" s="10">
        <f t="shared" si="122"/>
        <v>30.042724999999997</v>
      </c>
      <c r="U725" s="10">
        <f t="shared" si="123"/>
        <v>38.244920539999995</v>
      </c>
      <c r="V725" s="10">
        <f t="shared" si="124"/>
        <v>38.7420233</v>
      </c>
      <c r="W725" s="10">
        <f t="shared" si="125"/>
        <v>49.926835400000002</v>
      </c>
      <c r="X725" s="10">
        <f t="shared" si="126"/>
        <v>54.897863000000001</v>
      </c>
      <c r="Y725" s="10">
        <f t="shared" si="127"/>
        <v>79.753000999999998</v>
      </c>
      <c r="Z725" s="10">
        <f t="shared" si="128"/>
        <v>28.421254399999995</v>
      </c>
      <c r="AA725" s="10">
        <f t="shared" si="129"/>
        <v>36.541612800000003</v>
      </c>
      <c r="AB725" s="10">
        <f t="shared" si="130"/>
        <v>40.601792000000003</v>
      </c>
      <c r="AC725" s="10">
        <f t="shared" si="131"/>
        <v>60.902687999999998</v>
      </c>
    </row>
    <row r="726" spans="1:29" x14ac:dyDescent="0.25">
      <c r="A726">
        <v>451815</v>
      </c>
      <c r="B726" t="s">
        <v>91</v>
      </c>
      <c r="C726" s="10">
        <v>15.89</v>
      </c>
      <c r="D726" s="10">
        <v>14.98</v>
      </c>
      <c r="E726" s="10">
        <v>0</v>
      </c>
      <c r="F726">
        <v>6</v>
      </c>
      <c r="G726" t="s">
        <v>15</v>
      </c>
      <c r="H726" s="11">
        <v>45986</v>
      </c>
      <c r="I726" t="s">
        <v>13</v>
      </c>
      <c r="J726" s="12">
        <v>4</v>
      </c>
      <c r="K726" s="3">
        <v>120.16</v>
      </c>
      <c r="L726" s="3">
        <f t="shared" si="121"/>
        <v>30.04</v>
      </c>
      <c r="M726" s="13"/>
      <c r="N726">
        <f>_xlfn.XLOOKUP(G726,'Tarievensheet per persoon'!AE:AE,'Tarievensheet per persoon'!AF:AF)</f>
        <v>1.7024999999999999</v>
      </c>
      <c r="O726">
        <f>_xlfn.XLOOKUP(G726,AE:AE,'Tarievensheet per persoon'!AG:AG)</f>
        <v>1.5642</v>
      </c>
      <c r="P726">
        <f>_xlfn.XLOOKUP(G726,AE:AE,'Tarievensheet per persoon'!AH:AH)</f>
        <v>1.3552</v>
      </c>
      <c r="Q726">
        <f>_xlfn.XLOOKUP(G726,AE:AE,'Tarievensheet per persoon'!AI:AI)</f>
        <v>1.3552</v>
      </c>
      <c r="R726">
        <v>0</v>
      </c>
      <c r="S726" s="14">
        <v>2.99</v>
      </c>
      <c r="T726" s="10">
        <f t="shared" si="122"/>
        <v>30.042724999999997</v>
      </c>
      <c r="U726" s="10">
        <f t="shared" si="123"/>
        <v>38.244920539999995</v>
      </c>
      <c r="V726" s="10">
        <f t="shared" si="124"/>
        <v>38.7420233</v>
      </c>
      <c r="W726" s="10">
        <f t="shared" si="125"/>
        <v>49.926835400000002</v>
      </c>
      <c r="X726" s="10">
        <f t="shared" si="126"/>
        <v>54.897863000000001</v>
      </c>
      <c r="Y726" s="10">
        <f t="shared" si="127"/>
        <v>79.753000999999998</v>
      </c>
      <c r="Z726" s="10">
        <f t="shared" si="128"/>
        <v>28.421254399999995</v>
      </c>
      <c r="AA726" s="10">
        <f t="shared" si="129"/>
        <v>36.541612800000003</v>
      </c>
      <c r="AB726" s="10">
        <f t="shared" si="130"/>
        <v>40.601792000000003</v>
      </c>
      <c r="AC726" s="10">
        <f t="shared" si="131"/>
        <v>60.902687999999998</v>
      </c>
    </row>
    <row r="727" spans="1:29" x14ac:dyDescent="0.25">
      <c r="A727">
        <v>451815</v>
      </c>
      <c r="B727" t="s">
        <v>91</v>
      </c>
      <c r="C727" s="10">
        <v>15.89</v>
      </c>
      <c r="D727" s="10">
        <v>14.98</v>
      </c>
      <c r="E727" s="10">
        <v>0</v>
      </c>
      <c r="F727">
        <v>6</v>
      </c>
      <c r="G727" t="s">
        <v>15</v>
      </c>
      <c r="H727" s="11">
        <v>45986</v>
      </c>
      <c r="I727" t="s">
        <v>21</v>
      </c>
      <c r="J727" s="12">
        <v>3.75</v>
      </c>
      <c r="K727" s="3">
        <v>143.4</v>
      </c>
      <c r="L727" s="3">
        <f t="shared" si="121"/>
        <v>38.24</v>
      </c>
      <c r="M727" s="13"/>
      <c r="N727">
        <f>_xlfn.XLOOKUP(G727,'Tarievensheet per persoon'!AE:AE,'Tarievensheet per persoon'!AF:AF)</f>
        <v>1.7024999999999999</v>
      </c>
      <c r="O727">
        <f>_xlfn.XLOOKUP(G727,AE:AE,'Tarievensheet per persoon'!AG:AG)</f>
        <v>1.5642</v>
      </c>
      <c r="P727">
        <f>_xlfn.XLOOKUP(G727,AE:AE,'Tarievensheet per persoon'!AH:AH)</f>
        <v>1.3552</v>
      </c>
      <c r="Q727">
        <f>_xlfn.XLOOKUP(G727,AE:AE,'Tarievensheet per persoon'!AI:AI)</f>
        <v>1.3552</v>
      </c>
      <c r="R727">
        <v>0</v>
      </c>
      <c r="S727" s="14">
        <v>2.99</v>
      </c>
      <c r="T727" s="10">
        <f t="shared" si="122"/>
        <v>30.042724999999997</v>
      </c>
      <c r="U727" s="10">
        <f t="shared" si="123"/>
        <v>38.244920539999995</v>
      </c>
      <c r="V727" s="10">
        <f t="shared" si="124"/>
        <v>38.7420233</v>
      </c>
      <c r="W727" s="10">
        <f t="shared" si="125"/>
        <v>49.926835400000002</v>
      </c>
      <c r="X727" s="10">
        <f t="shared" si="126"/>
        <v>54.897863000000001</v>
      </c>
      <c r="Y727" s="10">
        <f t="shared" si="127"/>
        <v>79.753000999999998</v>
      </c>
      <c r="Z727" s="10">
        <f t="shared" si="128"/>
        <v>28.421254399999995</v>
      </c>
      <c r="AA727" s="10">
        <f t="shared" si="129"/>
        <v>36.541612800000003</v>
      </c>
      <c r="AB727" s="10">
        <f t="shared" si="130"/>
        <v>40.601792000000003</v>
      </c>
      <c r="AC727" s="10">
        <f t="shared" si="131"/>
        <v>60.902687999999998</v>
      </c>
    </row>
    <row r="728" spans="1:29" x14ac:dyDescent="0.25">
      <c r="A728">
        <v>451815</v>
      </c>
      <c r="B728" t="s">
        <v>91</v>
      </c>
      <c r="C728" s="10">
        <v>15.89</v>
      </c>
      <c r="D728" s="10">
        <v>14.98</v>
      </c>
      <c r="E728" s="10">
        <v>0</v>
      </c>
      <c r="F728">
        <v>6</v>
      </c>
      <c r="G728" t="s">
        <v>15</v>
      </c>
      <c r="H728" s="11">
        <v>45987</v>
      </c>
      <c r="I728" t="s">
        <v>13</v>
      </c>
      <c r="J728" s="12">
        <v>4</v>
      </c>
      <c r="K728" s="3">
        <v>120.16</v>
      </c>
      <c r="L728" s="3">
        <f t="shared" si="121"/>
        <v>30.04</v>
      </c>
      <c r="M728" s="13"/>
      <c r="N728">
        <f>_xlfn.XLOOKUP(G728,'Tarievensheet per persoon'!AE:AE,'Tarievensheet per persoon'!AF:AF)</f>
        <v>1.7024999999999999</v>
      </c>
      <c r="O728">
        <f>_xlfn.XLOOKUP(G728,AE:AE,'Tarievensheet per persoon'!AG:AG)</f>
        <v>1.5642</v>
      </c>
      <c r="P728">
        <f>_xlfn.XLOOKUP(G728,AE:AE,'Tarievensheet per persoon'!AH:AH)</f>
        <v>1.3552</v>
      </c>
      <c r="Q728">
        <f>_xlfn.XLOOKUP(G728,AE:AE,'Tarievensheet per persoon'!AI:AI)</f>
        <v>1.3552</v>
      </c>
      <c r="R728">
        <v>0</v>
      </c>
      <c r="S728" s="14">
        <v>2.99</v>
      </c>
      <c r="T728" s="10">
        <f t="shared" si="122"/>
        <v>30.042724999999997</v>
      </c>
      <c r="U728" s="10">
        <f t="shared" si="123"/>
        <v>38.244920539999995</v>
      </c>
      <c r="V728" s="10">
        <f t="shared" si="124"/>
        <v>38.7420233</v>
      </c>
      <c r="W728" s="10">
        <f t="shared" si="125"/>
        <v>49.926835400000002</v>
      </c>
      <c r="X728" s="10">
        <f t="shared" si="126"/>
        <v>54.897863000000001</v>
      </c>
      <c r="Y728" s="10">
        <f t="shared" si="127"/>
        <v>79.753000999999998</v>
      </c>
      <c r="Z728" s="10">
        <f t="shared" si="128"/>
        <v>28.421254399999995</v>
      </c>
      <c r="AA728" s="10">
        <f t="shared" si="129"/>
        <v>36.541612800000003</v>
      </c>
      <c r="AB728" s="10">
        <f t="shared" si="130"/>
        <v>40.601792000000003</v>
      </c>
      <c r="AC728" s="10">
        <f t="shared" si="131"/>
        <v>60.902687999999998</v>
      </c>
    </row>
    <row r="729" spans="1:29" x14ac:dyDescent="0.25">
      <c r="A729">
        <v>451815</v>
      </c>
      <c r="B729" t="s">
        <v>91</v>
      </c>
      <c r="C729" s="10">
        <v>15.89</v>
      </c>
      <c r="D729" s="10">
        <v>14.98</v>
      </c>
      <c r="E729" s="10">
        <v>0</v>
      </c>
      <c r="F729">
        <v>6</v>
      </c>
      <c r="G729" t="s">
        <v>15</v>
      </c>
      <c r="H729" s="11">
        <v>45987</v>
      </c>
      <c r="I729" t="s">
        <v>21</v>
      </c>
      <c r="J729" s="12">
        <v>3.5</v>
      </c>
      <c r="K729" s="3">
        <v>133.84</v>
      </c>
      <c r="L729" s="3">
        <f t="shared" si="121"/>
        <v>38.24</v>
      </c>
      <c r="M729" s="13"/>
      <c r="N729">
        <f>_xlfn.XLOOKUP(G729,'Tarievensheet per persoon'!AE:AE,'Tarievensheet per persoon'!AF:AF)</f>
        <v>1.7024999999999999</v>
      </c>
      <c r="O729">
        <f>_xlfn.XLOOKUP(G729,AE:AE,'Tarievensheet per persoon'!AG:AG)</f>
        <v>1.5642</v>
      </c>
      <c r="P729">
        <f>_xlfn.XLOOKUP(G729,AE:AE,'Tarievensheet per persoon'!AH:AH)</f>
        <v>1.3552</v>
      </c>
      <c r="Q729">
        <f>_xlfn.XLOOKUP(G729,AE:AE,'Tarievensheet per persoon'!AI:AI)</f>
        <v>1.3552</v>
      </c>
      <c r="R729">
        <v>0</v>
      </c>
      <c r="S729" s="14">
        <v>2.99</v>
      </c>
      <c r="T729" s="10">
        <f t="shared" si="122"/>
        <v>30.042724999999997</v>
      </c>
      <c r="U729" s="10">
        <f t="shared" si="123"/>
        <v>38.244920539999995</v>
      </c>
      <c r="V729" s="10">
        <f t="shared" si="124"/>
        <v>38.7420233</v>
      </c>
      <c r="W729" s="10">
        <f t="shared" si="125"/>
        <v>49.926835400000002</v>
      </c>
      <c r="X729" s="10">
        <f t="shared" si="126"/>
        <v>54.897863000000001</v>
      </c>
      <c r="Y729" s="10">
        <f t="shared" si="127"/>
        <v>79.753000999999998</v>
      </c>
      <c r="Z729" s="10">
        <f t="shared" si="128"/>
        <v>28.421254399999995</v>
      </c>
      <c r="AA729" s="10">
        <f t="shared" si="129"/>
        <v>36.541612800000003</v>
      </c>
      <c r="AB729" s="10">
        <f t="shared" si="130"/>
        <v>40.601792000000003</v>
      </c>
      <c r="AC729" s="10">
        <f t="shared" si="131"/>
        <v>60.902687999999998</v>
      </c>
    </row>
    <row r="730" spans="1:29" x14ac:dyDescent="0.25">
      <c r="A730">
        <v>451815</v>
      </c>
      <c r="B730" t="s">
        <v>91</v>
      </c>
      <c r="C730" s="10">
        <v>15.89</v>
      </c>
      <c r="D730" s="10">
        <v>14.98</v>
      </c>
      <c r="E730" s="10">
        <v>0</v>
      </c>
      <c r="F730">
        <v>6</v>
      </c>
      <c r="G730" t="s">
        <v>15</v>
      </c>
      <c r="H730" s="11">
        <v>45988</v>
      </c>
      <c r="I730" t="s">
        <v>13</v>
      </c>
      <c r="J730" s="12">
        <v>4</v>
      </c>
      <c r="K730" s="3">
        <v>120.16</v>
      </c>
      <c r="L730" s="3">
        <f t="shared" si="121"/>
        <v>30.04</v>
      </c>
      <c r="M730" s="13"/>
      <c r="N730">
        <f>_xlfn.XLOOKUP(G730,'Tarievensheet per persoon'!AE:AE,'Tarievensheet per persoon'!AF:AF)</f>
        <v>1.7024999999999999</v>
      </c>
      <c r="O730">
        <f>_xlfn.XLOOKUP(G730,AE:AE,'Tarievensheet per persoon'!AG:AG)</f>
        <v>1.5642</v>
      </c>
      <c r="P730">
        <f>_xlfn.XLOOKUP(G730,AE:AE,'Tarievensheet per persoon'!AH:AH)</f>
        <v>1.3552</v>
      </c>
      <c r="Q730">
        <f>_xlfn.XLOOKUP(G730,AE:AE,'Tarievensheet per persoon'!AI:AI)</f>
        <v>1.3552</v>
      </c>
      <c r="R730">
        <v>0</v>
      </c>
      <c r="S730" s="14">
        <v>2.99</v>
      </c>
      <c r="T730" s="10">
        <f t="shared" si="122"/>
        <v>30.042724999999997</v>
      </c>
      <c r="U730" s="10">
        <f t="shared" si="123"/>
        <v>38.244920539999995</v>
      </c>
      <c r="V730" s="10">
        <f t="shared" si="124"/>
        <v>38.7420233</v>
      </c>
      <c r="W730" s="10">
        <f t="shared" si="125"/>
        <v>49.926835400000002</v>
      </c>
      <c r="X730" s="10">
        <f t="shared" si="126"/>
        <v>54.897863000000001</v>
      </c>
      <c r="Y730" s="10">
        <f t="shared" si="127"/>
        <v>79.753000999999998</v>
      </c>
      <c r="Z730" s="10">
        <f t="shared" si="128"/>
        <v>28.421254399999995</v>
      </c>
      <c r="AA730" s="10">
        <f t="shared" si="129"/>
        <v>36.541612800000003</v>
      </c>
      <c r="AB730" s="10">
        <f t="shared" si="130"/>
        <v>40.601792000000003</v>
      </c>
      <c r="AC730" s="10">
        <f t="shared" si="131"/>
        <v>60.902687999999998</v>
      </c>
    </row>
    <row r="731" spans="1:29" x14ac:dyDescent="0.25">
      <c r="A731">
        <v>451815</v>
      </c>
      <c r="B731" t="s">
        <v>91</v>
      </c>
      <c r="C731" s="10">
        <v>15.89</v>
      </c>
      <c r="D731" s="10">
        <v>14.98</v>
      </c>
      <c r="E731" s="10">
        <v>0</v>
      </c>
      <c r="F731">
        <v>6</v>
      </c>
      <c r="G731" t="s">
        <v>15</v>
      </c>
      <c r="H731" s="11">
        <v>45988</v>
      </c>
      <c r="I731" t="s">
        <v>21</v>
      </c>
      <c r="J731" s="12">
        <v>3.75</v>
      </c>
      <c r="K731" s="3">
        <v>143.4</v>
      </c>
      <c r="L731" s="3">
        <f t="shared" si="121"/>
        <v>38.24</v>
      </c>
      <c r="M731" s="13"/>
      <c r="N731">
        <f>_xlfn.XLOOKUP(G731,'Tarievensheet per persoon'!AE:AE,'Tarievensheet per persoon'!AF:AF)</f>
        <v>1.7024999999999999</v>
      </c>
      <c r="O731">
        <f>_xlfn.XLOOKUP(G731,AE:AE,'Tarievensheet per persoon'!AG:AG)</f>
        <v>1.5642</v>
      </c>
      <c r="P731">
        <f>_xlfn.XLOOKUP(G731,AE:AE,'Tarievensheet per persoon'!AH:AH)</f>
        <v>1.3552</v>
      </c>
      <c r="Q731">
        <f>_xlfn.XLOOKUP(G731,AE:AE,'Tarievensheet per persoon'!AI:AI)</f>
        <v>1.3552</v>
      </c>
      <c r="R731">
        <v>0</v>
      </c>
      <c r="S731" s="14">
        <v>2.99</v>
      </c>
      <c r="T731" s="10">
        <f t="shared" si="122"/>
        <v>30.042724999999997</v>
      </c>
      <c r="U731" s="10">
        <f t="shared" si="123"/>
        <v>38.244920539999995</v>
      </c>
      <c r="V731" s="10">
        <f t="shared" si="124"/>
        <v>38.7420233</v>
      </c>
      <c r="W731" s="10">
        <f t="shared" si="125"/>
        <v>49.926835400000002</v>
      </c>
      <c r="X731" s="10">
        <f t="shared" si="126"/>
        <v>54.897863000000001</v>
      </c>
      <c r="Y731" s="10">
        <f t="shared" si="127"/>
        <v>79.753000999999998</v>
      </c>
      <c r="Z731" s="10">
        <f t="shared" si="128"/>
        <v>28.421254399999995</v>
      </c>
      <c r="AA731" s="10">
        <f t="shared" si="129"/>
        <v>36.541612800000003</v>
      </c>
      <c r="AB731" s="10">
        <f t="shared" si="130"/>
        <v>40.601792000000003</v>
      </c>
      <c r="AC731" s="10">
        <f t="shared" si="131"/>
        <v>60.902687999999998</v>
      </c>
    </row>
    <row r="732" spans="1:29" x14ac:dyDescent="0.25">
      <c r="A732">
        <v>451815</v>
      </c>
      <c r="B732" t="s">
        <v>91</v>
      </c>
      <c r="C732" s="10">
        <v>15.89</v>
      </c>
      <c r="D732" s="10">
        <v>14.98</v>
      </c>
      <c r="E732" s="10">
        <v>0</v>
      </c>
      <c r="F732">
        <v>6</v>
      </c>
      <c r="G732" t="s">
        <v>15</v>
      </c>
      <c r="H732" s="11">
        <v>45989</v>
      </c>
      <c r="I732" t="s">
        <v>13</v>
      </c>
      <c r="J732" s="12">
        <v>4</v>
      </c>
      <c r="K732" s="3">
        <v>120.16</v>
      </c>
      <c r="L732" s="3">
        <f t="shared" si="121"/>
        <v>30.04</v>
      </c>
      <c r="M732" s="13"/>
      <c r="N732">
        <f>_xlfn.XLOOKUP(G732,'Tarievensheet per persoon'!AE:AE,'Tarievensheet per persoon'!AF:AF)</f>
        <v>1.7024999999999999</v>
      </c>
      <c r="O732">
        <f>_xlfn.XLOOKUP(G732,AE:AE,'Tarievensheet per persoon'!AG:AG)</f>
        <v>1.5642</v>
      </c>
      <c r="P732">
        <f>_xlfn.XLOOKUP(G732,AE:AE,'Tarievensheet per persoon'!AH:AH)</f>
        <v>1.3552</v>
      </c>
      <c r="Q732">
        <f>_xlfn.XLOOKUP(G732,AE:AE,'Tarievensheet per persoon'!AI:AI)</f>
        <v>1.3552</v>
      </c>
      <c r="R732">
        <v>0</v>
      </c>
      <c r="S732" s="14">
        <v>2.99</v>
      </c>
      <c r="T732" s="10">
        <f t="shared" si="122"/>
        <v>30.042724999999997</v>
      </c>
      <c r="U732" s="10">
        <f t="shared" si="123"/>
        <v>38.244920539999995</v>
      </c>
      <c r="V732" s="10">
        <f t="shared" si="124"/>
        <v>38.7420233</v>
      </c>
      <c r="W732" s="10">
        <f t="shared" si="125"/>
        <v>49.926835400000002</v>
      </c>
      <c r="X732" s="10">
        <f t="shared" si="126"/>
        <v>54.897863000000001</v>
      </c>
      <c r="Y732" s="10">
        <f t="shared" si="127"/>
        <v>79.753000999999998</v>
      </c>
      <c r="Z732" s="10">
        <f t="shared" si="128"/>
        <v>28.421254399999995</v>
      </c>
      <c r="AA732" s="10">
        <f t="shared" si="129"/>
        <v>36.541612800000003</v>
      </c>
      <c r="AB732" s="10">
        <f t="shared" si="130"/>
        <v>40.601792000000003</v>
      </c>
      <c r="AC732" s="10">
        <f t="shared" si="131"/>
        <v>60.902687999999998</v>
      </c>
    </row>
    <row r="733" spans="1:29" x14ac:dyDescent="0.25">
      <c r="A733">
        <v>451815</v>
      </c>
      <c r="B733" t="s">
        <v>91</v>
      </c>
      <c r="C733" s="10">
        <v>15.89</v>
      </c>
      <c r="D733" s="10">
        <v>14.98</v>
      </c>
      <c r="E733" s="10">
        <v>0</v>
      </c>
      <c r="F733">
        <v>6</v>
      </c>
      <c r="G733" t="s">
        <v>15</v>
      </c>
      <c r="H733" s="11">
        <v>45989</v>
      </c>
      <c r="I733" t="s">
        <v>21</v>
      </c>
      <c r="J733" s="12">
        <v>3.25</v>
      </c>
      <c r="K733" s="3">
        <v>124.28</v>
      </c>
      <c r="L733" s="3">
        <f t="shared" si="121"/>
        <v>38.24</v>
      </c>
      <c r="M733" s="13"/>
      <c r="N733">
        <f>_xlfn.XLOOKUP(G733,'Tarievensheet per persoon'!AE:AE,'Tarievensheet per persoon'!AF:AF)</f>
        <v>1.7024999999999999</v>
      </c>
      <c r="O733">
        <f>_xlfn.XLOOKUP(G733,AE:AE,'Tarievensheet per persoon'!AG:AG)</f>
        <v>1.5642</v>
      </c>
      <c r="P733">
        <f>_xlfn.XLOOKUP(G733,AE:AE,'Tarievensheet per persoon'!AH:AH)</f>
        <v>1.3552</v>
      </c>
      <c r="Q733">
        <f>_xlfn.XLOOKUP(G733,AE:AE,'Tarievensheet per persoon'!AI:AI)</f>
        <v>1.3552</v>
      </c>
      <c r="R733">
        <v>0</v>
      </c>
      <c r="S733" s="14">
        <v>2.99</v>
      </c>
      <c r="T733" s="10">
        <f t="shared" si="122"/>
        <v>30.042724999999997</v>
      </c>
      <c r="U733" s="10">
        <f t="shared" si="123"/>
        <v>38.244920539999995</v>
      </c>
      <c r="V733" s="10">
        <f t="shared" si="124"/>
        <v>38.7420233</v>
      </c>
      <c r="W733" s="10">
        <f t="shared" si="125"/>
        <v>49.926835400000002</v>
      </c>
      <c r="X733" s="10">
        <f t="shared" si="126"/>
        <v>54.897863000000001</v>
      </c>
      <c r="Y733" s="10">
        <f t="shared" si="127"/>
        <v>79.753000999999998</v>
      </c>
      <c r="Z733" s="10">
        <f t="shared" si="128"/>
        <v>28.421254399999995</v>
      </c>
      <c r="AA733" s="10">
        <f t="shared" si="129"/>
        <v>36.541612800000003</v>
      </c>
      <c r="AB733" s="10">
        <f t="shared" si="130"/>
        <v>40.601792000000003</v>
      </c>
      <c r="AC733" s="10">
        <f t="shared" si="131"/>
        <v>60.902687999999998</v>
      </c>
    </row>
    <row r="734" spans="1:29" x14ac:dyDescent="0.25">
      <c r="A734">
        <v>452125</v>
      </c>
      <c r="B734" t="s">
        <v>127</v>
      </c>
      <c r="C734" s="10">
        <v>15.89</v>
      </c>
      <c r="D734" s="10">
        <v>14.98</v>
      </c>
      <c r="E734" s="10">
        <v>0</v>
      </c>
      <c r="F734">
        <v>2</v>
      </c>
      <c r="G734" t="s">
        <v>15</v>
      </c>
      <c r="H734" s="11">
        <v>45985</v>
      </c>
      <c r="I734" t="s">
        <v>13</v>
      </c>
      <c r="J734" s="12">
        <v>8</v>
      </c>
      <c r="K734" s="3">
        <v>240.32</v>
      </c>
      <c r="L734" s="3">
        <f t="shared" si="121"/>
        <v>30.04</v>
      </c>
      <c r="M734" s="13"/>
      <c r="N734">
        <f>_xlfn.XLOOKUP(G734,'Tarievensheet per persoon'!AE:AE,'Tarievensheet per persoon'!AF:AF)</f>
        <v>1.7024999999999999</v>
      </c>
      <c r="O734">
        <f>_xlfn.XLOOKUP(G734,AE:AE,'Tarievensheet per persoon'!AG:AG)</f>
        <v>1.5642</v>
      </c>
      <c r="P734">
        <f>_xlfn.XLOOKUP(G734,AE:AE,'Tarievensheet per persoon'!AH:AH)</f>
        <v>1.3552</v>
      </c>
      <c r="Q734">
        <f>_xlfn.XLOOKUP(G734,AE:AE,'Tarievensheet per persoon'!AI:AI)</f>
        <v>1.3552</v>
      </c>
      <c r="R734">
        <v>0</v>
      </c>
      <c r="S734" s="14">
        <v>2.99</v>
      </c>
      <c r="T734" s="10">
        <f t="shared" si="122"/>
        <v>30.042724999999997</v>
      </c>
      <c r="U734" s="10">
        <f t="shared" si="123"/>
        <v>38.244920539999995</v>
      </c>
      <c r="V734" s="10">
        <f t="shared" si="124"/>
        <v>38.7420233</v>
      </c>
      <c r="W734" s="10">
        <f t="shared" si="125"/>
        <v>49.926835400000002</v>
      </c>
      <c r="X734" s="10">
        <f t="shared" si="126"/>
        <v>54.897863000000001</v>
      </c>
      <c r="Y734" s="10">
        <f t="shared" si="127"/>
        <v>79.753000999999998</v>
      </c>
      <c r="Z734" s="10">
        <f t="shared" si="128"/>
        <v>28.421254399999995</v>
      </c>
      <c r="AA734" s="10">
        <f t="shared" si="129"/>
        <v>36.541612800000003</v>
      </c>
      <c r="AB734" s="10">
        <f t="shared" si="130"/>
        <v>40.601792000000003</v>
      </c>
      <c r="AC734" s="10">
        <f t="shared" si="131"/>
        <v>60.902687999999998</v>
      </c>
    </row>
    <row r="735" spans="1:29" x14ac:dyDescent="0.25">
      <c r="A735">
        <v>452125</v>
      </c>
      <c r="B735" t="s">
        <v>127</v>
      </c>
      <c r="C735" s="10">
        <v>15.89</v>
      </c>
      <c r="D735" s="10">
        <v>14.98</v>
      </c>
      <c r="E735" s="10">
        <v>0</v>
      </c>
      <c r="F735">
        <v>2</v>
      </c>
      <c r="G735" t="s">
        <v>15</v>
      </c>
      <c r="H735" s="11">
        <v>45986</v>
      </c>
      <c r="I735" t="s">
        <v>13</v>
      </c>
      <c r="J735" s="12">
        <v>5.25</v>
      </c>
      <c r="K735" s="3">
        <v>157.71</v>
      </c>
      <c r="L735" s="3">
        <f t="shared" si="121"/>
        <v>30.040000000000003</v>
      </c>
      <c r="M735" s="13"/>
      <c r="N735">
        <f>_xlfn.XLOOKUP(G735,'Tarievensheet per persoon'!AE:AE,'Tarievensheet per persoon'!AF:AF)</f>
        <v>1.7024999999999999</v>
      </c>
      <c r="O735">
        <f>_xlfn.XLOOKUP(G735,AE:AE,'Tarievensheet per persoon'!AG:AG)</f>
        <v>1.5642</v>
      </c>
      <c r="P735">
        <f>_xlfn.XLOOKUP(G735,AE:AE,'Tarievensheet per persoon'!AH:AH)</f>
        <v>1.3552</v>
      </c>
      <c r="Q735">
        <f>_xlfn.XLOOKUP(G735,AE:AE,'Tarievensheet per persoon'!AI:AI)</f>
        <v>1.3552</v>
      </c>
      <c r="R735">
        <v>0</v>
      </c>
      <c r="S735" s="14">
        <v>2.99</v>
      </c>
      <c r="T735" s="10">
        <f t="shared" si="122"/>
        <v>30.042724999999997</v>
      </c>
      <c r="U735" s="10">
        <f t="shared" si="123"/>
        <v>38.244920539999995</v>
      </c>
      <c r="V735" s="10">
        <f t="shared" si="124"/>
        <v>38.7420233</v>
      </c>
      <c r="W735" s="10">
        <f t="shared" si="125"/>
        <v>49.926835400000002</v>
      </c>
      <c r="X735" s="10">
        <f t="shared" si="126"/>
        <v>54.897863000000001</v>
      </c>
      <c r="Y735" s="10">
        <f t="shared" si="127"/>
        <v>79.753000999999998</v>
      </c>
      <c r="Z735" s="10">
        <f t="shared" si="128"/>
        <v>28.421254399999995</v>
      </c>
      <c r="AA735" s="10">
        <f t="shared" si="129"/>
        <v>36.541612800000003</v>
      </c>
      <c r="AB735" s="10">
        <f t="shared" si="130"/>
        <v>40.601792000000003</v>
      </c>
      <c r="AC735" s="10">
        <f t="shared" si="131"/>
        <v>60.902687999999998</v>
      </c>
    </row>
    <row r="736" spans="1:29" x14ac:dyDescent="0.25">
      <c r="A736">
        <v>452125</v>
      </c>
      <c r="B736" t="s">
        <v>127</v>
      </c>
      <c r="C736" s="10">
        <v>15.89</v>
      </c>
      <c r="D736" s="10">
        <v>14.98</v>
      </c>
      <c r="E736" s="10">
        <v>0</v>
      </c>
      <c r="F736">
        <v>2</v>
      </c>
      <c r="G736" t="s">
        <v>15</v>
      </c>
      <c r="H736" s="11">
        <v>45986</v>
      </c>
      <c r="I736" t="s">
        <v>23</v>
      </c>
      <c r="J736" s="12">
        <v>4.5</v>
      </c>
      <c r="K736" s="3">
        <v>127.89</v>
      </c>
      <c r="L736" s="3">
        <f t="shared" si="121"/>
        <v>28.42</v>
      </c>
      <c r="M736" s="13"/>
      <c r="N736">
        <f>_xlfn.XLOOKUP(G736,'Tarievensheet per persoon'!AE:AE,'Tarievensheet per persoon'!AF:AF)</f>
        <v>1.7024999999999999</v>
      </c>
      <c r="O736">
        <f>_xlfn.XLOOKUP(G736,AE:AE,'Tarievensheet per persoon'!AG:AG)</f>
        <v>1.5642</v>
      </c>
      <c r="P736">
        <f>_xlfn.XLOOKUP(G736,AE:AE,'Tarievensheet per persoon'!AH:AH)</f>
        <v>1.3552</v>
      </c>
      <c r="Q736">
        <f>_xlfn.XLOOKUP(G736,AE:AE,'Tarievensheet per persoon'!AI:AI)</f>
        <v>1.3552</v>
      </c>
      <c r="R736">
        <v>0</v>
      </c>
      <c r="S736" s="14">
        <v>2.99</v>
      </c>
      <c r="T736" s="10">
        <f t="shared" si="122"/>
        <v>30.042724999999997</v>
      </c>
      <c r="U736" s="10">
        <f t="shared" si="123"/>
        <v>38.244920539999995</v>
      </c>
      <c r="V736" s="10">
        <f t="shared" si="124"/>
        <v>38.7420233</v>
      </c>
      <c r="W736" s="10">
        <f t="shared" si="125"/>
        <v>49.926835400000002</v>
      </c>
      <c r="X736" s="10">
        <f t="shared" si="126"/>
        <v>54.897863000000001</v>
      </c>
      <c r="Y736" s="10">
        <f t="shared" si="127"/>
        <v>79.753000999999998</v>
      </c>
      <c r="Z736" s="10">
        <f t="shared" si="128"/>
        <v>28.421254399999995</v>
      </c>
      <c r="AA736" s="10">
        <f t="shared" si="129"/>
        <v>36.541612800000003</v>
      </c>
      <c r="AB736" s="10">
        <f t="shared" si="130"/>
        <v>40.601792000000003</v>
      </c>
      <c r="AC736" s="10">
        <f t="shared" si="131"/>
        <v>60.902687999999998</v>
      </c>
    </row>
    <row r="737" spans="1:29" x14ac:dyDescent="0.25">
      <c r="A737">
        <v>452125</v>
      </c>
      <c r="B737" t="s">
        <v>127</v>
      </c>
      <c r="C737" s="10">
        <v>15.89</v>
      </c>
      <c r="D737" s="10">
        <v>14.98</v>
      </c>
      <c r="E737" s="10">
        <v>0</v>
      </c>
      <c r="F737">
        <v>2</v>
      </c>
      <c r="G737" t="s">
        <v>15</v>
      </c>
      <c r="H737" s="11">
        <v>45986</v>
      </c>
      <c r="I737" t="s">
        <v>21</v>
      </c>
      <c r="J737" s="12">
        <v>0.75</v>
      </c>
      <c r="K737" s="3">
        <v>28.68</v>
      </c>
      <c r="L737" s="3">
        <f t="shared" si="121"/>
        <v>38.24</v>
      </c>
      <c r="M737" s="13"/>
      <c r="N737">
        <f>_xlfn.XLOOKUP(G737,'Tarievensheet per persoon'!AE:AE,'Tarievensheet per persoon'!AF:AF)</f>
        <v>1.7024999999999999</v>
      </c>
      <c r="O737">
        <f>_xlfn.XLOOKUP(G737,AE:AE,'Tarievensheet per persoon'!AG:AG)</f>
        <v>1.5642</v>
      </c>
      <c r="P737">
        <f>_xlfn.XLOOKUP(G737,AE:AE,'Tarievensheet per persoon'!AH:AH)</f>
        <v>1.3552</v>
      </c>
      <c r="Q737">
        <f>_xlfn.XLOOKUP(G737,AE:AE,'Tarievensheet per persoon'!AI:AI)</f>
        <v>1.3552</v>
      </c>
      <c r="R737">
        <v>0</v>
      </c>
      <c r="S737" s="14">
        <v>2.99</v>
      </c>
      <c r="T737" s="10">
        <f t="shared" si="122"/>
        <v>30.042724999999997</v>
      </c>
      <c r="U737" s="10">
        <f t="shared" si="123"/>
        <v>38.244920539999995</v>
      </c>
      <c r="V737" s="10">
        <f t="shared" si="124"/>
        <v>38.7420233</v>
      </c>
      <c r="W737" s="10">
        <f t="shared" si="125"/>
        <v>49.926835400000002</v>
      </c>
      <c r="X737" s="10">
        <f t="shared" si="126"/>
        <v>54.897863000000001</v>
      </c>
      <c r="Y737" s="10">
        <f t="shared" si="127"/>
        <v>79.753000999999998</v>
      </c>
      <c r="Z737" s="10">
        <f t="shared" si="128"/>
        <v>28.421254399999995</v>
      </c>
      <c r="AA737" s="10">
        <f t="shared" si="129"/>
        <v>36.541612800000003</v>
      </c>
      <c r="AB737" s="10">
        <f t="shared" si="130"/>
        <v>40.601792000000003</v>
      </c>
      <c r="AC737" s="10">
        <f t="shared" si="131"/>
        <v>60.902687999999998</v>
      </c>
    </row>
    <row r="738" spans="1:29" x14ac:dyDescent="0.25">
      <c r="A738">
        <v>452125</v>
      </c>
      <c r="B738" t="s">
        <v>127</v>
      </c>
      <c r="C738" s="10">
        <v>15.89</v>
      </c>
      <c r="D738" s="10">
        <v>14.98</v>
      </c>
      <c r="E738" s="10">
        <v>0</v>
      </c>
      <c r="F738">
        <v>2</v>
      </c>
      <c r="G738" t="s">
        <v>15</v>
      </c>
      <c r="H738" s="11">
        <v>45987</v>
      </c>
      <c r="I738" t="s">
        <v>13</v>
      </c>
      <c r="J738" s="12">
        <v>9</v>
      </c>
      <c r="K738" s="3">
        <v>270.36</v>
      </c>
      <c r="L738" s="3">
        <f t="shared" si="121"/>
        <v>30.040000000000003</v>
      </c>
      <c r="M738" s="13"/>
      <c r="N738">
        <f>_xlfn.XLOOKUP(G738,'Tarievensheet per persoon'!AE:AE,'Tarievensheet per persoon'!AF:AF)</f>
        <v>1.7024999999999999</v>
      </c>
      <c r="O738">
        <f>_xlfn.XLOOKUP(G738,AE:AE,'Tarievensheet per persoon'!AG:AG)</f>
        <v>1.5642</v>
      </c>
      <c r="P738">
        <f>_xlfn.XLOOKUP(G738,AE:AE,'Tarievensheet per persoon'!AH:AH)</f>
        <v>1.3552</v>
      </c>
      <c r="Q738">
        <f>_xlfn.XLOOKUP(G738,AE:AE,'Tarievensheet per persoon'!AI:AI)</f>
        <v>1.3552</v>
      </c>
      <c r="R738">
        <v>0</v>
      </c>
      <c r="S738" s="14">
        <v>2.99</v>
      </c>
      <c r="T738" s="10">
        <f t="shared" si="122"/>
        <v>30.042724999999997</v>
      </c>
      <c r="U738" s="10">
        <f t="shared" si="123"/>
        <v>38.244920539999995</v>
      </c>
      <c r="V738" s="10">
        <f t="shared" si="124"/>
        <v>38.7420233</v>
      </c>
      <c r="W738" s="10">
        <f t="shared" si="125"/>
        <v>49.926835400000002</v>
      </c>
      <c r="X738" s="10">
        <f t="shared" si="126"/>
        <v>54.897863000000001</v>
      </c>
      <c r="Y738" s="10">
        <f t="shared" si="127"/>
        <v>79.753000999999998</v>
      </c>
      <c r="Z738" s="10">
        <f t="shared" si="128"/>
        <v>28.421254399999995</v>
      </c>
      <c r="AA738" s="10">
        <f t="shared" si="129"/>
        <v>36.541612800000003</v>
      </c>
      <c r="AB738" s="10">
        <f t="shared" si="130"/>
        <v>40.601792000000003</v>
      </c>
      <c r="AC738" s="10">
        <f t="shared" si="131"/>
        <v>60.902687999999998</v>
      </c>
    </row>
    <row r="739" spans="1:29" x14ac:dyDescent="0.25">
      <c r="A739">
        <v>452125</v>
      </c>
      <c r="B739" t="s">
        <v>127</v>
      </c>
      <c r="C739" s="10">
        <v>15.89</v>
      </c>
      <c r="D739" s="10">
        <v>14.98</v>
      </c>
      <c r="E739" s="10">
        <v>0</v>
      </c>
      <c r="F739">
        <v>2</v>
      </c>
      <c r="G739" t="s">
        <v>15</v>
      </c>
      <c r="H739" s="11">
        <v>45988</v>
      </c>
      <c r="I739" t="s">
        <v>13</v>
      </c>
      <c r="J739" s="12">
        <v>9</v>
      </c>
      <c r="K739" s="3">
        <v>270.36</v>
      </c>
      <c r="L739" s="3">
        <f t="shared" si="121"/>
        <v>30.040000000000003</v>
      </c>
      <c r="M739" s="13"/>
      <c r="N739">
        <f>_xlfn.XLOOKUP(G739,'Tarievensheet per persoon'!AE:AE,'Tarievensheet per persoon'!AF:AF)</f>
        <v>1.7024999999999999</v>
      </c>
      <c r="O739">
        <f>_xlfn.XLOOKUP(G739,AE:AE,'Tarievensheet per persoon'!AG:AG)</f>
        <v>1.5642</v>
      </c>
      <c r="P739">
        <f>_xlfn.XLOOKUP(G739,AE:AE,'Tarievensheet per persoon'!AH:AH)</f>
        <v>1.3552</v>
      </c>
      <c r="Q739">
        <f>_xlfn.XLOOKUP(G739,AE:AE,'Tarievensheet per persoon'!AI:AI)</f>
        <v>1.3552</v>
      </c>
      <c r="R739">
        <v>0</v>
      </c>
      <c r="S739" s="14">
        <v>2.99</v>
      </c>
      <c r="T739" s="10">
        <f t="shared" si="122"/>
        <v>30.042724999999997</v>
      </c>
      <c r="U739" s="10">
        <f t="shared" si="123"/>
        <v>38.244920539999995</v>
      </c>
      <c r="V739" s="10">
        <f t="shared" si="124"/>
        <v>38.7420233</v>
      </c>
      <c r="W739" s="10">
        <f t="shared" si="125"/>
        <v>49.926835400000002</v>
      </c>
      <c r="X739" s="10">
        <f t="shared" si="126"/>
        <v>54.897863000000001</v>
      </c>
      <c r="Y739" s="10">
        <f t="shared" si="127"/>
        <v>79.753000999999998</v>
      </c>
      <c r="Z739" s="10">
        <f t="shared" si="128"/>
        <v>28.421254399999995</v>
      </c>
      <c r="AA739" s="10">
        <f t="shared" si="129"/>
        <v>36.541612800000003</v>
      </c>
      <c r="AB739" s="10">
        <f t="shared" si="130"/>
        <v>40.601792000000003</v>
      </c>
      <c r="AC739" s="10">
        <f t="shared" si="131"/>
        <v>60.902687999999998</v>
      </c>
    </row>
    <row r="740" spans="1:29" x14ac:dyDescent="0.25">
      <c r="A740">
        <v>452125</v>
      </c>
      <c r="B740" t="s">
        <v>127</v>
      </c>
      <c r="C740" s="10">
        <v>15.89</v>
      </c>
      <c r="D740" s="10">
        <v>14.98</v>
      </c>
      <c r="E740" s="10">
        <v>0</v>
      </c>
      <c r="F740">
        <v>2</v>
      </c>
      <c r="G740" t="s">
        <v>15</v>
      </c>
      <c r="H740" s="11">
        <v>45989</v>
      </c>
      <c r="I740" t="s">
        <v>13</v>
      </c>
      <c r="J740" s="12">
        <v>8</v>
      </c>
      <c r="K740" s="3">
        <v>240.32</v>
      </c>
      <c r="L740" s="3">
        <f t="shared" si="121"/>
        <v>30.04</v>
      </c>
      <c r="M740" s="13"/>
      <c r="N740">
        <f>_xlfn.XLOOKUP(G740,'Tarievensheet per persoon'!AE:AE,'Tarievensheet per persoon'!AF:AF)</f>
        <v>1.7024999999999999</v>
      </c>
      <c r="O740">
        <f>_xlfn.XLOOKUP(G740,AE:AE,'Tarievensheet per persoon'!AG:AG)</f>
        <v>1.5642</v>
      </c>
      <c r="P740">
        <f>_xlfn.XLOOKUP(G740,AE:AE,'Tarievensheet per persoon'!AH:AH)</f>
        <v>1.3552</v>
      </c>
      <c r="Q740">
        <f>_xlfn.XLOOKUP(G740,AE:AE,'Tarievensheet per persoon'!AI:AI)</f>
        <v>1.3552</v>
      </c>
      <c r="R740">
        <v>0</v>
      </c>
      <c r="S740" s="14">
        <v>2.99</v>
      </c>
      <c r="T740" s="10">
        <f t="shared" si="122"/>
        <v>30.042724999999997</v>
      </c>
      <c r="U740" s="10">
        <f t="shared" si="123"/>
        <v>38.244920539999995</v>
      </c>
      <c r="V740" s="10">
        <f t="shared" si="124"/>
        <v>38.7420233</v>
      </c>
      <c r="W740" s="10">
        <f t="shared" si="125"/>
        <v>49.926835400000002</v>
      </c>
      <c r="X740" s="10">
        <f t="shared" si="126"/>
        <v>54.897863000000001</v>
      </c>
      <c r="Y740" s="10">
        <f t="shared" si="127"/>
        <v>79.753000999999998</v>
      </c>
      <c r="Z740" s="10">
        <f t="shared" si="128"/>
        <v>28.421254399999995</v>
      </c>
      <c r="AA740" s="10">
        <f t="shared" si="129"/>
        <v>36.541612800000003</v>
      </c>
      <c r="AB740" s="10">
        <f t="shared" si="130"/>
        <v>40.601792000000003</v>
      </c>
      <c r="AC740" s="10">
        <f t="shared" si="131"/>
        <v>60.902687999999998</v>
      </c>
    </row>
    <row r="741" spans="1:29" x14ac:dyDescent="0.25">
      <c r="A741">
        <v>452150</v>
      </c>
      <c r="B741" t="s">
        <v>128</v>
      </c>
      <c r="C741" s="10">
        <v>15.89</v>
      </c>
      <c r="D741" s="10">
        <v>14.98</v>
      </c>
      <c r="E741" s="10">
        <v>0</v>
      </c>
      <c r="F741">
        <v>5</v>
      </c>
      <c r="G741" t="s">
        <v>15</v>
      </c>
      <c r="H741" s="11">
        <v>45985</v>
      </c>
      <c r="I741" t="s">
        <v>13</v>
      </c>
      <c r="J741" s="12">
        <v>9</v>
      </c>
      <c r="K741" s="3">
        <v>270.36</v>
      </c>
      <c r="L741" s="3">
        <f t="shared" si="121"/>
        <v>30.040000000000003</v>
      </c>
      <c r="M741" s="13"/>
      <c r="N741">
        <f>_xlfn.XLOOKUP(G741,'Tarievensheet per persoon'!AE:AE,'Tarievensheet per persoon'!AF:AF)</f>
        <v>1.7024999999999999</v>
      </c>
      <c r="O741">
        <f>_xlfn.XLOOKUP(G741,AE:AE,'Tarievensheet per persoon'!AG:AG)</f>
        <v>1.5642</v>
      </c>
      <c r="P741">
        <f>_xlfn.XLOOKUP(G741,AE:AE,'Tarievensheet per persoon'!AH:AH)</f>
        <v>1.3552</v>
      </c>
      <c r="Q741">
        <f>_xlfn.XLOOKUP(G741,AE:AE,'Tarievensheet per persoon'!AI:AI)</f>
        <v>1.3552</v>
      </c>
      <c r="R741">
        <v>0</v>
      </c>
      <c r="S741" s="14">
        <v>2.99</v>
      </c>
      <c r="T741" s="10">
        <f t="shared" si="122"/>
        <v>30.042724999999997</v>
      </c>
      <c r="U741" s="10">
        <f t="shared" si="123"/>
        <v>38.244920539999995</v>
      </c>
      <c r="V741" s="10">
        <f t="shared" si="124"/>
        <v>38.7420233</v>
      </c>
      <c r="W741" s="10">
        <f t="shared" si="125"/>
        <v>49.926835400000002</v>
      </c>
      <c r="X741" s="10">
        <f t="shared" si="126"/>
        <v>54.897863000000001</v>
      </c>
      <c r="Y741" s="10">
        <f t="shared" si="127"/>
        <v>79.753000999999998</v>
      </c>
      <c r="Z741" s="10">
        <f t="shared" si="128"/>
        <v>28.421254399999995</v>
      </c>
      <c r="AA741" s="10">
        <f t="shared" si="129"/>
        <v>36.541612800000003</v>
      </c>
      <c r="AB741" s="10">
        <f t="shared" si="130"/>
        <v>40.601792000000003</v>
      </c>
      <c r="AC741" s="10">
        <f t="shared" si="131"/>
        <v>60.902687999999998</v>
      </c>
    </row>
    <row r="742" spans="1:29" x14ac:dyDescent="0.25">
      <c r="A742">
        <v>452150</v>
      </c>
      <c r="B742" t="s">
        <v>128</v>
      </c>
      <c r="C742" s="10">
        <v>15.89</v>
      </c>
      <c r="D742" s="10">
        <v>14.98</v>
      </c>
      <c r="E742" s="10">
        <v>0</v>
      </c>
      <c r="F742">
        <v>5</v>
      </c>
      <c r="G742" t="s">
        <v>15</v>
      </c>
      <c r="H742" s="11">
        <v>45986</v>
      </c>
      <c r="I742" t="s">
        <v>13</v>
      </c>
      <c r="J742" s="12">
        <v>7.5</v>
      </c>
      <c r="K742" s="3">
        <v>225.3</v>
      </c>
      <c r="L742" s="3">
        <f t="shared" si="121"/>
        <v>30.040000000000003</v>
      </c>
      <c r="M742" s="13"/>
      <c r="N742">
        <f>_xlfn.XLOOKUP(G742,'Tarievensheet per persoon'!AE:AE,'Tarievensheet per persoon'!AF:AF)</f>
        <v>1.7024999999999999</v>
      </c>
      <c r="O742">
        <f>_xlfn.XLOOKUP(G742,AE:AE,'Tarievensheet per persoon'!AG:AG)</f>
        <v>1.5642</v>
      </c>
      <c r="P742">
        <f>_xlfn.XLOOKUP(G742,AE:AE,'Tarievensheet per persoon'!AH:AH)</f>
        <v>1.3552</v>
      </c>
      <c r="Q742">
        <f>_xlfn.XLOOKUP(G742,AE:AE,'Tarievensheet per persoon'!AI:AI)</f>
        <v>1.3552</v>
      </c>
      <c r="R742">
        <v>0</v>
      </c>
      <c r="S742" s="14">
        <v>2.99</v>
      </c>
      <c r="T742" s="10">
        <f t="shared" si="122"/>
        <v>30.042724999999997</v>
      </c>
      <c r="U742" s="10">
        <f t="shared" si="123"/>
        <v>38.244920539999995</v>
      </c>
      <c r="V742" s="10">
        <f t="shared" si="124"/>
        <v>38.7420233</v>
      </c>
      <c r="W742" s="10">
        <f t="shared" si="125"/>
        <v>49.926835400000002</v>
      </c>
      <c r="X742" s="10">
        <f t="shared" si="126"/>
        <v>54.897863000000001</v>
      </c>
      <c r="Y742" s="10">
        <f t="shared" si="127"/>
        <v>79.753000999999998</v>
      </c>
      <c r="Z742" s="10">
        <f t="shared" si="128"/>
        <v>28.421254399999995</v>
      </c>
      <c r="AA742" s="10">
        <f t="shared" si="129"/>
        <v>36.541612800000003</v>
      </c>
      <c r="AB742" s="10">
        <f t="shared" si="130"/>
        <v>40.601792000000003</v>
      </c>
      <c r="AC742" s="10">
        <f t="shared" si="131"/>
        <v>60.902687999999998</v>
      </c>
    </row>
    <row r="743" spans="1:29" x14ac:dyDescent="0.25">
      <c r="A743">
        <v>452150</v>
      </c>
      <c r="B743" t="s">
        <v>128</v>
      </c>
      <c r="C743" s="10">
        <v>15.89</v>
      </c>
      <c r="D743" s="10">
        <v>14.98</v>
      </c>
      <c r="E743" s="10">
        <v>0</v>
      </c>
      <c r="F743">
        <v>5</v>
      </c>
      <c r="G743" t="s">
        <v>15</v>
      </c>
      <c r="H743" s="11">
        <v>45986</v>
      </c>
      <c r="I743" t="s">
        <v>23</v>
      </c>
      <c r="J743" s="12">
        <v>1.5</v>
      </c>
      <c r="K743" s="3">
        <v>42.63</v>
      </c>
      <c r="L743" s="3">
        <f t="shared" si="121"/>
        <v>28.42</v>
      </c>
      <c r="M743" s="13"/>
      <c r="N743">
        <f>_xlfn.XLOOKUP(G743,'Tarievensheet per persoon'!AE:AE,'Tarievensheet per persoon'!AF:AF)</f>
        <v>1.7024999999999999</v>
      </c>
      <c r="O743">
        <f>_xlfn.XLOOKUP(G743,AE:AE,'Tarievensheet per persoon'!AG:AG)</f>
        <v>1.5642</v>
      </c>
      <c r="P743">
        <f>_xlfn.XLOOKUP(G743,AE:AE,'Tarievensheet per persoon'!AH:AH)</f>
        <v>1.3552</v>
      </c>
      <c r="Q743">
        <f>_xlfn.XLOOKUP(G743,AE:AE,'Tarievensheet per persoon'!AI:AI)</f>
        <v>1.3552</v>
      </c>
      <c r="R743">
        <v>0</v>
      </c>
      <c r="S743" s="14">
        <v>2.99</v>
      </c>
      <c r="T743" s="10">
        <f t="shared" si="122"/>
        <v>30.042724999999997</v>
      </c>
      <c r="U743" s="10">
        <f t="shared" si="123"/>
        <v>38.244920539999995</v>
      </c>
      <c r="V743" s="10">
        <f t="shared" si="124"/>
        <v>38.7420233</v>
      </c>
      <c r="W743" s="10">
        <f t="shared" si="125"/>
        <v>49.926835400000002</v>
      </c>
      <c r="X743" s="10">
        <f t="shared" si="126"/>
        <v>54.897863000000001</v>
      </c>
      <c r="Y743" s="10">
        <f t="shared" si="127"/>
        <v>79.753000999999998</v>
      </c>
      <c r="Z743" s="10">
        <f t="shared" si="128"/>
        <v>28.421254399999995</v>
      </c>
      <c r="AA743" s="10">
        <f t="shared" si="129"/>
        <v>36.541612800000003</v>
      </c>
      <c r="AB743" s="10">
        <f t="shared" si="130"/>
        <v>40.601792000000003</v>
      </c>
      <c r="AC743" s="10">
        <f t="shared" si="131"/>
        <v>60.902687999999998</v>
      </c>
    </row>
    <row r="744" spans="1:29" x14ac:dyDescent="0.25">
      <c r="A744">
        <v>452150</v>
      </c>
      <c r="B744" t="s">
        <v>128</v>
      </c>
      <c r="C744" s="10">
        <v>15.89</v>
      </c>
      <c r="D744" s="10">
        <v>14.98</v>
      </c>
      <c r="E744" s="10">
        <v>0</v>
      </c>
      <c r="F744">
        <v>5</v>
      </c>
      <c r="G744" t="s">
        <v>15</v>
      </c>
      <c r="H744" s="11">
        <v>45987</v>
      </c>
      <c r="I744" t="s">
        <v>13</v>
      </c>
      <c r="J744" s="12">
        <v>7.5</v>
      </c>
      <c r="K744" s="3">
        <v>225.3</v>
      </c>
      <c r="L744" s="3">
        <f t="shared" si="121"/>
        <v>30.040000000000003</v>
      </c>
      <c r="M744" s="13"/>
      <c r="N744">
        <f>_xlfn.XLOOKUP(G744,'Tarievensheet per persoon'!AE:AE,'Tarievensheet per persoon'!AF:AF)</f>
        <v>1.7024999999999999</v>
      </c>
      <c r="O744">
        <f>_xlfn.XLOOKUP(G744,AE:AE,'Tarievensheet per persoon'!AG:AG)</f>
        <v>1.5642</v>
      </c>
      <c r="P744">
        <f>_xlfn.XLOOKUP(G744,AE:AE,'Tarievensheet per persoon'!AH:AH)</f>
        <v>1.3552</v>
      </c>
      <c r="Q744">
        <f>_xlfn.XLOOKUP(G744,AE:AE,'Tarievensheet per persoon'!AI:AI)</f>
        <v>1.3552</v>
      </c>
      <c r="R744">
        <v>0</v>
      </c>
      <c r="S744" s="14">
        <v>2.99</v>
      </c>
      <c r="T744" s="10">
        <f t="shared" si="122"/>
        <v>30.042724999999997</v>
      </c>
      <c r="U744" s="10">
        <f t="shared" si="123"/>
        <v>38.244920539999995</v>
      </c>
      <c r="V744" s="10">
        <f t="shared" si="124"/>
        <v>38.7420233</v>
      </c>
      <c r="W744" s="10">
        <f t="shared" si="125"/>
        <v>49.926835400000002</v>
      </c>
      <c r="X744" s="10">
        <f t="shared" si="126"/>
        <v>54.897863000000001</v>
      </c>
      <c r="Y744" s="10">
        <f t="shared" si="127"/>
        <v>79.753000999999998</v>
      </c>
      <c r="Z744" s="10">
        <f t="shared" si="128"/>
        <v>28.421254399999995</v>
      </c>
      <c r="AA744" s="10">
        <f t="shared" si="129"/>
        <v>36.541612800000003</v>
      </c>
      <c r="AB744" s="10">
        <f t="shared" si="130"/>
        <v>40.601792000000003</v>
      </c>
      <c r="AC744" s="10">
        <f t="shared" si="131"/>
        <v>60.902687999999998</v>
      </c>
    </row>
    <row r="745" spans="1:29" x14ac:dyDescent="0.25">
      <c r="A745">
        <v>452150</v>
      </c>
      <c r="B745" t="s">
        <v>128</v>
      </c>
      <c r="C745" s="10">
        <v>15.89</v>
      </c>
      <c r="D745" s="10">
        <v>14.98</v>
      </c>
      <c r="E745" s="10">
        <v>0</v>
      </c>
      <c r="F745">
        <v>5</v>
      </c>
      <c r="G745" t="s">
        <v>15</v>
      </c>
      <c r="H745" s="11">
        <v>45988</v>
      </c>
      <c r="I745" t="s">
        <v>13</v>
      </c>
      <c r="J745" s="12">
        <v>8</v>
      </c>
      <c r="K745" s="3">
        <v>240.32</v>
      </c>
      <c r="L745" s="3">
        <f t="shared" si="121"/>
        <v>30.04</v>
      </c>
      <c r="M745" s="13"/>
      <c r="N745">
        <f>_xlfn.XLOOKUP(G745,'Tarievensheet per persoon'!AE:AE,'Tarievensheet per persoon'!AF:AF)</f>
        <v>1.7024999999999999</v>
      </c>
      <c r="O745">
        <f>_xlfn.XLOOKUP(G745,AE:AE,'Tarievensheet per persoon'!AG:AG)</f>
        <v>1.5642</v>
      </c>
      <c r="P745">
        <f>_xlfn.XLOOKUP(G745,AE:AE,'Tarievensheet per persoon'!AH:AH)</f>
        <v>1.3552</v>
      </c>
      <c r="Q745">
        <f>_xlfn.XLOOKUP(G745,AE:AE,'Tarievensheet per persoon'!AI:AI)</f>
        <v>1.3552</v>
      </c>
      <c r="R745">
        <v>0</v>
      </c>
      <c r="S745" s="14">
        <v>2.99</v>
      </c>
      <c r="T745" s="10">
        <f t="shared" si="122"/>
        <v>30.042724999999997</v>
      </c>
      <c r="U745" s="10">
        <f t="shared" si="123"/>
        <v>38.244920539999995</v>
      </c>
      <c r="V745" s="10">
        <f t="shared" si="124"/>
        <v>38.7420233</v>
      </c>
      <c r="W745" s="10">
        <f t="shared" si="125"/>
        <v>49.926835400000002</v>
      </c>
      <c r="X745" s="10">
        <f t="shared" si="126"/>
        <v>54.897863000000001</v>
      </c>
      <c r="Y745" s="10">
        <f t="shared" si="127"/>
        <v>79.753000999999998</v>
      </c>
      <c r="Z745" s="10">
        <f t="shared" si="128"/>
        <v>28.421254399999995</v>
      </c>
      <c r="AA745" s="10">
        <f t="shared" si="129"/>
        <v>36.541612800000003</v>
      </c>
      <c r="AB745" s="10">
        <f t="shared" si="130"/>
        <v>40.601792000000003</v>
      </c>
      <c r="AC745" s="10">
        <f t="shared" si="131"/>
        <v>60.902687999999998</v>
      </c>
    </row>
    <row r="746" spans="1:29" x14ac:dyDescent="0.25">
      <c r="A746">
        <v>452150</v>
      </c>
      <c r="B746" t="s">
        <v>128</v>
      </c>
      <c r="C746" s="10">
        <v>15.89</v>
      </c>
      <c r="D746" s="10">
        <v>14.98</v>
      </c>
      <c r="E746" s="10">
        <v>0</v>
      </c>
      <c r="F746">
        <v>5</v>
      </c>
      <c r="G746" t="s">
        <v>15</v>
      </c>
      <c r="H746" s="11">
        <v>45989</v>
      </c>
      <c r="I746" t="s">
        <v>13</v>
      </c>
      <c r="J746" s="12">
        <v>8</v>
      </c>
      <c r="K746" s="3">
        <v>240.32</v>
      </c>
      <c r="L746" s="3">
        <f t="shared" si="121"/>
        <v>30.04</v>
      </c>
      <c r="M746" s="13"/>
      <c r="N746">
        <f>_xlfn.XLOOKUP(G746,'Tarievensheet per persoon'!AE:AE,'Tarievensheet per persoon'!AF:AF)</f>
        <v>1.7024999999999999</v>
      </c>
      <c r="O746">
        <f>_xlfn.XLOOKUP(G746,AE:AE,'Tarievensheet per persoon'!AG:AG)</f>
        <v>1.5642</v>
      </c>
      <c r="P746">
        <f>_xlfn.XLOOKUP(G746,AE:AE,'Tarievensheet per persoon'!AH:AH)</f>
        <v>1.3552</v>
      </c>
      <c r="Q746">
        <f>_xlfn.XLOOKUP(G746,AE:AE,'Tarievensheet per persoon'!AI:AI)</f>
        <v>1.3552</v>
      </c>
      <c r="R746">
        <v>0</v>
      </c>
      <c r="S746" s="14">
        <v>2.99</v>
      </c>
      <c r="T746" s="10">
        <f t="shared" si="122"/>
        <v>30.042724999999997</v>
      </c>
      <c r="U746" s="10">
        <f t="shared" si="123"/>
        <v>38.244920539999995</v>
      </c>
      <c r="V746" s="10">
        <f t="shared" si="124"/>
        <v>38.7420233</v>
      </c>
      <c r="W746" s="10">
        <f t="shared" si="125"/>
        <v>49.926835400000002</v>
      </c>
      <c r="X746" s="10">
        <f t="shared" si="126"/>
        <v>54.897863000000001</v>
      </c>
      <c r="Y746" s="10">
        <f t="shared" si="127"/>
        <v>79.753000999999998</v>
      </c>
      <c r="Z746" s="10">
        <f t="shared" si="128"/>
        <v>28.421254399999995</v>
      </c>
      <c r="AA746" s="10">
        <f t="shared" si="129"/>
        <v>36.541612800000003</v>
      </c>
      <c r="AB746" s="10">
        <f t="shared" si="130"/>
        <v>40.601792000000003</v>
      </c>
      <c r="AC746" s="10">
        <f t="shared" si="131"/>
        <v>60.902687999999998</v>
      </c>
    </row>
    <row r="747" spans="1:29" x14ac:dyDescent="0.25">
      <c r="A747">
        <v>452659</v>
      </c>
      <c r="B747" t="s">
        <v>94</v>
      </c>
      <c r="C747" s="10">
        <v>15.89</v>
      </c>
      <c r="D747" s="10">
        <v>14.98</v>
      </c>
      <c r="E747" s="10">
        <v>0</v>
      </c>
      <c r="F747">
        <v>5</v>
      </c>
      <c r="G747" t="s">
        <v>15</v>
      </c>
      <c r="H747" s="11">
        <v>45985</v>
      </c>
      <c r="I747" t="s">
        <v>13</v>
      </c>
      <c r="J747" s="12">
        <v>8</v>
      </c>
      <c r="K747" s="3">
        <v>240.32</v>
      </c>
      <c r="L747" s="3">
        <f t="shared" si="121"/>
        <v>30.04</v>
      </c>
      <c r="M747" s="13"/>
      <c r="N747">
        <f>_xlfn.XLOOKUP(G747,'Tarievensheet per persoon'!AE:AE,'Tarievensheet per persoon'!AF:AF)</f>
        <v>1.7024999999999999</v>
      </c>
      <c r="O747">
        <f>_xlfn.XLOOKUP(G747,AE:AE,'Tarievensheet per persoon'!AG:AG)</f>
        <v>1.5642</v>
      </c>
      <c r="P747">
        <f>_xlfn.XLOOKUP(G747,AE:AE,'Tarievensheet per persoon'!AH:AH)</f>
        <v>1.3552</v>
      </c>
      <c r="Q747">
        <f>_xlfn.XLOOKUP(G747,AE:AE,'Tarievensheet per persoon'!AI:AI)</f>
        <v>1.3552</v>
      </c>
      <c r="R747">
        <v>0</v>
      </c>
      <c r="S747" s="14">
        <v>2.99</v>
      </c>
      <c r="T747" s="10">
        <f t="shared" si="122"/>
        <v>30.042724999999997</v>
      </c>
      <c r="U747" s="10">
        <f t="shared" si="123"/>
        <v>38.244920539999995</v>
      </c>
      <c r="V747" s="10">
        <f t="shared" si="124"/>
        <v>38.7420233</v>
      </c>
      <c r="W747" s="10">
        <f t="shared" si="125"/>
        <v>49.926835400000002</v>
      </c>
      <c r="X747" s="10">
        <f t="shared" si="126"/>
        <v>54.897863000000001</v>
      </c>
      <c r="Y747" s="10">
        <f t="shared" si="127"/>
        <v>79.753000999999998</v>
      </c>
      <c r="Z747" s="10">
        <f t="shared" si="128"/>
        <v>28.421254399999995</v>
      </c>
      <c r="AA747" s="10">
        <f t="shared" si="129"/>
        <v>36.541612800000003</v>
      </c>
      <c r="AB747" s="10">
        <f t="shared" si="130"/>
        <v>40.601792000000003</v>
      </c>
      <c r="AC747" s="10">
        <f t="shared" si="131"/>
        <v>60.902687999999998</v>
      </c>
    </row>
    <row r="748" spans="1:29" x14ac:dyDescent="0.25">
      <c r="A748">
        <v>452659</v>
      </c>
      <c r="B748" t="s">
        <v>94</v>
      </c>
      <c r="C748" s="10">
        <v>15.89</v>
      </c>
      <c r="D748" s="10">
        <v>14.98</v>
      </c>
      <c r="E748" s="10">
        <v>0</v>
      </c>
      <c r="F748">
        <v>5</v>
      </c>
      <c r="G748" t="s">
        <v>15</v>
      </c>
      <c r="H748" s="11">
        <v>45986</v>
      </c>
      <c r="I748" t="s">
        <v>13</v>
      </c>
      <c r="J748" s="12">
        <v>8</v>
      </c>
      <c r="K748" s="3">
        <v>240.32</v>
      </c>
      <c r="L748" s="3">
        <f t="shared" si="121"/>
        <v>30.04</v>
      </c>
      <c r="M748" s="13"/>
      <c r="N748">
        <f>_xlfn.XLOOKUP(G748,'Tarievensheet per persoon'!AE:AE,'Tarievensheet per persoon'!AF:AF)</f>
        <v>1.7024999999999999</v>
      </c>
      <c r="O748">
        <f>_xlfn.XLOOKUP(G748,AE:AE,'Tarievensheet per persoon'!AG:AG)</f>
        <v>1.5642</v>
      </c>
      <c r="P748">
        <f>_xlfn.XLOOKUP(G748,AE:AE,'Tarievensheet per persoon'!AH:AH)</f>
        <v>1.3552</v>
      </c>
      <c r="Q748">
        <f>_xlfn.XLOOKUP(G748,AE:AE,'Tarievensheet per persoon'!AI:AI)</f>
        <v>1.3552</v>
      </c>
      <c r="R748">
        <v>0</v>
      </c>
      <c r="S748" s="14">
        <v>2.99</v>
      </c>
      <c r="T748" s="10">
        <f t="shared" si="122"/>
        <v>30.042724999999997</v>
      </c>
      <c r="U748" s="10">
        <f t="shared" si="123"/>
        <v>38.244920539999995</v>
      </c>
      <c r="V748" s="10">
        <f t="shared" si="124"/>
        <v>38.7420233</v>
      </c>
      <c r="W748" s="10">
        <f t="shared" si="125"/>
        <v>49.926835400000002</v>
      </c>
      <c r="X748" s="10">
        <f t="shared" si="126"/>
        <v>54.897863000000001</v>
      </c>
      <c r="Y748" s="10">
        <f t="shared" si="127"/>
        <v>79.753000999999998</v>
      </c>
      <c r="Z748" s="10">
        <f t="shared" si="128"/>
        <v>28.421254399999995</v>
      </c>
      <c r="AA748" s="10">
        <f t="shared" si="129"/>
        <v>36.541612800000003</v>
      </c>
      <c r="AB748" s="10">
        <f t="shared" si="130"/>
        <v>40.601792000000003</v>
      </c>
      <c r="AC748" s="10">
        <f t="shared" si="131"/>
        <v>60.902687999999998</v>
      </c>
    </row>
    <row r="749" spans="1:29" x14ac:dyDescent="0.25">
      <c r="A749">
        <v>452659</v>
      </c>
      <c r="B749" t="s">
        <v>94</v>
      </c>
      <c r="C749" s="10">
        <v>15.89</v>
      </c>
      <c r="D749" s="10">
        <v>14.98</v>
      </c>
      <c r="E749" s="10">
        <v>0</v>
      </c>
      <c r="F749">
        <v>5</v>
      </c>
      <c r="G749" t="s">
        <v>15</v>
      </c>
      <c r="H749" s="11">
        <v>45987</v>
      </c>
      <c r="I749" t="s">
        <v>13</v>
      </c>
      <c r="J749" s="12">
        <v>8</v>
      </c>
      <c r="K749" s="3">
        <v>240.32</v>
      </c>
      <c r="L749" s="3">
        <f t="shared" si="121"/>
        <v>30.04</v>
      </c>
      <c r="M749" s="13"/>
      <c r="N749">
        <f>_xlfn.XLOOKUP(G749,'Tarievensheet per persoon'!AE:AE,'Tarievensheet per persoon'!AF:AF)</f>
        <v>1.7024999999999999</v>
      </c>
      <c r="O749">
        <f>_xlfn.XLOOKUP(G749,AE:AE,'Tarievensheet per persoon'!AG:AG)</f>
        <v>1.5642</v>
      </c>
      <c r="P749">
        <f>_xlfn.XLOOKUP(G749,AE:AE,'Tarievensheet per persoon'!AH:AH)</f>
        <v>1.3552</v>
      </c>
      <c r="Q749">
        <f>_xlfn.XLOOKUP(G749,AE:AE,'Tarievensheet per persoon'!AI:AI)</f>
        <v>1.3552</v>
      </c>
      <c r="R749">
        <v>0</v>
      </c>
      <c r="S749" s="14">
        <v>2.99</v>
      </c>
      <c r="T749" s="10">
        <f t="shared" si="122"/>
        <v>30.042724999999997</v>
      </c>
      <c r="U749" s="10">
        <f t="shared" si="123"/>
        <v>38.244920539999995</v>
      </c>
      <c r="V749" s="10">
        <f t="shared" si="124"/>
        <v>38.7420233</v>
      </c>
      <c r="W749" s="10">
        <f t="shared" si="125"/>
        <v>49.926835400000002</v>
      </c>
      <c r="X749" s="10">
        <f t="shared" si="126"/>
        <v>54.897863000000001</v>
      </c>
      <c r="Y749" s="10">
        <f t="shared" si="127"/>
        <v>79.753000999999998</v>
      </c>
      <c r="Z749" s="10">
        <f t="shared" si="128"/>
        <v>28.421254399999995</v>
      </c>
      <c r="AA749" s="10">
        <f t="shared" si="129"/>
        <v>36.541612800000003</v>
      </c>
      <c r="AB749" s="10">
        <f t="shared" si="130"/>
        <v>40.601792000000003</v>
      </c>
      <c r="AC749" s="10">
        <f t="shared" si="131"/>
        <v>60.902687999999998</v>
      </c>
    </row>
    <row r="750" spans="1:29" x14ac:dyDescent="0.25">
      <c r="A750">
        <v>452659</v>
      </c>
      <c r="B750" t="s">
        <v>94</v>
      </c>
      <c r="C750" s="10">
        <v>15.89</v>
      </c>
      <c r="D750" s="10">
        <v>14.98</v>
      </c>
      <c r="E750" s="10">
        <v>0</v>
      </c>
      <c r="F750">
        <v>5</v>
      </c>
      <c r="G750" t="s">
        <v>15</v>
      </c>
      <c r="H750" s="11">
        <v>45988</v>
      </c>
      <c r="I750" t="s">
        <v>13</v>
      </c>
      <c r="J750" s="12">
        <v>8</v>
      </c>
      <c r="K750" s="3">
        <v>240.32</v>
      </c>
      <c r="L750" s="3">
        <f t="shared" si="121"/>
        <v>30.04</v>
      </c>
      <c r="M750" s="13"/>
      <c r="N750">
        <f>_xlfn.XLOOKUP(G750,'Tarievensheet per persoon'!AE:AE,'Tarievensheet per persoon'!AF:AF)</f>
        <v>1.7024999999999999</v>
      </c>
      <c r="O750">
        <f>_xlfn.XLOOKUP(G750,AE:AE,'Tarievensheet per persoon'!AG:AG)</f>
        <v>1.5642</v>
      </c>
      <c r="P750">
        <f>_xlfn.XLOOKUP(G750,AE:AE,'Tarievensheet per persoon'!AH:AH)</f>
        <v>1.3552</v>
      </c>
      <c r="Q750">
        <f>_xlfn.XLOOKUP(G750,AE:AE,'Tarievensheet per persoon'!AI:AI)</f>
        <v>1.3552</v>
      </c>
      <c r="R750">
        <v>0</v>
      </c>
      <c r="S750" s="14">
        <v>2.99</v>
      </c>
      <c r="T750" s="10">
        <f t="shared" si="122"/>
        <v>30.042724999999997</v>
      </c>
      <c r="U750" s="10">
        <f t="shared" si="123"/>
        <v>38.244920539999995</v>
      </c>
      <c r="V750" s="10">
        <f t="shared" si="124"/>
        <v>38.7420233</v>
      </c>
      <c r="W750" s="10">
        <f t="shared" si="125"/>
        <v>49.926835400000002</v>
      </c>
      <c r="X750" s="10">
        <f t="shared" si="126"/>
        <v>54.897863000000001</v>
      </c>
      <c r="Y750" s="10">
        <f t="shared" si="127"/>
        <v>79.753000999999998</v>
      </c>
      <c r="Z750" s="10">
        <f t="shared" si="128"/>
        <v>28.421254399999995</v>
      </c>
      <c r="AA750" s="10">
        <f t="shared" si="129"/>
        <v>36.541612800000003</v>
      </c>
      <c r="AB750" s="10">
        <f t="shared" si="130"/>
        <v>40.601792000000003</v>
      </c>
      <c r="AC750" s="10">
        <f t="shared" si="131"/>
        <v>60.902687999999998</v>
      </c>
    </row>
    <row r="751" spans="1:29" x14ac:dyDescent="0.25">
      <c r="A751">
        <v>452659</v>
      </c>
      <c r="B751" t="s">
        <v>94</v>
      </c>
      <c r="C751" s="10">
        <v>15.89</v>
      </c>
      <c r="D751" s="10">
        <v>14.98</v>
      </c>
      <c r="E751" s="10">
        <v>0</v>
      </c>
      <c r="F751">
        <v>5</v>
      </c>
      <c r="G751" t="s">
        <v>15</v>
      </c>
      <c r="H751" s="11">
        <v>45989</v>
      </c>
      <c r="I751" t="s">
        <v>13</v>
      </c>
      <c r="J751" s="12">
        <v>7.5</v>
      </c>
      <c r="K751" s="3">
        <v>225.3</v>
      </c>
      <c r="L751" s="3">
        <f t="shared" si="121"/>
        <v>30.040000000000003</v>
      </c>
      <c r="M751" s="13"/>
      <c r="N751">
        <f>_xlfn.XLOOKUP(G751,'Tarievensheet per persoon'!AE:AE,'Tarievensheet per persoon'!AF:AF)</f>
        <v>1.7024999999999999</v>
      </c>
      <c r="O751">
        <f>_xlfn.XLOOKUP(G751,AE:AE,'Tarievensheet per persoon'!AG:AG)</f>
        <v>1.5642</v>
      </c>
      <c r="P751">
        <f>_xlfn.XLOOKUP(G751,AE:AE,'Tarievensheet per persoon'!AH:AH)</f>
        <v>1.3552</v>
      </c>
      <c r="Q751">
        <f>_xlfn.XLOOKUP(G751,AE:AE,'Tarievensheet per persoon'!AI:AI)</f>
        <v>1.3552</v>
      </c>
      <c r="R751">
        <v>0</v>
      </c>
      <c r="S751" s="14">
        <v>2.99</v>
      </c>
      <c r="T751" s="10">
        <f t="shared" si="122"/>
        <v>30.042724999999997</v>
      </c>
      <c r="U751" s="10">
        <f t="shared" si="123"/>
        <v>38.244920539999995</v>
      </c>
      <c r="V751" s="10">
        <f t="shared" si="124"/>
        <v>38.7420233</v>
      </c>
      <c r="W751" s="10">
        <f t="shared" si="125"/>
        <v>49.926835400000002</v>
      </c>
      <c r="X751" s="10">
        <f t="shared" si="126"/>
        <v>54.897863000000001</v>
      </c>
      <c r="Y751" s="10">
        <f t="shared" si="127"/>
        <v>79.753000999999998</v>
      </c>
      <c r="Z751" s="10">
        <f t="shared" si="128"/>
        <v>28.421254399999995</v>
      </c>
      <c r="AA751" s="10">
        <f t="shared" si="129"/>
        <v>36.541612800000003</v>
      </c>
      <c r="AB751" s="10">
        <f t="shared" si="130"/>
        <v>40.601792000000003</v>
      </c>
      <c r="AC751" s="10">
        <f t="shared" si="131"/>
        <v>60.902687999999998</v>
      </c>
    </row>
    <row r="752" spans="1:29" x14ac:dyDescent="0.25">
      <c r="A752">
        <v>452927</v>
      </c>
      <c r="B752" t="s">
        <v>152</v>
      </c>
      <c r="C752" s="10">
        <v>15.89</v>
      </c>
      <c r="D752" s="10">
        <v>14.98</v>
      </c>
      <c r="E752" s="10">
        <v>0</v>
      </c>
      <c r="F752">
        <v>1</v>
      </c>
      <c r="G752" t="s">
        <v>15</v>
      </c>
      <c r="H752" s="11">
        <v>45988</v>
      </c>
      <c r="I752" t="s">
        <v>13</v>
      </c>
      <c r="J752" s="12">
        <v>4.75</v>
      </c>
      <c r="K752" s="3">
        <v>142.69</v>
      </c>
      <c r="L752" s="3">
        <f t="shared" si="121"/>
        <v>30.04</v>
      </c>
      <c r="M752" s="13"/>
      <c r="N752">
        <f>_xlfn.XLOOKUP(G752,'Tarievensheet per persoon'!AE:AE,'Tarievensheet per persoon'!AF:AF)</f>
        <v>1.7024999999999999</v>
      </c>
      <c r="O752">
        <f>_xlfn.XLOOKUP(G752,AE:AE,'Tarievensheet per persoon'!AG:AG)</f>
        <v>1.5642</v>
      </c>
      <c r="P752">
        <f>_xlfn.XLOOKUP(G752,AE:AE,'Tarievensheet per persoon'!AH:AH)</f>
        <v>1.3552</v>
      </c>
      <c r="Q752">
        <f>_xlfn.XLOOKUP(G752,AE:AE,'Tarievensheet per persoon'!AI:AI)</f>
        <v>1.3552</v>
      </c>
      <c r="R752">
        <v>0</v>
      </c>
      <c r="S752" s="14">
        <v>2.99</v>
      </c>
      <c r="T752" s="10">
        <f t="shared" si="122"/>
        <v>30.042724999999997</v>
      </c>
      <c r="U752" s="10">
        <f t="shared" si="123"/>
        <v>38.244920539999995</v>
      </c>
      <c r="V752" s="10">
        <f t="shared" si="124"/>
        <v>38.7420233</v>
      </c>
      <c r="W752" s="10">
        <f t="shared" si="125"/>
        <v>49.926835400000002</v>
      </c>
      <c r="X752" s="10">
        <f t="shared" si="126"/>
        <v>54.897863000000001</v>
      </c>
      <c r="Y752" s="10">
        <f t="shared" si="127"/>
        <v>79.753000999999998</v>
      </c>
      <c r="Z752" s="10">
        <f t="shared" si="128"/>
        <v>28.421254399999995</v>
      </c>
      <c r="AA752" s="10">
        <f t="shared" si="129"/>
        <v>36.541612800000003</v>
      </c>
      <c r="AB752" s="10">
        <f t="shared" si="130"/>
        <v>40.601792000000003</v>
      </c>
      <c r="AC752" s="10">
        <f t="shared" si="131"/>
        <v>60.902687999999998</v>
      </c>
    </row>
    <row r="753" spans="1:29" x14ac:dyDescent="0.25">
      <c r="A753">
        <v>452927</v>
      </c>
      <c r="B753" t="s">
        <v>152</v>
      </c>
      <c r="C753" s="10">
        <v>15.89</v>
      </c>
      <c r="D753" s="10">
        <v>14.98</v>
      </c>
      <c r="E753" s="10">
        <v>0</v>
      </c>
      <c r="F753">
        <v>1</v>
      </c>
      <c r="G753" t="s">
        <v>15</v>
      </c>
      <c r="H753" s="11">
        <v>45989</v>
      </c>
      <c r="I753" t="s">
        <v>13</v>
      </c>
      <c r="J753" s="12">
        <v>7.25</v>
      </c>
      <c r="K753" s="3">
        <v>217.79</v>
      </c>
      <c r="L753" s="3">
        <f t="shared" si="121"/>
        <v>30.04</v>
      </c>
      <c r="M753" s="13"/>
      <c r="N753">
        <f>_xlfn.XLOOKUP(G753,'Tarievensheet per persoon'!AE:AE,'Tarievensheet per persoon'!AF:AF)</f>
        <v>1.7024999999999999</v>
      </c>
      <c r="O753">
        <f>_xlfn.XLOOKUP(G753,AE:AE,'Tarievensheet per persoon'!AG:AG)</f>
        <v>1.5642</v>
      </c>
      <c r="P753">
        <f>_xlfn.XLOOKUP(G753,AE:AE,'Tarievensheet per persoon'!AH:AH)</f>
        <v>1.3552</v>
      </c>
      <c r="Q753">
        <f>_xlfn.XLOOKUP(G753,AE:AE,'Tarievensheet per persoon'!AI:AI)</f>
        <v>1.3552</v>
      </c>
      <c r="R753">
        <v>0</v>
      </c>
      <c r="S753" s="14">
        <v>2.99</v>
      </c>
      <c r="T753" s="10">
        <f t="shared" si="122"/>
        <v>30.042724999999997</v>
      </c>
      <c r="U753" s="10">
        <f t="shared" si="123"/>
        <v>38.244920539999995</v>
      </c>
      <c r="V753" s="10">
        <f t="shared" si="124"/>
        <v>38.7420233</v>
      </c>
      <c r="W753" s="10">
        <f t="shared" si="125"/>
        <v>49.926835400000002</v>
      </c>
      <c r="X753" s="10">
        <f t="shared" si="126"/>
        <v>54.897863000000001</v>
      </c>
      <c r="Y753" s="10">
        <f t="shared" si="127"/>
        <v>79.753000999999998</v>
      </c>
      <c r="Z753" s="10">
        <f t="shared" si="128"/>
        <v>28.421254399999995</v>
      </c>
      <c r="AA753" s="10">
        <f t="shared" si="129"/>
        <v>36.541612800000003</v>
      </c>
      <c r="AB753" s="10">
        <f t="shared" si="130"/>
        <v>40.601792000000003</v>
      </c>
      <c r="AC753" s="10">
        <f t="shared" si="131"/>
        <v>60.902687999999998</v>
      </c>
    </row>
    <row r="754" spans="1:29" x14ac:dyDescent="0.25">
      <c r="A754">
        <v>452963</v>
      </c>
      <c r="B754" t="s">
        <v>95</v>
      </c>
      <c r="C754" s="10">
        <v>15.89</v>
      </c>
      <c r="D754" s="10">
        <v>14.98</v>
      </c>
      <c r="E754" s="10">
        <v>0</v>
      </c>
      <c r="F754">
        <v>4</v>
      </c>
      <c r="G754" t="s">
        <v>15</v>
      </c>
      <c r="H754" s="11">
        <v>45985</v>
      </c>
      <c r="I754" t="s">
        <v>13</v>
      </c>
      <c r="J754" s="12">
        <v>2.75</v>
      </c>
      <c r="K754" s="3">
        <v>82.61</v>
      </c>
      <c r="L754" s="3">
        <f t="shared" si="121"/>
        <v>30.04</v>
      </c>
      <c r="M754" s="13"/>
      <c r="N754">
        <f>_xlfn.XLOOKUP(G754,'Tarievensheet per persoon'!AE:AE,'Tarievensheet per persoon'!AF:AF)</f>
        <v>1.7024999999999999</v>
      </c>
      <c r="O754">
        <f>_xlfn.XLOOKUP(G754,AE:AE,'Tarievensheet per persoon'!AG:AG)</f>
        <v>1.5642</v>
      </c>
      <c r="P754">
        <f>_xlfn.XLOOKUP(G754,AE:AE,'Tarievensheet per persoon'!AH:AH)</f>
        <v>1.3552</v>
      </c>
      <c r="Q754">
        <f>_xlfn.XLOOKUP(G754,AE:AE,'Tarievensheet per persoon'!AI:AI)</f>
        <v>1.3552</v>
      </c>
      <c r="R754">
        <v>0</v>
      </c>
      <c r="S754" s="14">
        <v>2.99</v>
      </c>
      <c r="T754" s="10">
        <f t="shared" si="122"/>
        <v>30.042724999999997</v>
      </c>
      <c r="U754" s="10">
        <f t="shared" si="123"/>
        <v>38.244920539999995</v>
      </c>
      <c r="V754" s="10">
        <f t="shared" si="124"/>
        <v>38.7420233</v>
      </c>
      <c r="W754" s="10">
        <f t="shared" si="125"/>
        <v>49.926835400000002</v>
      </c>
      <c r="X754" s="10">
        <f t="shared" si="126"/>
        <v>54.897863000000001</v>
      </c>
      <c r="Y754" s="10">
        <f t="shared" si="127"/>
        <v>79.753000999999998</v>
      </c>
      <c r="Z754" s="10">
        <f t="shared" si="128"/>
        <v>28.421254399999995</v>
      </c>
      <c r="AA754" s="10">
        <f t="shared" si="129"/>
        <v>36.541612800000003</v>
      </c>
      <c r="AB754" s="10">
        <f t="shared" si="130"/>
        <v>40.601792000000003</v>
      </c>
      <c r="AC754" s="10">
        <f t="shared" si="131"/>
        <v>60.902687999999998</v>
      </c>
    </row>
    <row r="755" spans="1:29" x14ac:dyDescent="0.25">
      <c r="A755">
        <v>452963</v>
      </c>
      <c r="B755" t="s">
        <v>95</v>
      </c>
      <c r="C755" s="10">
        <v>15.89</v>
      </c>
      <c r="D755" s="10">
        <v>14.98</v>
      </c>
      <c r="E755" s="10">
        <v>0</v>
      </c>
      <c r="F755">
        <v>4</v>
      </c>
      <c r="G755" t="s">
        <v>15</v>
      </c>
      <c r="H755" s="11">
        <v>45985</v>
      </c>
      <c r="I755" t="s">
        <v>21</v>
      </c>
      <c r="J755" s="12">
        <v>5.25</v>
      </c>
      <c r="K755" s="3">
        <v>200.76</v>
      </c>
      <c r="L755" s="3">
        <f t="shared" si="121"/>
        <v>38.239999999999995</v>
      </c>
      <c r="M755" s="13"/>
      <c r="N755">
        <f>_xlfn.XLOOKUP(G755,'Tarievensheet per persoon'!AE:AE,'Tarievensheet per persoon'!AF:AF)</f>
        <v>1.7024999999999999</v>
      </c>
      <c r="O755">
        <f>_xlfn.XLOOKUP(G755,AE:AE,'Tarievensheet per persoon'!AG:AG)</f>
        <v>1.5642</v>
      </c>
      <c r="P755">
        <f>_xlfn.XLOOKUP(G755,AE:AE,'Tarievensheet per persoon'!AH:AH)</f>
        <v>1.3552</v>
      </c>
      <c r="Q755">
        <f>_xlfn.XLOOKUP(G755,AE:AE,'Tarievensheet per persoon'!AI:AI)</f>
        <v>1.3552</v>
      </c>
      <c r="R755">
        <v>0</v>
      </c>
      <c r="S755" s="14">
        <v>2.99</v>
      </c>
      <c r="T755" s="10">
        <f t="shared" si="122"/>
        <v>30.042724999999997</v>
      </c>
      <c r="U755" s="10">
        <f t="shared" si="123"/>
        <v>38.244920539999995</v>
      </c>
      <c r="V755" s="10">
        <f t="shared" si="124"/>
        <v>38.7420233</v>
      </c>
      <c r="W755" s="10">
        <f t="shared" si="125"/>
        <v>49.926835400000002</v>
      </c>
      <c r="X755" s="10">
        <f t="shared" si="126"/>
        <v>54.897863000000001</v>
      </c>
      <c r="Y755" s="10">
        <f t="shared" si="127"/>
        <v>79.753000999999998</v>
      </c>
      <c r="Z755" s="10">
        <f t="shared" si="128"/>
        <v>28.421254399999995</v>
      </c>
      <c r="AA755" s="10">
        <f t="shared" si="129"/>
        <v>36.541612800000003</v>
      </c>
      <c r="AB755" s="10">
        <f t="shared" si="130"/>
        <v>40.601792000000003</v>
      </c>
      <c r="AC755" s="10">
        <f t="shared" si="131"/>
        <v>60.902687999999998</v>
      </c>
    </row>
    <row r="756" spans="1:29" x14ac:dyDescent="0.25">
      <c r="A756">
        <v>452963</v>
      </c>
      <c r="B756" t="s">
        <v>95</v>
      </c>
      <c r="C756" s="10">
        <v>15.89</v>
      </c>
      <c r="D756" s="10">
        <v>14.98</v>
      </c>
      <c r="E756" s="10">
        <v>0</v>
      </c>
      <c r="F756">
        <v>4</v>
      </c>
      <c r="G756" t="s">
        <v>15</v>
      </c>
      <c r="H756" s="11">
        <v>45985</v>
      </c>
      <c r="I756" t="s">
        <v>22</v>
      </c>
      <c r="J756" s="12">
        <v>0.5</v>
      </c>
      <c r="K756" s="3">
        <v>19.37</v>
      </c>
      <c r="L756" s="3">
        <f t="shared" si="121"/>
        <v>38.74</v>
      </c>
      <c r="M756" s="13"/>
      <c r="N756">
        <f>_xlfn.XLOOKUP(G756,'Tarievensheet per persoon'!AE:AE,'Tarievensheet per persoon'!AF:AF)</f>
        <v>1.7024999999999999</v>
      </c>
      <c r="O756">
        <f>_xlfn.XLOOKUP(G756,AE:AE,'Tarievensheet per persoon'!AG:AG)</f>
        <v>1.5642</v>
      </c>
      <c r="P756">
        <f>_xlfn.XLOOKUP(G756,AE:AE,'Tarievensheet per persoon'!AH:AH)</f>
        <v>1.3552</v>
      </c>
      <c r="Q756">
        <f>_xlfn.XLOOKUP(G756,AE:AE,'Tarievensheet per persoon'!AI:AI)</f>
        <v>1.3552</v>
      </c>
      <c r="R756">
        <v>0</v>
      </c>
      <c r="S756" s="14">
        <v>2.99</v>
      </c>
      <c r="T756" s="10">
        <f t="shared" si="122"/>
        <v>30.042724999999997</v>
      </c>
      <c r="U756" s="10">
        <f t="shared" si="123"/>
        <v>38.244920539999995</v>
      </c>
      <c r="V756" s="10">
        <f t="shared" si="124"/>
        <v>38.7420233</v>
      </c>
      <c r="W756" s="10">
        <f t="shared" si="125"/>
        <v>49.926835400000002</v>
      </c>
      <c r="X756" s="10">
        <f t="shared" si="126"/>
        <v>54.897863000000001</v>
      </c>
      <c r="Y756" s="10">
        <f t="shared" si="127"/>
        <v>79.753000999999998</v>
      </c>
      <c r="Z756" s="10">
        <f t="shared" si="128"/>
        <v>28.421254399999995</v>
      </c>
      <c r="AA756" s="10">
        <f t="shared" si="129"/>
        <v>36.541612800000003</v>
      </c>
      <c r="AB756" s="10">
        <f t="shared" si="130"/>
        <v>40.601792000000003</v>
      </c>
      <c r="AC756" s="10">
        <f t="shared" si="131"/>
        <v>60.902687999999998</v>
      </c>
    </row>
    <row r="757" spans="1:29" x14ac:dyDescent="0.25">
      <c r="A757">
        <v>452963</v>
      </c>
      <c r="B757" t="s">
        <v>95</v>
      </c>
      <c r="C757" s="10">
        <v>15.89</v>
      </c>
      <c r="D757" s="10">
        <v>14.98</v>
      </c>
      <c r="E757" s="10">
        <v>0</v>
      </c>
      <c r="F757">
        <v>4</v>
      </c>
      <c r="G757" t="s">
        <v>15</v>
      </c>
      <c r="H757" s="11">
        <v>45986</v>
      </c>
      <c r="I757" t="s">
        <v>13</v>
      </c>
      <c r="J757" s="12">
        <v>2.75</v>
      </c>
      <c r="K757" s="3">
        <v>82.61</v>
      </c>
      <c r="L757" s="3">
        <f t="shared" si="121"/>
        <v>30.04</v>
      </c>
      <c r="M757" s="13"/>
      <c r="N757">
        <f>_xlfn.XLOOKUP(G757,'Tarievensheet per persoon'!AE:AE,'Tarievensheet per persoon'!AF:AF)</f>
        <v>1.7024999999999999</v>
      </c>
      <c r="O757">
        <f>_xlfn.XLOOKUP(G757,AE:AE,'Tarievensheet per persoon'!AG:AG)</f>
        <v>1.5642</v>
      </c>
      <c r="P757">
        <f>_xlfn.XLOOKUP(G757,AE:AE,'Tarievensheet per persoon'!AH:AH)</f>
        <v>1.3552</v>
      </c>
      <c r="Q757">
        <f>_xlfn.XLOOKUP(G757,AE:AE,'Tarievensheet per persoon'!AI:AI)</f>
        <v>1.3552</v>
      </c>
      <c r="R757">
        <v>0</v>
      </c>
      <c r="S757" s="14">
        <v>2.99</v>
      </c>
      <c r="T757" s="10">
        <f t="shared" si="122"/>
        <v>30.042724999999997</v>
      </c>
      <c r="U757" s="10">
        <f t="shared" si="123"/>
        <v>38.244920539999995</v>
      </c>
      <c r="V757" s="10">
        <f t="shared" si="124"/>
        <v>38.7420233</v>
      </c>
      <c r="W757" s="10">
        <f t="shared" si="125"/>
        <v>49.926835400000002</v>
      </c>
      <c r="X757" s="10">
        <f t="shared" si="126"/>
        <v>54.897863000000001</v>
      </c>
      <c r="Y757" s="10">
        <f t="shared" si="127"/>
        <v>79.753000999999998</v>
      </c>
      <c r="Z757" s="10">
        <f t="shared" si="128"/>
        <v>28.421254399999995</v>
      </c>
      <c r="AA757" s="10">
        <f t="shared" si="129"/>
        <v>36.541612800000003</v>
      </c>
      <c r="AB757" s="10">
        <f t="shared" si="130"/>
        <v>40.601792000000003</v>
      </c>
      <c r="AC757" s="10">
        <f t="shared" si="131"/>
        <v>60.902687999999998</v>
      </c>
    </row>
    <row r="758" spans="1:29" x14ac:dyDescent="0.25">
      <c r="A758">
        <v>452963</v>
      </c>
      <c r="B758" t="s">
        <v>95</v>
      </c>
      <c r="C758" s="10">
        <v>15.89</v>
      </c>
      <c r="D758" s="10">
        <v>14.98</v>
      </c>
      <c r="E758" s="10">
        <v>0</v>
      </c>
      <c r="F758">
        <v>4</v>
      </c>
      <c r="G758" t="s">
        <v>15</v>
      </c>
      <c r="H758" s="11">
        <v>45986</v>
      </c>
      <c r="I758" t="s">
        <v>21</v>
      </c>
      <c r="J758" s="12">
        <v>5.25</v>
      </c>
      <c r="K758" s="3">
        <v>200.76</v>
      </c>
      <c r="L758" s="3">
        <f t="shared" si="121"/>
        <v>38.239999999999995</v>
      </c>
      <c r="M758" s="13"/>
      <c r="N758">
        <f>_xlfn.XLOOKUP(G758,'Tarievensheet per persoon'!AE:AE,'Tarievensheet per persoon'!AF:AF)</f>
        <v>1.7024999999999999</v>
      </c>
      <c r="O758">
        <f>_xlfn.XLOOKUP(G758,AE:AE,'Tarievensheet per persoon'!AG:AG)</f>
        <v>1.5642</v>
      </c>
      <c r="P758">
        <f>_xlfn.XLOOKUP(G758,AE:AE,'Tarievensheet per persoon'!AH:AH)</f>
        <v>1.3552</v>
      </c>
      <c r="Q758">
        <f>_xlfn.XLOOKUP(G758,AE:AE,'Tarievensheet per persoon'!AI:AI)</f>
        <v>1.3552</v>
      </c>
      <c r="R758">
        <v>0</v>
      </c>
      <c r="S758" s="14">
        <v>2.99</v>
      </c>
      <c r="T758" s="10">
        <f t="shared" si="122"/>
        <v>30.042724999999997</v>
      </c>
      <c r="U758" s="10">
        <f t="shared" si="123"/>
        <v>38.244920539999995</v>
      </c>
      <c r="V758" s="10">
        <f t="shared" si="124"/>
        <v>38.7420233</v>
      </c>
      <c r="W758" s="10">
        <f t="shared" si="125"/>
        <v>49.926835400000002</v>
      </c>
      <c r="X758" s="10">
        <f t="shared" si="126"/>
        <v>54.897863000000001</v>
      </c>
      <c r="Y758" s="10">
        <f t="shared" si="127"/>
        <v>79.753000999999998</v>
      </c>
      <c r="Z758" s="10">
        <f t="shared" si="128"/>
        <v>28.421254399999995</v>
      </c>
      <c r="AA758" s="10">
        <f t="shared" si="129"/>
        <v>36.541612800000003</v>
      </c>
      <c r="AB758" s="10">
        <f t="shared" si="130"/>
        <v>40.601792000000003</v>
      </c>
      <c r="AC758" s="10">
        <f t="shared" si="131"/>
        <v>60.902687999999998</v>
      </c>
    </row>
    <row r="759" spans="1:29" x14ac:dyDescent="0.25">
      <c r="A759">
        <v>452963</v>
      </c>
      <c r="B759" t="s">
        <v>95</v>
      </c>
      <c r="C759" s="10">
        <v>15.89</v>
      </c>
      <c r="D759" s="10">
        <v>14.98</v>
      </c>
      <c r="E759" s="10">
        <v>0</v>
      </c>
      <c r="F759">
        <v>4</v>
      </c>
      <c r="G759" t="s">
        <v>15</v>
      </c>
      <c r="H759" s="11">
        <v>45986</v>
      </c>
      <c r="I759" t="s">
        <v>22</v>
      </c>
      <c r="J759" s="12">
        <v>1</v>
      </c>
      <c r="K759" s="3">
        <v>38.74</v>
      </c>
      <c r="L759" s="3">
        <f t="shared" si="121"/>
        <v>38.74</v>
      </c>
      <c r="M759" s="13"/>
      <c r="N759">
        <f>_xlfn.XLOOKUP(G759,'Tarievensheet per persoon'!AE:AE,'Tarievensheet per persoon'!AF:AF)</f>
        <v>1.7024999999999999</v>
      </c>
      <c r="O759">
        <f>_xlfn.XLOOKUP(G759,AE:AE,'Tarievensheet per persoon'!AG:AG)</f>
        <v>1.5642</v>
      </c>
      <c r="P759">
        <f>_xlfn.XLOOKUP(G759,AE:AE,'Tarievensheet per persoon'!AH:AH)</f>
        <v>1.3552</v>
      </c>
      <c r="Q759">
        <f>_xlfn.XLOOKUP(G759,AE:AE,'Tarievensheet per persoon'!AI:AI)</f>
        <v>1.3552</v>
      </c>
      <c r="R759">
        <v>0</v>
      </c>
      <c r="S759" s="14">
        <v>2.99</v>
      </c>
      <c r="T759" s="10">
        <f t="shared" si="122"/>
        <v>30.042724999999997</v>
      </c>
      <c r="U759" s="10">
        <f t="shared" si="123"/>
        <v>38.244920539999995</v>
      </c>
      <c r="V759" s="10">
        <f t="shared" si="124"/>
        <v>38.7420233</v>
      </c>
      <c r="W759" s="10">
        <f t="shared" si="125"/>
        <v>49.926835400000002</v>
      </c>
      <c r="X759" s="10">
        <f t="shared" si="126"/>
        <v>54.897863000000001</v>
      </c>
      <c r="Y759" s="10">
        <f t="shared" si="127"/>
        <v>79.753000999999998</v>
      </c>
      <c r="Z759" s="10">
        <f t="shared" si="128"/>
        <v>28.421254399999995</v>
      </c>
      <c r="AA759" s="10">
        <f t="shared" si="129"/>
        <v>36.541612800000003</v>
      </c>
      <c r="AB759" s="10">
        <f t="shared" si="130"/>
        <v>40.601792000000003</v>
      </c>
      <c r="AC759" s="10">
        <f t="shared" si="131"/>
        <v>60.902687999999998</v>
      </c>
    </row>
    <row r="760" spans="1:29" x14ac:dyDescent="0.25">
      <c r="A760">
        <v>452963</v>
      </c>
      <c r="B760" t="s">
        <v>95</v>
      </c>
      <c r="C760" s="10">
        <v>15.89</v>
      </c>
      <c r="D760" s="10">
        <v>14.98</v>
      </c>
      <c r="E760" s="10">
        <v>0</v>
      </c>
      <c r="F760">
        <v>4</v>
      </c>
      <c r="G760" t="s">
        <v>15</v>
      </c>
      <c r="H760" s="11">
        <v>45987</v>
      </c>
      <c r="I760" t="s">
        <v>23</v>
      </c>
      <c r="J760" s="12">
        <v>2.75</v>
      </c>
      <c r="K760" s="3">
        <v>78.16</v>
      </c>
      <c r="L760" s="3">
        <f t="shared" si="121"/>
        <v>28.421818181818182</v>
      </c>
      <c r="M760" s="13"/>
      <c r="N760">
        <f>_xlfn.XLOOKUP(G760,'Tarievensheet per persoon'!AE:AE,'Tarievensheet per persoon'!AF:AF)</f>
        <v>1.7024999999999999</v>
      </c>
      <c r="O760">
        <f>_xlfn.XLOOKUP(G760,AE:AE,'Tarievensheet per persoon'!AG:AG)</f>
        <v>1.5642</v>
      </c>
      <c r="P760">
        <f>_xlfn.XLOOKUP(G760,AE:AE,'Tarievensheet per persoon'!AH:AH)</f>
        <v>1.3552</v>
      </c>
      <c r="Q760">
        <f>_xlfn.XLOOKUP(G760,AE:AE,'Tarievensheet per persoon'!AI:AI)</f>
        <v>1.3552</v>
      </c>
      <c r="R760">
        <v>0</v>
      </c>
      <c r="S760" s="14">
        <v>2.99</v>
      </c>
      <c r="T760" s="10">
        <f t="shared" si="122"/>
        <v>30.042724999999997</v>
      </c>
      <c r="U760" s="10">
        <f t="shared" si="123"/>
        <v>38.244920539999995</v>
      </c>
      <c r="V760" s="10">
        <f t="shared" si="124"/>
        <v>38.7420233</v>
      </c>
      <c r="W760" s="10">
        <f t="shared" si="125"/>
        <v>49.926835400000002</v>
      </c>
      <c r="X760" s="10">
        <f t="shared" si="126"/>
        <v>54.897863000000001</v>
      </c>
      <c r="Y760" s="10">
        <f t="shared" si="127"/>
        <v>79.753000999999998</v>
      </c>
      <c r="Z760" s="10">
        <f t="shared" si="128"/>
        <v>28.421254399999995</v>
      </c>
      <c r="AA760" s="10">
        <f t="shared" si="129"/>
        <v>36.541612800000003</v>
      </c>
      <c r="AB760" s="10">
        <f t="shared" si="130"/>
        <v>40.601792000000003</v>
      </c>
      <c r="AC760" s="10">
        <f t="shared" si="131"/>
        <v>60.902687999999998</v>
      </c>
    </row>
    <row r="761" spans="1:29" x14ac:dyDescent="0.25">
      <c r="A761">
        <v>452963</v>
      </c>
      <c r="B761" t="s">
        <v>95</v>
      </c>
      <c r="C761" s="10">
        <v>15.89</v>
      </c>
      <c r="D761" s="10">
        <v>14.98</v>
      </c>
      <c r="E761" s="10">
        <v>0</v>
      </c>
      <c r="F761">
        <v>4</v>
      </c>
      <c r="G761" t="s">
        <v>15</v>
      </c>
      <c r="H761" s="11">
        <v>45987</v>
      </c>
      <c r="I761" t="s">
        <v>21</v>
      </c>
      <c r="J761" s="12">
        <v>5.25</v>
      </c>
      <c r="K761" s="3">
        <v>200.76</v>
      </c>
      <c r="L761" s="3">
        <f t="shared" si="121"/>
        <v>38.239999999999995</v>
      </c>
      <c r="M761" s="13"/>
      <c r="N761">
        <f>_xlfn.XLOOKUP(G761,'Tarievensheet per persoon'!AE:AE,'Tarievensheet per persoon'!AF:AF)</f>
        <v>1.7024999999999999</v>
      </c>
      <c r="O761">
        <f>_xlfn.XLOOKUP(G761,AE:AE,'Tarievensheet per persoon'!AG:AG)</f>
        <v>1.5642</v>
      </c>
      <c r="P761">
        <f>_xlfn.XLOOKUP(G761,AE:AE,'Tarievensheet per persoon'!AH:AH)</f>
        <v>1.3552</v>
      </c>
      <c r="Q761">
        <f>_xlfn.XLOOKUP(G761,AE:AE,'Tarievensheet per persoon'!AI:AI)</f>
        <v>1.3552</v>
      </c>
      <c r="R761">
        <v>0</v>
      </c>
      <c r="S761" s="14">
        <v>2.99</v>
      </c>
      <c r="T761" s="10">
        <f t="shared" si="122"/>
        <v>30.042724999999997</v>
      </c>
      <c r="U761" s="10">
        <f t="shared" si="123"/>
        <v>38.244920539999995</v>
      </c>
      <c r="V761" s="10">
        <f t="shared" si="124"/>
        <v>38.7420233</v>
      </c>
      <c r="W761" s="10">
        <f t="shared" si="125"/>
        <v>49.926835400000002</v>
      </c>
      <c r="X761" s="10">
        <f t="shared" si="126"/>
        <v>54.897863000000001</v>
      </c>
      <c r="Y761" s="10">
        <f t="shared" si="127"/>
        <v>79.753000999999998</v>
      </c>
      <c r="Z761" s="10">
        <f t="shared" si="128"/>
        <v>28.421254399999995</v>
      </c>
      <c r="AA761" s="10">
        <f t="shared" si="129"/>
        <v>36.541612800000003</v>
      </c>
      <c r="AB761" s="10">
        <f t="shared" si="130"/>
        <v>40.601792000000003</v>
      </c>
      <c r="AC761" s="10">
        <f t="shared" si="131"/>
        <v>60.902687999999998</v>
      </c>
    </row>
    <row r="762" spans="1:29" x14ac:dyDescent="0.25">
      <c r="A762">
        <v>452963</v>
      </c>
      <c r="B762" t="s">
        <v>95</v>
      </c>
      <c r="C762" s="10">
        <v>15.89</v>
      </c>
      <c r="D762" s="10">
        <v>14.98</v>
      </c>
      <c r="E762" s="10">
        <v>0</v>
      </c>
      <c r="F762">
        <v>4</v>
      </c>
      <c r="G762" t="s">
        <v>15</v>
      </c>
      <c r="H762" s="11">
        <v>45987</v>
      </c>
      <c r="I762" t="s">
        <v>22</v>
      </c>
      <c r="J762" s="12">
        <v>0.5</v>
      </c>
      <c r="K762" s="3">
        <v>19.37</v>
      </c>
      <c r="L762" s="3">
        <f t="shared" si="121"/>
        <v>38.74</v>
      </c>
      <c r="M762" s="13"/>
      <c r="N762">
        <f>_xlfn.XLOOKUP(G762,'Tarievensheet per persoon'!AE:AE,'Tarievensheet per persoon'!AF:AF)</f>
        <v>1.7024999999999999</v>
      </c>
      <c r="O762">
        <f>_xlfn.XLOOKUP(G762,AE:AE,'Tarievensheet per persoon'!AG:AG)</f>
        <v>1.5642</v>
      </c>
      <c r="P762">
        <f>_xlfn.XLOOKUP(G762,AE:AE,'Tarievensheet per persoon'!AH:AH)</f>
        <v>1.3552</v>
      </c>
      <c r="Q762">
        <f>_xlfn.XLOOKUP(G762,AE:AE,'Tarievensheet per persoon'!AI:AI)</f>
        <v>1.3552</v>
      </c>
      <c r="R762">
        <v>0</v>
      </c>
      <c r="S762" s="14">
        <v>2.99</v>
      </c>
      <c r="T762" s="10">
        <f t="shared" si="122"/>
        <v>30.042724999999997</v>
      </c>
      <c r="U762" s="10">
        <f t="shared" si="123"/>
        <v>38.244920539999995</v>
      </c>
      <c r="V762" s="10">
        <f t="shared" si="124"/>
        <v>38.7420233</v>
      </c>
      <c r="W762" s="10">
        <f t="shared" si="125"/>
        <v>49.926835400000002</v>
      </c>
      <c r="X762" s="10">
        <f t="shared" si="126"/>
        <v>54.897863000000001</v>
      </c>
      <c r="Y762" s="10">
        <f t="shared" si="127"/>
        <v>79.753000999999998</v>
      </c>
      <c r="Z762" s="10">
        <f t="shared" si="128"/>
        <v>28.421254399999995</v>
      </c>
      <c r="AA762" s="10">
        <f t="shared" si="129"/>
        <v>36.541612800000003</v>
      </c>
      <c r="AB762" s="10">
        <f t="shared" si="130"/>
        <v>40.601792000000003</v>
      </c>
      <c r="AC762" s="10">
        <f t="shared" si="131"/>
        <v>60.902687999999998</v>
      </c>
    </row>
    <row r="763" spans="1:29" x14ac:dyDescent="0.25">
      <c r="A763">
        <v>452963</v>
      </c>
      <c r="B763" t="s">
        <v>95</v>
      </c>
      <c r="C763" s="10">
        <v>15.89</v>
      </c>
      <c r="D763" s="10">
        <v>14.98</v>
      </c>
      <c r="E763" s="10">
        <v>0</v>
      </c>
      <c r="F763">
        <v>4</v>
      </c>
      <c r="G763" t="s">
        <v>15</v>
      </c>
      <c r="H763" s="11">
        <v>45988</v>
      </c>
      <c r="I763" t="s">
        <v>13</v>
      </c>
      <c r="J763" s="12">
        <v>2.75</v>
      </c>
      <c r="K763" s="3">
        <v>82.61</v>
      </c>
      <c r="L763" s="3">
        <f t="shared" si="121"/>
        <v>30.04</v>
      </c>
      <c r="M763" s="13"/>
      <c r="N763">
        <f>_xlfn.XLOOKUP(G763,'Tarievensheet per persoon'!AE:AE,'Tarievensheet per persoon'!AF:AF)</f>
        <v>1.7024999999999999</v>
      </c>
      <c r="O763">
        <f>_xlfn.XLOOKUP(G763,AE:AE,'Tarievensheet per persoon'!AG:AG)</f>
        <v>1.5642</v>
      </c>
      <c r="P763">
        <f>_xlfn.XLOOKUP(G763,AE:AE,'Tarievensheet per persoon'!AH:AH)</f>
        <v>1.3552</v>
      </c>
      <c r="Q763">
        <f>_xlfn.XLOOKUP(G763,AE:AE,'Tarievensheet per persoon'!AI:AI)</f>
        <v>1.3552</v>
      </c>
      <c r="R763">
        <v>0</v>
      </c>
      <c r="S763" s="14">
        <v>2.99</v>
      </c>
      <c r="T763" s="10">
        <f t="shared" si="122"/>
        <v>30.042724999999997</v>
      </c>
      <c r="U763" s="10">
        <f t="shared" si="123"/>
        <v>38.244920539999995</v>
      </c>
      <c r="V763" s="10">
        <f t="shared" si="124"/>
        <v>38.7420233</v>
      </c>
      <c r="W763" s="10">
        <f t="shared" si="125"/>
        <v>49.926835400000002</v>
      </c>
      <c r="X763" s="10">
        <f t="shared" si="126"/>
        <v>54.897863000000001</v>
      </c>
      <c r="Y763" s="10">
        <f t="shared" si="127"/>
        <v>79.753000999999998</v>
      </c>
      <c r="Z763" s="10">
        <f t="shared" si="128"/>
        <v>28.421254399999995</v>
      </c>
      <c r="AA763" s="10">
        <f t="shared" si="129"/>
        <v>36.541612800000003</v>
      </c>
      <c r="AB763" s="10">
        <f t="shared" si="130"/>
        <v>40.601792000000003</v>
      </c>
      <c r="AC763" s="10">
        <f t="shared" si="131"/>
        <v>60.902687999999998</v>
      </c>
    </row>
    <row r="764" spans="1:29" x14ac:dyDescent="0.25">
      <c r="A764">
        <v>452963</v>
      </c>
      <c r="B764" t="s">
        <v>95</v>
      </c>
      <c r="C764" s="10">
        <v>15.89</v>
      </c>
      <c r="D764" s="10">
        <v>14.98</v>
      </c>
      <c r="E764" s="10">
        <v>0</v>
      </c>
      <c r="F764">
        <v>4</v>
      </c>
      <c r="G764" t="s">
        <v>15</v>
      </c>
      <c r="H764" s="11">
        <v>45988</v>
      </c>
      <c r="I764" t="s">
        <v>21</v>
      </c>
      <c r="J764" s="12">
        <v>5.25</v>
      </c>
      <c r="K764" s="3">
        <v>200.76</v>
      </c>
      <c r="L764" s="3">
        <f t="shared" si="121"/>
        <v>38.239999999999995</v>
      </c>
      <c r="M764" s="13"/>
      <c r="N764">
        <f>_xlfn.XLOOKUP(G764,'Tarievensheet per persoon'!AE:AE,'Tarievensheet per persoon'!AF:AF)</f>
        <v>1.7024999999999999</v>
      </c>
      <c r="O764">
        <f>_xlfn.XLOOKUP(G764,AE:AE,'Tarievensheet per persoon'!AG:AG)</f>
        <v>1.5642</v>
      </c>
      <c r="P764">
        <f>_xlfn.XLOOKUP(G764,AE:AE,'Tarievensheet per persoon'!AH:AH)</f>
        <v>1.3552</v>
      </c>
      <c r="Q764">
        <f>_xlfn.XLOOKUP(G764,AE:AE,'Tarievensheet per persoon'!AI:AI)</f>
        <v>1.3552</v>
      </c>
      <c r="R764">
        <v>0</v>
      </c>
      <c r="S764" s="14">
        <v>2.99</v>
      </c>
      <c r="T764" s="10">
        <f t="shared" si="122"/>
        <v>30.042724999999997</v>
      </c>
      <c r="U764" s="10">
        <f t="shared" si="123"/>
        <v>38.244920539999995</v>
      </c>
      <c r="V764" s="10">
        <f t="shared" si="124"/>
        <v>38.7420233</v>
      </c>
      <c r="W764" s="10">
        <f t="shared" si="125"/>
        <v>49.926835400000002</v>
      </c>
      <c r="X764" s="10">
        <f t="shared" si="126"/>
        <v>54.897863000000001</v>
      </c>
      <c r="Y764" s="10">
        <f t="shared" si="127"/>
        <v>79.753000999999998</v>
      </c>
      <c r="Z764" s="10">
        <f t="shared" si="128"/>
        <v>28.421254399999995</v>
      </c>
      <c r="AA764" s="10">
        <f t="shared" si="129"/>
        <v>36.541612800000003</v>
      </c>
      <c r="AB764" s="10">
        <f t="shared" si="130"/>
        <v>40.601792000000003</v>
      </c>
      <c r="AC764" s="10">
        <f t="shared" si="131"/>
        <v>60.902687999999998</v>
      </c>
    </row>
    <row r="765" spans="1:29" x14ac:dyDescent="0.25">
      <c r="A765">
        <v>452963</v>
      </c>
      <c r="B765" t="s">
        <v>95</v>
      </c>
      <c r="C765" s="10">
        <v>15.89</v>
      </c>
      <c r="D765" s="10">
        <v>14.98</v>
      </c>
      <c r="E765" s="10">
        <v>0</v>
      </c>
      <c r="F765">
        <v>4</v>
      </c>
      <c r="G765" t="s">
        <v>15</v>
      </c>
      <c r="H765" s="11">
        <v>45988</v>
      </c>
      <c r="I765" t="s">
        <v>22</v>
      </c>
      <c r="J765" s="12">
        <v>0.5</v>
      </c>
      <c r="K765" s="3">
        <v>19.37</v>
      </c>
      <c r="L765" s="3">
        <f t="shared" si="121"/>
        <v>38.74</v>
      </c>
      <c r="M765" s="13"/>
      <c r="N765">
        <f>_xlfn.XLOOKUP(G765,'Tarievensheet per persoon'!AE:AE,'Tarievensheet per persoon'!AF:AF)</f>
        <v>1.7024999999999999</v>
      </c>
      <c r="O765">
        <f>_xlfn.XLOOKUP(G765,AE:AE,'Tarievensheet per persoon'!AG:AG)</f>
        <v>1.5642</v>
      </c>
      <c r="P765">
        <f>_xlfn.XLOOKUP(G765,AE:AE,'Tarievensheet per persoon'!AH:AH)</f>
        <v>1.3552</v>
      </c>
      <c r="Q765">
        <f>_xlfn.XLOOKUP(G765,AE:AE,'Tarievensheet per persoon'!AI:AI)</f>
        <v>1.3552</v>
      </c>
      <c r="R765">
        <v>0</v>
      </c>
      <c r="S765" s="14">
        <v>2.99</v>
      </c>
      <c r="T765" s="10">
        <f t="shared" si="122"/>
        <v>30.042724999999997</v>
      </c>
      <c r="U765" s="10">
        <f t="shared" si="123"/>
        <v>38.244920539999995</v>
      </c>
      <c r="V765" s="10">
        <f t="shared" si="124"/>
        <v>38.7420233</v>
      </c>
      <c r="W765" s="10">
        <f t="shared" si="125"/>
        <v>49.926835400000002</v>
      </c>
      <c r="X765" s="10">
        <f t="shared" si="126"/>
        <v>54.897863000000001</v>
      </c>
      <c r="Y765" s="10">
        <f t="shared" si="127"/>
        <v>79.753000999999998</v>
      </c>
      <c r="Z765" s="10">
        <f t="shared" si="128"/>
        <v>28.421254399999995</v>
      </c>
      <c r="AA765" s="10">
        <f t="shared" si="129"/>
        <v>36.541612800000003</v>
      </c>
      <c r="AB765" s="10">
        <f t="shared" si="130"/>
        <v>40.601792000000003</v>
      </c>
      <c r="AC765" s="10">
        <f t="shared" si="131"/>
        <v>60.902687999999998</v>
      </c>
    </row>
    <row r="766" spans="1:29" x14ac:dyDescent="0.25">
      <c r="A766">
        <v>452963</v>
      </c>
      <c r="B766" t="s">
        <v>95</v>
      </c>
      <c r="C766" s="10">
        <v>15.89</v>
      </c>
      <c r="D766" s="10">
        <v>14.98</v>
      </c>
      <c r="E766" s="10">
        <v>0</v>
      </c>
      <c r="F766">
        <v>4</v>
      </c>
      <c r="G766" t="s">
        <v>15</v>
      </c>
      <c r="H766" s="11">
        <v>45989</v>
      </c>
      <c r="I766" t="s">
        <v>13</v>
      </c>
      <c r="J766" s="12">
        <v>2.75</v>
      </c>
      <c r="K766" s="3">
        <v>82.61</v>
      </c>
      <c r="L766" s="3">
        <f t="shared" si="121"/>
        <v>30.04</v>
      </c>
      <c r="M766" s="13"/>
      <c r="N766">
        <f>_xlfn.XLOOKUP(G766,'Tarievensheet per persoon'!AE:AE,'Tarievensheet per persoon'!AF:AF)</f>
        <v>1.7024999999999999</v>
      </c>
      <c r="O766">
        <f>_xlfn.XLOOKUP(G766,AE:AE,'Tarievensheet per persoon'!AG:AG)</f>
        <v>1.5642</v>
      </c>
      <c r="P766">
        <f>_xlfn.XLOOKUP(G766,AE:AE,'Tarievensheet per persoon'!AH:AH)</f>
        <v>1.3552</v>
      </c>
      <c r="Q766">
        <f>_xlfn.XLOOKUP(G766,AE:AE,'Tarievensheet per persoon'!AI:AI)</f>
        <v>1.3552</v>
      </c>
      <c r="R766">
        <v>0</v>
      </c>
      <c r="S766" s="14">
        <v>2.99</v>
      </c>
      <c r="T766" s="10">
        <f t="shared" si="122"/>
        <v>30.042724999999997</v>
      </c>
      <c r="U766" s="10">
        <f t="shared" si="123"/>
        <v>38.244920539999995</v>
      </c>
      <c r="V766" s="10">
        <f t="shared" si="124"/>
        <v>38.7420233</v>
      </c>
      <c r="W766" s="10">
        <f t="shared" si="125"/>
        <v>49.926835400000002</v>
      </c>
      <c r="X766" s="10">
        <f t="shared" si="126"/>
        <v>54.897863000000001</v>
      </c>
      <c r="Y766" s="10">
        <f t="shared" si="127"/>
        <v>79.753000999999998</v>
      </c>
      <c r="Z766" s="10">
        <f t="shared" si="128"/>
        <v>28.421254399999995</v>
      </c>
      <c r="AA766" s="10">
        <f t="shared" si="129"/>
        <v>36.541612800000003</v>
      </c>
      <c r="AB766" s="10">
        <f t="shared" si="130"/>
        <v>40.601792000000003</v>
      </c>
      <c r="AC766" s="10">
        <f t="shared" si="131"/>
        <v>60.902687999999998</v>
      </c>
    </row>
    <row r="767" spans="1:29" x14ac:dyDescent="0.25">
      <c r="A767">
        <v>452963</v>
      </c>
      <c r="B767" t="s">
        <v>95</v>
      </c>
      <c r="C767" s="10">
        <v>15.89</v>
      </c>
      <c r="D767" s="10">
        <v>14.98</v>
      </c>
      <c r="E767" s="10">
        <v>0</v>
      </c>
      <c r="F767">
        <v>4</v>
      </c>
      <c r="G767" t="s">
        <v>15</v>
      </c>
      <c r="H767" s="11">
        <v>45989</v>
      </c>
      <c r="I767" t="s">
        <v>21</v>
      </c>
      <c r="J767" s="12">
        <v>5.25</v>
      </c>
      <c r="K767" s="3">
        <v>200.76</v>
      </c>
      <c r="L767" s="3">
        <f t="shared" si="121"/>
        <v>38.239999999999995</v>
      </c>
      <c r="M767" s="13"/>
      <c r="N767">
        <f>_xlfn.XLOOKUP(G767,'Tarievensheet per persoon'!AE:AE,'Tarievensheet per persoon'!AF:AF)</f>
        <v>1.7024999999999999</v>
      </c>
      <c r="O767">
        <f>_xlfn.XLOOKUP(G767,AE:AE,'Tarievensheet per persoon'!AG:AG)</f>
        <v>1.5642</v>
      </c>
      <c r="P767">
        <f>_xlfn.XLOOKUP(G767,AE:AE,'Tarievensheet per persoon'!AH:AH)</f>
        <v>1.3552</v>
      </c>
      <c r="Q767">
        <f>_xlfn.XLOOKUP(G767,AE:AE,'Tarievensheet per persoon'!AI:AI)</f>
        <v>1.3552</v>
      </c>
      <c r="R767">
        <v>0</v>
      </c>
      <c r="S767" s="14">
        <v>2.99</v>
      </c>
      <c r="T767" s="10">
        <f t="shared" si="122"/>
        <v>30.042724999999997</v>
      </c>
      <c r="U767" s="10">
        <f t="shared" si="123"/>
        <v>38.244920539999995</v>
      </c>
      <c r="V767" s="10">
        <f t="shared" si="124"/>
        <v>38.7420233</v>
      </c>
      <c r="W767" s="10">
        <f t="shared" si="125"/>
        <v>49.926835400000002</v>
      </c>
      <c r="X767" s="10">
        <f t="shared" si="126"/>
        <v>54.897863000000001</v>
      </c>
      <c r="Y767" s="10">
        <f t="shared" si="127"/>
        <v>79.753000999999998</v>
      </c>
      <c r="Z767" s="10">
        <f t="shared" si="128"/>
        <v>28.421254399999995</v>
      </c>
      <c r="AA767" s="10">
        <f t="shared" si="129"/>
        <v>36.541612800000003</v>
      </c>
      <c r="AB767" s="10">
        <f t="shared" si="130"/>
        <v>40.601792000000003</v>
      </c>
      <c r="AC767" s="10">
        <f t="shared" si="131"/>
        <v>60.902687999999998</v>
      </c>
    </row>
    <row r="768" spans="1:29" x14ac:dyDescent="0.25">
      <c r="A768">
        <v>452963</v>
      </c>
      <c r="B768" t="s">
        <v>95</v>
      </c>
      <c r="C768" s="10">
        <v>15.89</v>
      </c>
      <c r="D768" s="10">
        <v>14.98</v>
      </c>
      <c r="E768" s="10">
        <v>0</v>
      </c>
      <c r="F768">
        <v>4</v>
      </c>
      <c r="G768" t="s">
        <v>15</v>
      </c>
      <c r="H768" s="11">
        <v>45989</v>
      </c>
      <c r="I768" t="s">
        <v>22</v>
      </c>
      <c r="J768" s="12">
        <v>0.25</v>
      </c>
      <c r="K768" s="3">
        <v>9.69</v>
      </c>
      <c r="L768" s="3">
        <f t="shared" si="121"/>
        <v>38.76</v>
      </c>
      <c r="M768" s="13"/>
      <c r="N768">
        <f>_xlfn.XLOOKUP(G768,'Tarievensheet per persoon'!AE:AE,'Tarievensheet per persoon'!AF:AF)</f>
        <v>1.7024999999999999</v>
      </c>
      <c r="O768">
        <f>_xlfn.XLOOKUP(G768,AE:AE,'Tarievensheet per persoon'!AG:AG)</f>
        <v>1.5642</v>
      </c>
      <c r="P768">
        <f>_xlfn.XLOOKUP(G768,AE:AE,'Tarievensheet per persoon'!AH:AH)</f>
        <v>1.3552</v>
      </c>
      <c r="Q768">
        <f>_xlfn.XLOOKUP(G768,AE:AE,'Tarievensheet per persoon'!AI:AI)</f>
        <v>1.3552</v>
      </c>
      <c r="R768">
        <v>0</v>
      </c>
      <c r="S768" s="14">
        <v>2.99</v>
      </c>
      <c r="T768" s="10">
        <f t="shared" si="122"/>
        <v>30.042724999999997</v>
      </c>
      <c r="U768" s="10">
        <f t="shared" si="123"/>
        <v>38.244920539999995</v>
      </c>
      <c r="V768" s="10">
        <f t="shared" si="124"/>
        <v>38.7420233</v>
      </c>
      <c r="W768" s="10">
        <f t="shared" si="125"/>
        <v>49.926835400000002</v>
      </c>
      <c r="X768" s="10">
        <f t="shared" si="126"/>
        <v>54.897863000000001</v>
      </c>
      <c r="Y768" s="10">
        <f t="shared" si="127"/>
        <v>79.753000999999998</v>
      </c>
      <c r="Z768" s="10">
        <f t="shared" si="128"/>
        <v>28.421254399999995</v>
      </c>
      <c r="AA768" s="10">
        <f t="shared" si="129"/>
        <v>36.541612800000003</v>
      </c>
      <c r="AB768" s="10">
        <f t="shared" si="130"/>
        <v>40.601792000000003</v>
      </c>
      <c r="AC768" s="10">
        <f t="shared" si="131"/>
        <v>60.902687999999998</v>
      </c>
    </row>
    <row r="769" spans="1:29" x14ac:dyDescent="0.25">
      <c r="A769">
        <v>453079</v>
      </c>
      <c r="B769" t="s">
        <v>129</v>
      </c>
      <c r="C769" s="10">
        <v>15.89</v>
      </c>
      <c r="D769" s="10">
        <v>14.98</v>
      </c>
      <c r="E769" s="10">
        <v>0</v>
      </c>
      <c r="F769">
        <v>4</v>
      </c>
      <c r="G769" t="s">
        <v>15</v>
      </c>
      <c r="H769" s="11">
        <v>45985</v>
      </c>
      <c r="I769" t="s">
        <v>13</v>
      </c>
      <c r="J769" s="12">
        <v>9.5</v>
      </c>
      <c r="K769" s="3">
        <v>285.38</v>
      </c>
      <c r="L769" s="3">
        <f t="shared" si="121"/>
        <v>30.04</v>
      </c>
      <c r="M769" s="13"/>
      <c r="N769">
        <f>_xlfn.XLOOKUP(G769,'Tarievensheet per persoon'!AE:AE,'Tarievensheet per persoon'!AF:AF)</f>
        <v>1.7024999999999999</v>
      </c>
      <c r="O769">
        <f>_xlfn.XLOOKUP(G769,AE:AE,'Tarievensheet per persoon'!AG:AG)</f>
        <v>1.5642</v>
      </c>
      <c r="P769">
        <f>_xlfn.XLOOKUP(G769,AE:AE,'Tarievensheet per persoon'!AH:AH)</f>
        <v>1.3552</v>
      </c>
      <c r="Q769">
        <f>_xlfn.XLOOKUP(G769,AE:AE,'Tarievensheet per persoon'!AI:AI)</f>
        <v>1.3552</v>
      </c>
      <c r="R769">
        <v>0</v>
      </c>
      <c r="S769" s="14">
        <v>2.99</v>
      </c>
      <c r="T769" s="10">
        <f t="shared" si="122"/>
        <v>30.042724999999997</v>
      </c>
      <c r="U769" s="10">
        <f t="shared" si="123"/>
        <v>38.244920539999995</v>
      </c>
      <c r="V769" s="10">
        <f t="shared" si="124"/>
        <v>38.7420233</v>
      </c>
      <c r="W769" s="10">
        <f t="shared" si="125"/>
        <v>49.926835400000002</v>
      </c>
      <c r="X769" s="10">
        <f t="shared" si="126"/>
        <v>54.897863000000001</v>
      </c>
      <c r="Y769" s="10">
        <f t="shared" si="127"/>
        <v>79.753000999999998</v>
      </c>
      <c r="Z769" s="10">
        <f t="shared" si="128"/>
        <v>28.421254399999995</v>
      </c>
      <c r="AA769" s="10">
        <f t="shared" si="129"/>
        <v>36.541612800000003</v>
      </c>
      <c r="AB769" s="10">
        <f t="shared" si="130"/>
        <v>40.601792000000003</v>
      </c>
      <c r="AC769" s="10">
        <f t="shared" si="131"/>
        <v>60.902687999999998</v>
      </c>
    </row>
    <row r="770" spans="1:29" x14ac:dyDescent="0.25">
      <c r="A770">
        <v>453079</v>
      </c>
      <c r="B770" t="s">
        <v>129</v>
      </c>
      <c r="C770" s="10">
        <v>15.89</v>
      </c>
      <c r="D770" s="10">
        <v>14.98</v>
      </c>
      <c r="E770" s="10">
        <v>0</v>
      </c>
      <c r="F770">
        <v>4</v>
      </c>
      <c r="G770" t="s">
        <v>15</v>
      </c>
      <c r="H770" s="11">
        <v>45986</v>
      </c>
      <c r="I770" t="s">
        <v>13</v>
      </c>
      <c r="J770" s="12">
        <v>3</v>
      </c>
      <c r="K770" s="3">
        <v>90.12</v>
      </c>
      <c r="L770" s="3">
        <f t="shared" si="121"/>
        <v>30.040000000000003</v>
      </c>
      <c r="M770" s="13"/>
      <c r="N770">
        <f>_xlfn.XLOOKUP(G770,'Tarievensheet per persoon'!AE:AE,'Tarievensheet per persoon'!AF:AF)</f>
        <v>1.7024999999999999</v>
      </c>
      <c r="O770">
        <f>_xlfn.XLOOKUP(G770,AE:AE,'Tarievensheet per persoon'!AG:AG)</f>
        <v>1.5642</v>
      </c>
      <c r="P770">
        <f>_xlfn.XLOOKUP(G770,AE:AE,'Tarievensheet per persoon'!AH:AH)</f>
        <v>1.3552</v>
      </c>
      <c r="Q770">
        <f>_xlfn.XLOOKUP(G770,AE:AE,'Tarievensheet per persoon'!AI:AI)</f>
        <v>1.3552</v>
      </c>
      <c r="R770">
        <v>0</v>
      </c>
      <c r="S770" s="14">
        <v>2.99</v>
      </c>
      <c r="T770" s="10">
        <f t="shared" si="122"/>
        <v>30.042724999999997</v>
      </c>
      <c r="U770" s="10">
        <f t="shared" si="123"/>
        <v>38.244920539999995</v>
      </c>
      <c r="V770" s="10">
        <f t="shared" si="124"/>
        <v>38.7420233</v>
      </c>
      <c r="W770" s="10">
        <f t="shared" si="125"/>
        <v>49.926835400000002</v>
      </c>
      <c r="X770" s="10">
        <f t="shared" si="126"/>
        <v>54.897863000000001</v>
      </c>
      <c r="Y770" s="10">
        <f t="shared" si="127"/>
        <v>79.753000999999998</v>
      </c>
      <c r="Z770" s="10">
        <f t="shared" si="128"/>
        <v>28.421254399999995</v>
      </c>
      <c r="AA770" s="10">
        <f t="shared" si="129"/>
        <v>36.541612800000003</v>
      </c>
      <c r="AB770" s="10">
        <f t="shared" si="130"/>
        <v>40.601792000000003</v>
      </c>
      <c r="AC770" s="10">
        <f t="shared" si="131"/>
        <v>60.902687999999998</v>
      </c>
    </row>
    <row r="771" spans="1:29" x14ac:dyDescent="0.25">
      <c r="A771">
        <v>453079</v>
      </c>
      <c r="B771" t="s">
        <v>129</v>
      </c>
      <c r="C771" s="10">
        <v>15.89</v>
      </c>
      <c r="D771" s="10">
        <v>14.98</v>
      </c>
      <c r="E771" s="10">
        <v>0</v>
      </c>
      <c r="F771">
        <v>4</v>
      </c>
      <c r="G771" t="s">
        <v>15</v>
      </c>
      <c r="H771" s="11">
        <v>45986</v>
      </c>
      <c r="I771" t="s">
        <v>23</v>
      </c>
      <c r="J771" s="12">
        <v>5</v>
      </c>
      <c r="K771" s="3">
        <v>142.1</v>
      </c>
      <c r="L771" s="3">
        <f t="shared" ref="L771:L811" si="132">K771/J771</f>
        <v>28.419999999999998</v>
      </c>
      <c r="M771" s="13"/>
      <c r="N771">
        <f>_xlfn.XLOOKUP(G771,'Tarievensheet per persoon'!AE:AE,'Tarievensheet per persoon'!AF:AF)</f>
        <v>1.7024999999999999</v>
      </c>
      <c r="O771">
        <f>_xlfn.XLOOKUP(G771,AE:AE,'Tarievensheet per persoon'!AG:AG)</f>
        <v>1.5642</v>
      </c>
      <c r="P771">
        <f>_xlfn.XLOOKUP(G771,AE:AE,'Tarievensheet per persoon'!AH:AH)</f>
        <v>1.3552</v>
      </c>
      <c r="Q771">
        <f>_xlfn.XLOOKUP(G771,AE:AE,'Tarievensheet per persoon'!AI:AI)</f>
        <v>1.3552</v>
      </c>
      <c r="R771">
        <v>0</v>
      </c>
      <c r="S771" s="14">
        <v>2.99</v>
      </c>
      <c r="T771" s="10">
        <f t="shared" ref="T771:T812" si="133">C771*N771+C771*Q771*R771+S771+(E771*O771)</f>
        <v>30.042724999999997</v>
      </c>
      <c r="U771" s="10">
        <f t="shared" ref="U771:U812" si="134">T771+C771*(U$1-1)*O771</f>
        <v>38.244920539999995</v>
      </c>
      <c r="V771" s="10">
        <f t="shared" ref="V771:V812" si="135">T771+C771*(V$1-1)*O771</f>
        <v>38.7420233</v>
      </c>
      <c r="W771" s="10">
        <f t="shared" ref="W771:W812" si="136">T771+C771*(W$1-1)*O771</f>
        <v>49.926835400000002</v>
      </c>
      <c r="X771" s="10">
        <f t="shared" ref="X771:X812" si="137">T771+C771*(X$1-1)*O771</f>
        <v>54.897863000000001</v>
      </c>
      <c r="Y771" s="10">
        <f t="shared" ref="Y771:Y812" si="138">T771+C771*(Y$1-1)*O771</f>
        <v>79.753000999999998</v>
      </c>
      <c r="Z771" s="10">
        <f t="shared" ref="Z771:Z812" si="139">D771*Z$1*P771</f>
        <v>28.421254399999995</v>
      </c>
      <c r="AA771" s="10">
        <f t="shared" ref="AA771:AA812" si="140">D771*AA$1*P771</f>
        <v>36.541612800000003</v>
      </c>
      <c r="AB771" s="10">
        <f t="shared" ref="AB771:AB812" si="141">D771*AB$1*P771</f>
        <v>40.601792000000003</v>
      </c>
      <c r="AC771" s="10">
        <f t="shared" ref="AC771:AC812" si="142">D771*AC$1*P771</f>
        <v>60.902687999999998</v>
      </c>
    </row>
    <row r="772" spans="1:29" x14ac:dyDescent="0.25">
      <c r="A772">
        <v>453079</v>
      </c>
      <c r="B772" t="s">
        <v>129</v>
      </c>
      <c r="C772" s="10">
        <v>15.89</v>
      </c>
      <c r="D772" s="10">
        <v>14.98</v>
      </c>
      <c r="E772" s="10">
        <v>0</v>
      </c>
      <c r="F772">
        <v>4</v>
      </c>
      <c r="G772" t="s">
        <v>15</v>
      </c>
      <c r="H772" s="11">
        <v>45987</v>
      </c>
      <c r="I772" t="s">
        <v>13</v>
      </c>
      <c r="J772" s="12">
        <v>9</v>
      </c>
      <c r="K772" s="3">
        <v>270.36</v>
      </c>
      <c r="L772" s="3">
        <f t="shared" si="132"/>
        <v>30.040000000000003</v>
      </c>
      <c r="M772" s="13"/>
      <c r="N772">
        <f>_xlfn.XLOOKUP(G772,'Tarievensheet per persoon'!AE:AE,'Tarievensheet per persoon'!AF:AF)</f>
        <v>1.7024999999999999</v>
      </c>
      <c r="O772">
        <f>_xlfn.XLOOKUP(G772,AE:AE,'Tarievensheet per persoon'!AG:AG)</f>
        <v>1.5642</v>
      </c>
      <c r="P772">
        <f>_xlfn.XLOOKUP(G772,AE:AE,'Tarievensheet per persoon'!AH:AH)</f>
        <v>1.3552</v>
      </c>
      <c r="Q772">
        <f>_xlfn.XLOOKUP(G772,AE:AE,'Tarievensheet per persoon'!AI:AI)</f>
        <v>1.3552</v>
      </c>
      <c r="R772">
        <v>0</v>
      </c>
      <c r="S772" s="14">
        <v>2.99</v>
      </c>
      <c r="T772" s="10">
        <f t="shared" si="133"/>
        <v>30.042724999999997</v>
      </c>
      <c r="U772" s="10">
        <f t="shared" si="134"/>
        <v>38.244920539999995</v>
      </c>
      <c r="V772" s="10">
        <f t="shared" si="135"/>
        <v>38.7420233</v>
      </c>
      <c r="W772" s="10">
        <f t="shared" si="136"/>
        <v>49.926835400000002</v>
      </c>
      <c r="X772" s="10">
        <f t="shared" si="137"/>
        <v>54.897863000000001</v>
      </c>
      <c r="Y772" s="10">
        <f t="shared" si="138"/>
        <v>79.753000999999998</v>
      </c>
      <c r="Z772" s="10">
        <f t="shared" si="139"/>
        <v>28.421254399999995</v>
      </c>
      <c r="AA772" s="10">
        <f t="shared" si="140"/>
        <v>36.541612800000003</v>
      </c>
      <c r="AB772" s="10">
        <f t="shared" si="141"/>
        <v>40.601792000000003</v>
      </c>
      <c r="AC772" s="10">
        <f t="shared" si="142"/>
        <v>60.902687999999998</v>
      </c>
    </row>
    <row r="773" spans="1:29" x14ac:dyDescent="0.25">
      <c r="A773">
        <v>453079</v>
      </c>
      <c r="B773" t="s">
        <v>129</v>
      </c>
      <c r="C773" s="10">
        <v>15.89</v>
      </c>
      <c r="D773" s="10">
        <v>14.98</v>
      </c>
      <c r="E773" s="10">
        <v>0</v>
      </c>
      <c r="F773">
        <v>4</v>
      </c>
      <c r="G773" t="s">
        <v>15</v>
      </c>
      <c r="H773" s="11">
        <v>45988</v>
      </c>
      <c r="I773" t="s">
        <v>13</v>
      </c>
      <c r="J773" s="12">
        <v>9.75</v>
      </c>
      <c r="K773" s="3">
        <v>292.89</v>
      </c>
      <c r="L773" s="3">
        <f t="shared" si="132"/>
        <v>30.04</v>
      </c>
      <c r="M773" s="13"/>
      <c r="N773">
        <f>_xlfn.XLOOKUP(G773,'Tarievensheet per persoon'!AE:AE,'Tarievensheet per persoon'!AF:AF)</f>
        <v>1.7024999999999999</v>
      </c>
      <c r="O773">
        <f>_xlfn.XLOOKUP(G773,AE:AE,'Tarievensheet per persoon'!AG:AG)</f>
        <v>1.5642</v>
      </c>
      <c r="P773">
        <f>_xlfn.XLOOKUP(G773,AE:AE,'Tarievensheet per persoon'!AH:AH)</f>
        <v>1.3552</v>
      </c>
      <c r="Q773">
        <f>_xlfn.XLOOKUP(G773,AE:AE,'Tarievensheet per persoon'!AI:AI)</f>
        <v>1.3552</v>
      </c>
      <c r="R773">
        <v>0</v>
      </c>
      <c r="S773" s="14">
        <v>2.99</v>
      </c>
      <c r="T773" s="10">
        <f t="shared" si="133"/>
        <v>30.042724999999997</v>
      </c>
      <c r="U773" s="10">
        <f t="shared" si="134"/>
        <v>38.244920539999995</v>
      </c>
      <c r="V773" s="10">
        <f t="shared" si="135"/>
        <v>38.7420233</v>
      </c>
      <c r="W773" s="10">
        <f t="shared" si="136"/>
        <v>49.926835400000002</v>
      </c>
      <c r="X773" s="10">
        <f t="shared" si="137"/>
        <v>54.897863000000001</v>
      </c>
      <c r="Y773" s="10">
        <f t="shared" si="138"/>
        <v>79.753000999999998</v>
      </c>
      <c r="Z773" s="10">
        <f t="shared" si="139"/>
        <v>28.421254399999995</v>
      </c>
      <c r="AA773" s="10">
        <f t="shared" si="140"/>
        <v>36.541612800000003</v>
      </c>
      <c r="AB773" s="10">
        <f t="shared" si="141"/>
        <v>40.601792000000003</v>
      </c>
      <c r="AC773" s="10">
        <f t="shared" si="142"/>
        <v>60.902687999999998</v>
      </c>
    </row>
    <row r="774" spans="1:29" x14ac:dyDescent="0.25">
      <c r="A774">
        <v>453079</v>
      </c>
      <c r="B774" t="s">
        <v>129</v>
      </c>
      <c r="C774" s="10">
        <v>15.89</v>
      </c>
      <c r="D774" s="10">
        <v>14.98</v>
      </c>
      <c r="E774" s="10">
        <v>0</v>
      </c>
      <c r="F774">
        <v>4</v>
      </c>
      <c r="G774" t="s">
        <v>15</v>
      </c>
      <c r="H774" s="11">
        <v>45988</v>
      </c>
      <c r="I774" t="s">
        <v>21</v>
      </c>
      <c r="J774" s="12">
        <v>0.75</v>
      </c>
      <c r="K774" s="3">
        <v>28.68</v>
      </c>
      <c r="L774" s="3">
        <f t="shared" si="132"/>
        <v>38.24</v>
      </c>
      <c r="M774" s="13"/>
      <c r="N774">
        <f>_xlfn.XLOOKUP(G774,'Tarievensheet per persoon'!AE:AE,'Tarievensheet per persoon'!AF:AF)</f>
        <v>1.7024999999999999</v>
      </c>
      <c r="O774">
        <f>_xlfn.XLOOKUP(G774,AE:AE,'Tarievensheet per persoon'!AG:AG)</f>
        <v>1.5642</v>
      </c>
      <c r="P774">
        <f>_xlfn.XLOOKUP(G774,AE:AE,'Tarievensheet per persoon'!AH:AH)</f>
        <v>1.3552</v>
      </c>
      <c r="Q774">
        <f>_xlfn.XLOOKUP(G774,AE:AE,'Tarievensheet per persoon'!AI:AI)</f>
        <v>1.3552</v>
      </c>
      <c r="R774">
        <v>0</v>
      </c>
      <c r="S774" s="14">
        <v>2.99</v>
      </c>
      <c r="T774" s="10">
        <f t="shared" si="133"/>
        <v>30.042724999999997</v>
      </c>
      <c r="U774" s="10">
        <f t="shared" si="134"/>
        <v>38.244920539999995</v>
      </c>
      <c r="V774" s="10">
        <f t="shared" si="135"/>
        <v>38.7420233</v>
      </c>
      <c r="W774" s="10">
        <f t="shared" si="136"/>
        <v>49.926835400000002</v>
      </c>
      <c r="X774" s="10">
        <f t="shared" si="137"/>
        <v>54.897863000000001</v>
      </c>
      <c r="Y774" s="10">
        <f t="shared" si="138"/>
        <v>79.753000999999998</v>
      </c>
      <c r="Z774" s="10">
        <f t="shared" si="139"/>
        <v>28.421254399999995</v>
      </c>
      <c r="AA774" s="10">
        <f t="shared" si="140"/>
        <v>36.541612800000003</v>
      </c>
      <c r="AB774" s="10">
        <f t="shared" si="141"/>
        <v>40.601792000000003</v>
      </c>
      <c r="AC774" s="10">
        <f t="shared" si="142"/>
        <v>60.902687999999998</v>
      </c>
    </row>
    <row r="775" spans="1:29" x14ac:dyDescent="0.25">
      <c r="A775">
        <v>453079</v>
      </c>
      <c r="B775" t="s">
        <v>129</v>
      </c>
      <c r="C775" s="10">
        <v>15.89</v>
      </c>
      <c r="D775" s="10">
        <v>14.98</v>
      </c>
      <c r="E775" s="10">
        <v>0</v>
      </c>
      <c r="F775">
        <v>4</v>
      </c>
      <c r="G775" t="s">
        <v>15</v>
      </c>
      <c r="H775" s="11">
        <v>45989</v>
      </c>
      <c r="I775" t="s">
        <v>13</v>
      </c>
      <c r="J775" s="12">
        <v>8</v>
      </c>
      <c r="K775" s="3">
        <v>240.32</v>
      </c>
      <c r="L775" s="3">
        <f t="shared" si="132"/>
        <v>30.04</v>
      </c>
      <c r="M775" s="13"/>
      <c r="N775">
        <f>_xlfn.XLOOKUP(G775,'Tarievensheet per persoon'!AE:AE,'Tarievensheet per persoon'!AF:AF)</f>
        <v>1.7024999999999999</v>
      </c>
      <c r="O775">
        <f>_xlfn.XLOOKUP(G775,AE:AE,'Tarievensheet per persoon'!AG:AG)</f>
        <v>1.5642</v>
      </c>
      <c r="P775">
        <f>_xlfn.XLOOKUP(G775,AE:AE,'Tarievensheet per persoon'!AH:AH)</f>
        <v>1.3552</v>
      </c>
      <c r="Q775">
        <f>_xlfn.XLOOKUP(G775,AE:AE,'Tarievensheet per persoon'!AI:AI)</f>
        <v>1.3552</v>
      </c>
      <c r="R775">
        <v>0</v>
      </c>
      <c r="S775" s="14">
        <v>2.99</v>
      </c>
      <c r="T775" s="10">
        <f t="shared" si="133"/>
        <v>30.042724999999997</v>
      </c>
      <c r="U775" s="10">
        <f t="shared" si="134"/>
        <v>38.244920539999995</v>
      </c>
      <c r="V775" s="10">
        <f t="shared" si="135"/>
        <v>38.7420233</v>
      </c>
      <c r="W775" s="10">
        <f t="shared" si="136"/>
        <v>49.926835400000002</v>
      </c>
      <c r="X775" s="10">
        <f t="shared" si="137"/>
        <v>54.897863000000001</v>
      </c>
      <c r="Y775" s="10">
        <f t="shared" si="138"/>
        <v>79.753000999999998</v>
      </c>
      <c r="Z775" s="10">
        <f t="shared" si="139"/>
        <v>28.421254399999995</v>
      </c>
      <c r="AA775" s="10">
        <f t="shared" si="140"/>
        <v>36.541612800000003</v>
      </c>
      <c r="AB775" s="10">
        <f t="shared" si="141"/>
        <v>40.601792000000003</v>
      </c>
      <c r="AC775" s="10">
        <f t="shared" si="142"/>
        <v>60.902687999999998</v>
      </c>
    </row>
    <row r="776" spans="1:29" x14ac:dyDescent="0.25">
      <c r="A776">
        <v>453422</v>
      </c>
      <c r="B776" t="s">
        <v>96</v>
      </c>
      <c r="C776" s="10">
        <v>15.89</v>
      </c>
      <c r="D776" s="10">
        <v>14.98</v>
      </c>
      <c r="E776" s="10">
        <v>0</v>
      </c>
      <c r="F776">
        <v>3</v>
      </c>
      <c r="G776" t="s">
        <v>15</v>
      </c>
      <c r="H776" s="11">
        <v>45985</v>
      </c>
      <c r="I776" t="s">
        <v>13</v>
      </c>
      <c r="J776" s="12">
        <v>8</v>
      </c>
      <c r="K776" s="3">
        <v>240.32</v>
      </c>
      <c r="L776" s="3">
        <f t="shared" si="132"/>
        <v>30.04</v>
      </c>
      <c r="M776" s="13"/>
      <c r="N776">
        <f>_xlfn.XLOOKUP(G776,'Tarievensheet per persoon'!AE:AE,'Tarievensheet per persoon'!AF:AF)</f>
        <v>1.7024999999999999</v>
      </c>
      <c r="O776">
        <f>_xlfn.XLOOKUP(G776,AE:AE,'Tarievensheet per persoon'!AG:AG)</f>
        <v>1.5642</v>
      </c>
      <c r="P776">
        <f>_xlfn.XLOOKUP(G776,AE:AE,'Tarievensheet per persoon'!AH:AH)</f>
        <v>1.3552</v>
      </c>
      <c r="Q776">
        <f>_xlfn.XLOOKUP(G776,AE:AE,'Tarievensheet per persoon'!AI:AI)</f>
        <v>1.3552</v>
      </c>
      <c r="R776">
        <v>0</v>
      </c>
      <c r="S776" s="14">
        <v>2.99</v>
      </c>
      <c r="T776" s="10">
        <f t="shared" si="133"/>
        <v>30.042724999999997</v>
      </c>
      <c r="U776" s="10">
        <f t="shared" si="134"/>
        <v>38.244920539999995</v>
      </c>
      <c r="V776" s="10">
        <f t="shared" si="135"/>
        <v>38.7420233</v>
      </c>
      <c r="W776" s="10">
        <f t="shared" si="136"/>
        <v>49.926835400000002</v>
      </c>
      <c r="X776" s="10">
        <f t="shared" si="137"/>
        <v>54.897863000000001</v>
      </c>
      <c r="Y776" s="10">
        <f t="shared" si="138"/>
        <v>79.753000999999998</v>
      </c>
      <c r="Z776" s="10">
        <f t="shared" si="139"/>
        <v>28.421254399999995</v>
      </c>
      <c r="AA776" s="10">
        <f t="shared" si="140"/>
        <v>36.541612800000003</v>
      </c>
      <c r="AB776" s="10">
        <f t="shared" si="141"/>
        <v>40.601792000000003</v>
      </c>
      <c r="AC776" s="10">
        <f t="shared" si="142"/>
        <v>60.902687999999998</v>
      </c>
    </row>
    <row r="777" spans="1:29" x14ac:dyDescent="0.25">
      <c r="A777">
        <v>453422</v>
      </c>
      <c r="B777" t="s">
        <v>96</v>
      </c>
      <c r="C777" s="10">
        <v>15.89</v>
      </c>
      <c r="D777" s="10">
        <v>14.98</v>
      </c>
      <c r="E777" s="10">
        <v>0</v>
      </c>
      <c r="F777">
        <v>3</v>
      </c>
      <c r="G777" t="s">
        <v>15</v>
      </c>
      <c r="H777" s="11">
        <v>45986</v>
      </c>
      <c r="I777" t="s">
        <v>13</v>
      </c>
      <c r="J777" s="12">
        <v>8</v>
      </c>
      <c r="K777" s="3">
        <v>240.32</v>
      </c>
      <c r="L777" s="3">
        <f t="shared" si="132"/>
        <v>30.04</v>
      </c>
      <c r="M777" s="13"/>
      <c r="N777">
        <f>_xlfn.XLOOKUP(G777,'Tarievensheet per persoon'!AE:AE,'Tarievensheet per persoon'!AF:AF)</f>
        <v>1.7024999999999999</v>
      </c>
      <c r="O777">
        <f>_xlfn.XLOOKUP(G777,AE:AE,'Tarievensheet per persoon'!AG:AG)</f>
        <v>1.5642</v>
      </c>
      <c r="P777">
        <f>_xlfn.XLOOKUP(G777,AE:AE,'Tarievensheet per persoon'!AH:AH)</f>
        <v>1.3552</v>
      </c>
      <c r="Q777">
        <f>_xlfn.XLOOKUP(G777,AE:AE,'Tarievensheet per persoon'!AI:AI)</f>
        <v>1.3552</v>
      </c>
      <c r="R777">
        <v>0</v>
      </c>
      <c r="S777" s="14">
        <v>2.99</v>
      </c>
      <c r="T777" s="10">
        <f t="shared" si="133"/>
        <v>30.042724999999997</v>
      </c>
      <c r="U777" s="10">
        <f t="shared" si="134"/>
        <v>38.244920539999995</v>
      </c>
      <c r="V777" s="10">
        <f t="shared" si="135"/>
        <v>38.7420233</v>
      </c>
      <c r="W777" s="10">
        <f t="shared" si="136"/>
        <v>49.926835400000002</v>
      </c>
      <c r="X777" s="10">
        <f t="shared" si="137"/>
        <v>54.897863000000001</v>
      </c>
      <c r="Y777" s="10">
        <f t="shared" si="138"/>
        <v>79.753000999999998</v>
      </c>
      <c r="Z777" s="10">
        <f t="shared" si="139"/>
        <v>28.421254399999995</v>
      </c>
      <c r="AA777" s="10">
        <f t="shared" si="140"/>
        <v>36.541612800000003</v>
      </c>
      <c r="AB777" s="10">
        <f t="shared" si="141"/>
        <v>40.601792000000003</v>
      </c>
      <c r="AC777" s="10">
        <f t="shared" si="142"/>
        <v>60.902687999999998</v>
      </c>
    </row>
    <row r="778" spans="1:29" x14ac:dyDescent="0.25">
      <c r="A778">
        <v>453422</v>
      </c>
      <c r="B778" t="s">
        <v>96</v>
      </c>
      <c r="C778" s="10">
        <v>15.89</v>
      </c>
      <c r="D778" s="10">
        <v>14.98</v>
      </c>
      <c r="E778" s="10">
        <v>0</v>
      </c>
      <c r="F778">
        <v>3</v>
      </c>
      <c r="G778" t="s">
        <v>15</v>
      </c>
      <c r="H778" s="11">
        <v>45987</v>
      </c>
      <c r="I778" t="s">
        <v>13</v>
      </c>
      <c r="J778" s="12">
        <v>8</v>
      </c>
      <c r="K778" s="3">
        <v>240.32</v>
      </c>
      <c r="L778" s="3">
        <f t="shared" si="132"/>
        <v>30.04</v>
      </c>
      <c r="M778" s="13"/>
      <c r="N778">
        <f>_xlfn.XLOOKUP(G778,'Tarievensheet per persoon'!AE:AE,'Tarievensheet per persoon'!AF:AF)</f>
        <v>1.7024999999999999</v>
      </c>
      <c r="O778">
        <f>_xlfn.XLOOKUP(G778,AE:AE,'Tarievensheet per persoon'!AG:AG)</f>
        <v>1.5642</v>
      </c>
      <c r="P778">
        <f>_xlfn.XLOOKUP(G778,AE:AE,'Tarievensheet per persoon'!AH:AH)</f>
        <v>1.3552</v>
      </c>
      <c r="Q778">
        <f>_xlfn.XLOOKUP(G778,AE:AE,'Tarievensheet per persoon'!AI:AI)</f>
        <v>1.3552</v>
      </c>
      <c r="R778">
        <v>0</v>
      </c>
      <c r="S778" s="14">
        <v>2.99</v>
      </c>
      <c r="T778" s="10">
        <f t="shared" si="133"/>
        <v>30.042724999999997</v>
      </c>
      <c r="U778" s="10">
        <f t="shared" si="134"/>
        <v>38.244920539999995</v>
      </c>
      <c r="V778" s="10">
        <f t="shared" si="135"/>
        <v>38.7420233</v>
      </c>
      <c r="W778" s="10">
        <f t="shared" si="136"/>
        <v>49.926835400000002</v>
      </c>
      <c r="X778" s="10">
        <f t="shared" si="137"/>
        <v>54.897863000000001</v>
      </c>
      <c r="Y778" s="10">
        <f t="shared" si="138"/>
        <v>79.753000999999998</v>
      </c>
      <c r="Z778" s="10">
        <f t="shared" si="139"/>
        <v>28.421254399999995</v>
      </c>
      <c r="AA778" s="10">
        <f t="shared" si="140"/>
        <v>36.541612800000003</v>
      </c>
      <c r="AB778" s="10">
        <f t="shared" si="141"/>
        <v>40.601792000000003</v>
      </c>
      <c r="AC778" s="10">
        <f t="shared" si="142"/>
        <v>60.902687999999998</v>
      </c>
    </row>
    <row r="779" spans="1:29" x14ac:dyDescent="0.25">
      <c r="A779">
        <v>453422</v>
      </c>
      <c r="B779" t="s">
        <v>96</v>
      </c>
      <c r="C779" s="10">
        <v>15.89</v>
      </c>
      <c r="D779" s="10">
        <v>14.98</v>
      </c>
      <c r="E779" s="10">
        <v>0</v>
      </c>
      <c r="F779">
        <v>3</v>
      </c>
      <c r="G779" t="s">
        <v>15</v>
      </c>
      <c r="H779" s="11">
        <v>45988</v>
      </c>
      <c r="I779" t="s">
        <v>13</v>
      </c>
      <c r="J779" s="12">
        <v>8</v>
      </c>
      <c r="K779" s="3">
        <v>240.32</v>
      </c>
      <c r="L779" s="3">
        <f t="shared" si="132"/>
        <v>30.04</v>
      </c>
      <c r="M779" s="13"/>
      <c r="N779">
        <f>_xlfn.XLOOKUP(G779,'Tarievensheet per persoon'!AE:AE,'Tarievensheet per persoon'!AF:AF)</f>
        <v>1.7024999999999999</v>
      </c>
      <c r="O779">
        <f>_xlfn.XLOOKUP(G779,AE:AE,'Tarievensheet per persoon'!AG:AG)</f>
        <v>1.5642</v>
      </c>
      <c r="P779">
        <f>_xlfn.XLOOKUP(G779,AE:AE,'Tarievensheet per persoon'!AH:AH)</f>
        <v>1.3552</v>
      </c>
      <c r="Q779">
        <f>_xlfn.XLOOKUP(G779,AE:AE,'Tarievensheet per persoon'!AI:AI)</f>
        <v>1.3552</v>
      </c>
      <c r="R779">
        <v>0</v>
      </c>
      <c r="S779" s="14">
        <v>2.99</v>
      </c>
      <c r="T779" s="10">
        <f t="shared" si="133"/>
        <v>30.042724999999997</v>
      </c>
      <c r="U779" s="10">
        <f t="shared" si="134"/>
        <v>38.244920539999995</v>
      </c>
      <c r="V779" s="10">
        <f t="shared" si="135"/>
        <v>38.7420233</v>
      </c>
      <c r="W779" s="10">
        <f t="shared" si="136"/>
        <v>49.926835400000002</v>
      </c>
      <c r="X779" s="10">
        <f t="shared" si="137"/>
        <v>54.897863000000001</v>
      </c>
      <c r="Y779" s="10">
        <f t="shared" si="138"/>
        <v>79.753000999999998</v>
      </c>
      <c r="Z779" s="10">
        <f t="shared" si="139"/>
        <v>28.421254399999995</v>
      </c>
      <c r="AA779" s="10">
        <f t="shared" si="140"/>
        <v>36.541612800000003</v>
      </c>
      <c r="AB779" s="10">
        <f t="shared" si="141"/>
        <v>40.601792000000003</v>
      </c>
      <c r="AC779" s="10">
        <f t="shared" si="142"/>
        <v>60.902687999999998</v>
      </c>
    </row>
    <row r="780" spans="1:29" x14ac:dyDescent="0.25">
      <c r="A780">
        <v>453422</v>
      </c>
      <c r="B780" t="s">
        <v>96</v>
      </c>
      <c r="C780" s="10">
        <v>15.89</v>
      </c>
      <c r="D780" s="10">
        <v>14.98</v>
      </c>
      <c r="E780" s="10">
        <v>0</v>
      </c>
      <c r="F780">
        <v>3</v>
      </c>
      <c r="G780" t="s">
        <v>15</v>
      </c>
      <c r="H780" s="11">
        <v>45989</v>
      </c>
      <c r="I780" t="s">
        <v>13</v>
      </c>
      <c r="J780" s="12">
        <v>6.75</v>
      </c>
      <c r="K780" s="3">
        <v>202.77</v>
      </c>
      <c r="L780" s="3">
        <f t="shared" si="132"/>
        <v>30.040000000000003</v>
      </c>
      <c r="M780" s="13"/>
      <c r="N780">
        <f>_xlfn.XLOOKUP(G780,'Tarievensheet per persoon'!AE:AE,'Tarievensheet per persoon'!AF:AF)</f>
        <v>1.7024999999999999</v>
      </c>
      <c r="O780">
        <f>_xlfn.XLOOKUP(G780,AE:AE,'Tarievensheet per persoon'!AG:AG)</f>
        <v>1.5642</v>
      </c>
      <c r="P780">
        <f>_xlfn.XLOOKUP(G780,AE:AE,'Tarievensheet per persoon'!AH:AH)</f>
        <v>1.3552</v>
      </c>
      <c r="Q780">
        <f>_xlfn.XLOOKUP(G780,AE:AE,'Tarievensheet per persoon'!AI:AI)</f>
        <v>1.3552</v>
      </c>
      <c r="R780">
        <v>0</v>
      </c>
      <c r="S780" s="14">
        <v>2.99</v>
      </c>
      <c r="T780" s="10">
        <f t="shared" si="133"/>
        <v>30.042724999999997</v>
      </c>
      <c r="U780" s="10">
        <f t="shared" si="134"/>
        <v>38.244920539999995</v>
      </c>
      <c r="V780" s="10">
        <f t="shared" si="135"/>
        <v>38.7420233</v>
      </c>
      <c r="W780" s="10">
        <f t="shared" si="136"/>
        <v>49.926835400000002</v>
      </c>
      <c r="X780" s="10">
        <f t="shared" si="137"/>
        <v>54.897863000000001</v>
      </c>
      <c r="Y780" s="10">
        <f t="shared" si="138"/>
        <v>79.753000999999998</v>
      </c>
      <c r="Z780" s="10">
        <f t="shared" si="139"/>
        <v>28.421254399999995</v>
      </c>
      <c r="AA780" s="10">
        <f t="shared" si="140"/>
        <v>36.541612800000003</v>
      </c>
      <c r="AB780" s="10">
        <f t="shared" si="141"/>
        <v>40.601792000000003</v>
      </c>
      <c r="AC780" s="10">
        <f t="shared" si="142"/>
        <v>60.902687999999998</v>
      </c>
    </row>
    <row r="781" spans="1:29" x14ac:dyDescent="0.25">
      <c r="A781">
        <v>454075</v>
      </c>
      <c r="B781" t="s">
        <v>130</v>
      </c>
      <c r="C781" s="10">
        <v>15.89</v>
      </c>
      <c r="D781" s="10">
        <v>14.98</v>
      </c>
      <c r="E781" s="10">
        <v>0</v>
      </c>
      <c r="F781">
        <v>2</v>
      </c>
      <c r="G781" t="s">
        <v>15</v>
      </c>
      <c r="H781" s="11">
        <v>45985</v>
      </c>
      <c r="I781" t="s">
        <v>13</v>
      </c>
      <c r="J781" s="12">
        <v>8.25</v>
      </c>
      <c r="K781" s="3">
        <v>247.83</v>
      </c>
      <c r="L781" s="3">
        <f t="shared" si="132"/>
        <v>30.040000000000003</v>
      </c>
      <c r="M781" s="13"/>
      <c r="N781">
        <f>_xlfn.XLOOKUP(G781,'Tarievensheet per persoon'!AE:AE,'Tarievensheet per persoon'!AF:AF)</f>
        <v>1.7024999999999999</v>
      </c>
      <c r="O781">
        <f>_xlfn.XLOOKUP(G781,AE:AE,'Tarievensheet per persoon'!AG:AG)</f>
        <v>1.5642</v>
      </c>
      <c r="P781">
        <f>_xlfn.XLOOKUP(G781,AE:AE,'Tarievensheet per persoon'!AH:AH)</f>
        <v>1.3552</v>
      </c>
      <c r="Q781">
        <f>_xlfn.XLOOKUP(G781,AE:AE,'Tarievensheet per persoon'!AI:AI)</f>
        <v>1.3552</v>
      </c>
      <c r="R781">
        <v>0</v>
      </c>
      <c r="S781" s="14">
        <v>2.99</v>
      </c>
      <c r="T781" s="10">
        <f t="shared" si="133"/>
        <v>30.042724999999997</v>
      </c>
      <c r="U781" s="10">
        <f t="shared" si="134"/>
        <v>38.244920539999995</v>
      </c>
      <c r="V781" s="10">
        <f t="shared" si="135"/>
        <v>38.7420233</v>
      </c>
      <c r="W781" s="10">
        <f t="shared" si="136"/>
        <v>49.926835400000002</v>
      </c>
      <c r="X781" s="10">
        <f t="shared" si="137"/>
        <v>54.897863000000001</v>
      </c>
      <c r="Y781" s="10">
        <f t="shared" si="138"/>
        <v>79.753000999999998</v>
      </c>
      <c r="Z781" s="10">
        <f t="shared" si="139"/>
        <v>28.421254399999995</v>
      </c>
      <c r="AA781" s="10">
        <f t="shared" si="140"/>
        <v>36.541612800000003</v>
      </c>
      <c r="AB781" s="10">
        <f t="shared" si="141"/>
        <v>40.601792000000003</v>
      </c>
      <c r="AC781" s="10">
        <f t="shared" si="142"/>
        <v>60.902687999999998</v>
      </c>
    </row>
    <row r="782" spans="1:29" x14ac:dyDescent="0.25">
      <c r="A782">
        <v>454075</v>
      </c>
      <c r="B782" t="s">
        <v>130</v>
      </c>
      <c r="C782" s="10">
        <v>15.89</v>
      </c>
      <c r="D782" s="10">
        <v>14.98</v>
      </c>
      <c r="E782" s="10">
        <v>0</v>
      </c>
      <c r="F782">
        <v>2</v>
      </c>
      <c r="G782" t="s">
        <v>15</v>
      </c>
      <c r="H782" s="11">
        <v>45986</v>
      </c>
      <c r="I782" t="s">
        <v>13</v>
      </c>
      <c r="J782" s="12">
        <v>9.25</v>
      </c>
      <c r="K782" s="3">
        <v>277.87</v>
      </c>
      <c r="L782" s="3">
        <f t="shared" si="132"/>
        <v>30.04</v>
      </c>
      <c r="M782" s="13"/>
      <c r="N782">
        <f>_xlfn.XLOOKUP(G782,'Tarievensheet per persoon'!AE:AE,'Tarievensheet per persoon'!AF:AF)</f>
        <v>1.7024999999999999</v>
      </c>
      <c r="O782">
        <f>_xlfn.XLOOKUP(G782,AE:AE,'Tarievensheet per persoon'!AG:AG)</f>
        <v>1.5642</v>
      </c>
      <c r="P782">
        <f>_xlfn.XLOOKUP(G782,AE:AE,'Tarievensheet per persoon'!AH:AH)</f>
        <v>1.3552</v>
      </c>
      <c r="Q782">
        <f>_xlfn.XLOOKUP(G782,AE:AE,'Tarievensheet per persoon'!AI:AI)</f>
        <v>1.3552</v>
      </c>
      <c r="R782">
        <v>0</v>
      </c>
      <c r="S782" s="14">
        <v>2.99</v>
      </c>
      <c r="T782" s="10">
        <f t="shared" si="133"/>
        <v>30.042724999999997</v>
      </c>
      <c r="U782" s="10">
        <f t="shared" si="134"/>
        <v>38.244920539999995</v>
      </c>
      <c r="V782" s="10">
        <f t="shared" si="135"/>
        <v>38.7420233</v>
      </c>
      <c r="W782" s="10">
        <f t="shared" si="136"/>
        <v>49.926835400000002</v>
      </c>
      <c r="X782" s="10">
        <f t="shared" si="137"/>
        <v>54.897863000000001</v>
      </c>
      <c r="Y782" s="10">
        <f t="shared" si="138"/>
        <v>79.753000999999998</v>
      </c>
      <c r="Z782" s="10">
        <f t="shared" si="139"/>
        <v>28.421254399999995</v>
      </c>
      <c r="AA782" s="10">
        <f t="shared" si="140"/>
        <v>36.541612800000003</v>
      </c>
      <c r="AB782" s="10">
        <f t="shared" si="141"/>
        <v>40.601792000000003</v>
      </c>
      <c r="AC782" s="10">
        <f t="shared" si="142"/>
        <v>60.902687999999998</v>
      </c>
    </row>
    <row r="783" spans="1:29" x14ac:dyDescent="0.25">
      <c r="A783">
        <v>454075</v>
      </c>
      <c r="B783" t="s">
        <v>130</v>
      </c>
      <c r="C783" s="10">
        <v>15.89</v>
      </c>
      <c r="D783" s="10">
        <v>14.98</v>
      </c>
      <c r="E783" s="10">
        <v>0</v>
      </c>
      <c r="F783">
        <v>2</v>
      </c>
      <c r="G783" t="s">
        <v>15</v>
      </c>
      <c r="H783" s="11">
        <v>45987</v>
      </c>
      <c r="I783" t="s">
        <v>13</v>
      </c>
      <c r="J783" s="12">
        <v>7</v>
      </c>
      <c r="K783" s="3">
        <v>210.28</v>
      </c>
      <c r="L783" s="3">
        <f t="shared" si="132"/>
        <v>30.04</v>
      </c>
      <c r="M783" s="13"/>
      <c r="N783">
        <f>_xlfn.XLOOKUP(G783,'Tarievensheet per persoon'!AE:AE,'Tarievensheet per persoon'!AF:AF)</f>
        <v>1.7024999999999999</v>
      </c>
      <c r="O783">
        <f>_xlfn.XLOOKUP(G783,AE:AE,'Tarievensheet per persoon'!AG:AG)</f>
        <v>1.5642</v>
      </c>
      <c r="P783">
        <f>_xlfn.XLOOKUP(G783,AE:AE,'Tarievensheet per persoon'!AH:AH)</f>
        <v>1.3552</v>
      </c>
      <c r="Q783">
        <f>_xlfn.XLOOKUP(G783,AE:AE,'Tarievensheet per persoon'!AI:AI)</f>
        <v>1.3552</v>
      </c>
      <c r="R783">
        <v>0</v>
      </c>
      <c r="S783" s="14">
        <v>2.99</v>
      </c>
      <c r="T783" s="10">
        <f t="shared" si="133"/>
        <v>30.042724999999997</v>
      </c>
      <c r="U783" s="10">
        <f t="shared" si="134"/>
        <v>38.244920539999995</v>
      </c>
      <c r="V783" s="10">
        <f t="shared" si="135"/>
        <v>38.7420233</v>
      </c>
      <c r="W783" s="10">
        <f t="shared" si="136"/>
        <v>49.926835400000002</v>
      </c>
      <c r="X783" s="10">
        <f t="shared" si="137"/>
        <v>54.897863000000001</v>
      </c>
      <c r="Y783" s="10">
        <f t="shared" si="138"/>
        <v>79.753000999999998</v>
      </c>
      <c r="Z783" s="10">
        <f t="shared" si="139"/>
        <v>28.421254399999995</v>
      </c>
      <c r="AA783" s="10">
        <f t="shared" si="140"/>
        <v>36.541612800000003</v>
      </c>
      <c r="AB783" s="10">
        <f t="shared" si="141"/>
        <v>40.601792000000003</v>
      </c>
      <c r="AC783" s="10">
        <f t="shared" si="142"/>
        <v>60.902687999999998</v>
      </c>
    </row>
    <row r="784" spans="1:29" x14ac:dyDescent="0.25">
      <c r="A784">
        <v>454075</v>
      </c>
      <c r="B784" t="s">
        <v>130</v>
      </c>
      <c r="C784" s="10">
        <v>15.89</v>
      </c>
      <c r="D784" s="10">
        <v>14.98</v>
      </c>
      <c r="E784" s="10">
        <v>0</v>
      </c>
      <c r="F784">
        <v>2</v>
      </c>
      <c r="G784" t="s">
        <v>15</v>
      </c>
      <c r="H784" s="11">
        <v>45987</v>
      </c>
      <c r="I784" t="s">
        <v>23</v>
      </c>
      <c r="J784" s="12">
        <v>2</v>
      </c>
      <c r="K784" s="3">
        <v>56.84</v>
      </c>
      <c r="L784" s="3">
        <f t="shared" si="132"/>
        <v>28.42</v>
      </c>
      <c r="M784" s="13"/>
      <c r="N784">
        <f>_xlfn.XLOOKUP(G784,'Tarievensheet per persoon'!AE:AE,'Tarievensheet per persoon'!AF:AF)</f>
        <v>1.7024999999999999</v>
      </c>
      <c r="O784">
        <f>_xlfn.XLOOKUP(G784,AE:AE,'Tarievensheet per persoon'!AG:AG)</f>
        <v>1.5642</v>
      </c>
      <c r="P784">
        <f>_xlfn.XLOOKUP(G784,AE:AE,'Tarievensheet per persoon'!AH:AH)</f>
        <v>1.3552</v>
      </c>
      <c r="Q784">
        <f>_xlfn.XLOOKUP(G784,AE:AE,'Tarievensheet per persoon'!AI:AI)</f>
        <v>1.3552</v>
      </c>
      <c r="R784">
        <v>0</v>
      </c>
      <c r="S784" s="14">
        <v>2.99</v>
      </c>
      <c r="T784" s="10">
        <f t="shared" si="133"/>
        <v>30.042724999999997</v>
      </c>
      <c r="U784" s="10">
        <f t="shared" si="134"/>
        <v>38.244920539999995</v>
      </c>
      <c r="V784" s="10">
        <f t="shared" si="135"/>
        <v>38.7420233</v>
      </c>
      <c r="W784" s="10">
        <f t="shared" si="136"/>
        <v>49.926835400000002</v>
      </c>
      <c r="X784" s="10">
        <f t="shared" si="137"/>
        <v>54.897863000000001</v>
      </c>
      <c r="Y784" s="10">
        <f t="shared" si="138"/>
        <v>79.753000999999998</v>
      </c>
      <c r="Z784" s="10">
        <f t="shared" si="139"/>
        <v>28.421254399999995</v>
      </c>
      <c r="AA784" s="10">
        <f t="shared" si="140"/>
        <v>36.541612800000003</v>
      </c>
      <c r="AB784" s="10">
        <f t="shared" si="141"/>
        <v>40.601792000000003</v>
      </c>
      <c r="AC784" s="10">
        <f t="shared" si="142"/>
        <v>60.902687999999998</v>
      </c>
    </row>
    <row r="785" spans="1:29" x14ac:dyDescent="0.25">
      <c r="A785">
        <v>454075</v>
      </c>
      <c r="B785" t="s">
        <v>130</v>
      </c>
      <c r="C785" s="10">
        <v>15.89</v>
      </c>
      <c r="D785" s="10">
        <v>14.98</v>
      </c>
      <c r="E785" s="10">
        <v>0</v>
      </c>
      <c r="F785">
        <v>2</v>
      </c>
      <c r="G785" t="s">
        <v>15</v>
      </c>
      <c r="H785" s="11">
        <v>45988</v>
      </c>
      <c r="I785" t="s">
        <v>13</v>
      </c>
      <c r="J785" s="12">
        <v>8</v>
      </c>
      <c r="K785" s="3">
        <v>240.32</v>
      </c>
      <c r="L785" s="3">
        <f t="shared" si="132"/>
        <v>30.04</v>
      </c>
      <c r="M785" s="13"/>
      <c r="N785">
        <f>_xlfn.XLOOKUP(G785,'Tarievensheet per persoon'!AE:AE,'Tarievensheet per persoon'!AF:AF)</f>
        <v>1.7024999999999999</v>
      </c>
      <c r="O785">
        <f>_xlfn.XLOOKUP(G785,AE:AE,'Tarievensheet per persoon'!AG:AG)</f>
        <v>1.5642</v>
      </c>
      <c r="P785">
        <f>_xlfn.XLOOKUP(G785,AE:AE,'Tarievensheet per persoon'!AH:AH)</f>
        <v>1.3552</v>
      </c>
      <c r="Q785">
        <f>_xlfn.XLOOKUP(G785,AE:AE,'Tarievensheet per persoon'!AI:AI)</f>
        <v>1.3552</v>
      </c>
      <c r="R785">
        <v>0</v>
      </c>
      <c r="S785" s="14">
        <v>2.99</v>
      </c>
      <c r="T785" s="10">
        <f t="shared" si="133"/>
        <v>30.042724999999997</v>
      </c>
      <c r="U785" s="10">
        <f t="shared" si="134"/>
        <v>38.244920539999995</v>
      </c>
      <c r="V785" s="10">
        <f t="shared" si="135"/>
        <v>38.7420233</v>
      </c>
      <c r="W785" s="10">
        <f t="shared" si="136"/>
        <v>49.926835400000002</v>
      </c>
      <c r="X785" s="10">
        <f t="shared" si="137"/>
        <v>54.897863000000001</v>
      </c>
      <c r="Y785" s="10">
        <f t="shared" si="138"/>
        <v>79.753000999999998</v>
      </c>
      <c r="Z785" s="10">
        <f t="shared" si="139"/>
        <v>28.421254399999995</v>
      </c>
      <c r="AA785" s="10">
        <f t="shared" si="140"/>
        <v>36.541612800000003</v>
      </c>
      <c r="AB785" s="10">
        <f t="shared" si="141"/>
        <v>40.601792000000003</v>
      </c>
      <c r="AC785" s="10">
        <f t="shared" si="142"/>
        <v>60.902687999999998</v>
      </c>
    </row>
    <row r="786" spans="1:29" x14ac:dyDescent="0.25">
      <c r="A786">
        <v>454075</v>
      </c>
      <c r="B786" t="s">
        <v>130</v>
      </c>
      <c r="C786" s="10">
        <v>15.89</v>
      </c>
      <c r="D786" s="10">
        <v>14.98</v>
      </c>
      <c r="E786" s="10">
        <v>0</v>
      </c>
      <c r="F786">
        <v>2</v>
      </c>
      <c r="G786" t="s">
        <v>15</v>
      </c>
      <c r="H786" s="11">
        <v>45989</v>
      </c>
      <c r="I786" t="s">
        <v>13</v>
      </c>
      <c r="J786" s="12">
        <v>7.5</v>
      </c>
      <c r="K786" s="3">
        <v>225.3</v>
      </c>
      <c r="L786" s="3">
        <f t="shared" si="132"/>
        <v>30.040000000000003</v>
      </c>
      <c r="M786" s="13"/>
      <c r="N786">
        <f>_xlfn.XLOOKUP(G786,'Tarievensheet per persoon'!AE:AE,'Tarievensheet per persoon'!AF:AF)</f>
        <v>1.7024999999999999</v>
      </c>
      <c r="O786">
        <f>_xlfn.XLOOKUP(G786,AE:AE,'Tarievensheet per persoon'!AG:AG)</f>
        <v>1.5642</v>
      </c>
      <c r="P786">
        <f>_xlfn.XLOOKUP(G786,AE:AE,'Tarievensheet per persoon'!AH:AH)</f>
        <v>1.3552</v>
      </c>
      <c r="Q786">
        <f>_xlfn.XLOOKUP(G786,AE:AE,'Tarievensheet per persoon'!AI:AI)</f>
        <v>1.3552</v>
      </c>
      <c r="R786">
        <v>0</v>
      </c>
      <c r="S786" s="14">
        <v>2.99</v>
      </c>
      <c r="T786" s="10">
        <f t="shared" si="133"/>
        <v>30.042724999999997</v>
      </c>
      <c r="U786" s="10">
        <f t="shared" si="134"/>
        <v>38.244920539999995</v>
      </c>
      <c r="V786" s="10">
        <f t="shared" si="135"/>
        <v>38.7420233</v>
      </c>
      <c r="W786" s="10">
        <f t="shared" si="136"/>
        <v>49.926835400000002</v>
      </c>
      <c r="X786" s="10">
        <f t="shared" si="137"/>
        <v>54.897863000000001</v>
      </c>
      <c r="Y786" s="10">
        <f t="shared" si="138"/>
        <v>79.753000999999998</v>
      </c>
      <c r="Z786" s="10">
        <f t="shared" si="139"/>
        <v>28.421254399999995</v>
      </c>
      <c r="AA786" s="10">
        <f t="shared" si="140"/>
        <v>36.541612800000003</v>
      </c>
      <c r="AB786" s="10">
        <f t="shared" si="141"/>
        <v>40.601792000000003</v>
      </c>
      <c r="AC786" s="10">
        <f t="shared" si="142"/>
        <v>60.902687999999998</v>
      </c>
    </row>
    <row r="787" spans="1:29" x14ac:dyDescent="0.25">
      <c r="A787">
        <v>454135</v>
      </c>
      <c r="B787" t="s">
        <v>97</v>
      </c>
      <c r="C787" s="10">
        <v>15.89</v>
      </c>
      <c r="D787" s="10">
        <v>14.98</v>
      </c>
      <c r="E787" s="10">
        <v>0</v>
      </c>
      <c r="F787">
        <v>2</v>
      </c>
      <c r="G787" t="s">
        <v>15</v>
      </c>
      <c r="H787" s="11">
        <v>45985</v>
      </c>
      <c r="I787" t="s">
        <v>13</v>
      </c>
      <c r="J787" s="12">
        <v>8.75</v>
      </c>
      <c r="K787" s="3">
        <v>262.85000000000002</v>
      </c>
      <c r="L787" s="3">
        <f t="shared" si="132"/>
        <v>30.040000000000003</v>
      </c>
      <c r="M787" s="13"/>
      <c r="N787">
        <f>_xlfn.XLOOKUP(G787,'Tarievensheet per persoon'!AE:AE,'Tarievensheet per persoon'!AF:AF)</f>
        <v>1.7024999999999999</v>
      </c>
      <c r="O787">
        <f>_xlfn.XLOOKUP(G787,AE:AE,'Tarievensheet per persoon'!AG:AG)</f>
        <v>1.5642</v>
      </c>
      <c r="P787">
        <f>_xlfn.XLOOKUP(G787,AE:AE,'Tarievensheet per persoon'!AH:AH)</f>
        <v>1.3552</v>
      </c>
      <c r="Q787">
        <f>_xlfn.XLOOKUP(G787,AE:AE,'Tarievensheet per persoon'!AI:AI)</f>
        <v>1.3552</v>
      </c>
      <c r="R787">
        <v>0</v>
      </c>
      <c r="S787" s="14">
        <v>2.99</v>
      </c>
      <c r="T787" s="10">
        <f t="shared" si="133"/>
        <v>30.042724999999997</v>
      </c>
      <c r="U787" s="10">
        <f t="shared" si="134"/>
        <v>38.244920539999995</v>
      </c>
      <c r="V787" s="10">
        <f t="shared" si="135"/>
        <v>38.7420233</v>
      </c>
      <c r="W787" s="10">
        <f t="shared" si="136"/>
        <v>49.926835400000002</v>
      </c>
      <c r="X787" s="10">
        <f t="shared" si="137"/>
        <v>54.897863000000001</v>
      </c>
      <c r="Y787" s="10">
        <f t="shared" si="138"/>
        <v>79.753000999999998</v>
      </c>
      <c r="Z787" s="10">
        <f t="shared" si="139"/>
        <v>28.421254399999995</v>
      </c>
      <c r="AA787" s="10">
        <f t="shared" si="140"/>
        <v>36.541612800000003</v>
      </c>
      <c r="AB787" s="10">
        <f t="shared" si="141"/>
        <v>40.601792000000003</v>
      </c>
      <c r="AC787" s="10">
        <f t="shared" si="142"/>
        <v>60.902687999999998</v>
      </c>
    </row>
    <row r="788" spans="1:29" x14ac:dyDescent="0.25">
      <c r="A788">
        <v>454135</v>
      </c>
      <c r="B788" t="s">
        <v>97</v>
      </c>
      <c r="C788" s="10">
        <v>15.89</v>
      </c>
      <c r="D788" s="10">
        <v>14.98</v>
      </c>
      <c r="E788" s="10">
        <v>0</v>
      </c>
      <c r="F788">
        <v>2</v>
      </c>
      <c r="G788" t="s">
        <v>15</v>
      </c>
      <c r="H788" s="11">
        <v>45986</v>
      </c>
      <c r="I788" t="s">
        <v>13</v>
      </c>
      <c r="J788" s="12">
        <v>8.5</v>
      </c>
      <c r="K788" s="3">
        <v>255.34</v>
      </c>
      <c r="L788" s="3">
        <f t="shared" si="132"/>
        <v>30.04</v>
      </c>
      <c r="M788" s="13"/>
      <c r="N788">
        <f>_xlfn.XLOOKUP(G788,'Tarievensheet per persoon'!AE:AE,'Tarievensheet per persoon'!AF:AF)</f>
        <v>1.7024999999999999</v>
      </c>
      <c r="O788">
        <f>_xlfn.XLOOKUP(G788,AE:AE,'Tarievensheet per persoon'!AG:AG)</f>
        <v>1.5642</v>
      </c>
      <c r="P788">
        <f>_xlfn.XLOOKUP(G788,AE:AE,'Tarievensheet per persoon'!AH:AH)</f>
        <v>1.3552</v>
      </c>
      <c r="Q788">
        <f>_xlfn.XLOOKUP(G788,AE:AE,'Tarievensheet per persoon'!AI:AI)</f>
        <v>1.3552</v>
      </c>
      <c r="R788">
        <v>0</v>
      </c>
      <c r="S788" s="14">
        <v>2.99</v>
      </c>
      <c r="T788" s="10">
        <f t="shared" si="133"/>
        <v>30.042724999999997</v>
      </c>
      <c r="U788" s="10">
        <f t="shared" si="134"/>
        <v>38.244920539999995</v>
      </c>
      <c r="V788" s="10">
        <f t="shared" si="135"/>
        <v>38.7420233</v>
      </c>
      <c r="W788" s="10">
        <f t="shared" si="136"/>
        <v>49.926835400000002</v>
      </c>
      <c r="X788" s="10">
        <f t="shared" si="137"/>
        <v>54.897863000000001</v>
      </c>
      <c r="Y788" s="10">
        <f t="shared" si="138"/>
        <v>79.753000999999998</v>
      </c>
      <c r="Z788" s="10">
        <f t="shared" si="139"/>
        <v>28.421254399999995</v>
      </c>
      <c r="AA788" s="10">
        <f t="shared" si="140"/>
        <v>36.541612800000003</v>
      </c>
      <c r="AB788" s="10">
        <f t="shared" si="141"/>
        <v>40.601792000000003</v>
      </c>
      <c r="AC788" s="10">
        <f t="shared" si="142"/>
        <v>60.902687999999998</v>
      </c>
    </row>
    <row r="789" spans="1:29" x14ac:dyDescent="0.25">
      <c r="A789">
        <v>454135</v>
      </c>
      <c r="B789" t="s">
        <v>97</v>
      </c>
      <c r="C789" s="10">
        <v>15.89</v>
      </c>
      <c r="D789" s="10">
        <v>14.98</v>
      </c>
      <c r="E789" s="10">
        <v>0</v>
      </c>
      <c r="F789">
        <v>2</v>
      </c>
      <c r="G789" t="s">
        <v>15</v>
      </c>
      <c r="H789" s="11">
        <v>45987</v>
      </c>
      <c r="I789" t="s">
        <v>13</v>
      </c>
      <c r="J789" s="12">
        <v>6</v>
      </c>
      <c r="K789" s="3">
        <v>180.24</v>
      </c>
      <c r="L789" s="3">
        <f t="shared" si="132"/>
        <v>30.040000000000003</v>
      </c>
      <c r="M789" s="13"/>
      <c r="N789">
        <f>_xlfn.XLOOKUP(G789,'Tarievensheet per persoon'!AE:AE,'Tarievensheet per persoon'!AF:AF)</f>
        <v>1.7024999999999999</v>
      </c>
      <c r="O789">
        <f>_xlfn.XLOOKUP(G789,AE:AE,'Tarievensheet per persoon'!AG:AG)</f>
        <v>1.5642</v>
      </c>
      <c r="P789">
        <f>_xlfn.XLOOKUP(G789,AE:AE,'Tarievensheet per persoon'!AH:AH)</f>
        <v>1.3552</v>
      </c>
      <c r="Q789">
        <f>_xlfn.XLOOKUP(G789,AE:AE,'Tarievensheet per persoon'!AI:AI)</f>
        <v>1.3552</v>
      </c>
      <c r="R789">
        <v>0</v>
      </c>
      <c r="S789" s="14">
        <v>2.99</v>
      </c>
      <c r="T789" s="10">
        <f t="shared" si="133"/>
        <v>30.042724999999997</v>
      </c>
      <c r="U789" s="10">
        <f t="shared" si="134"/>
        <v>38.244920539999995</v>
      </c>
      <c r="V789" s="10">
        <f t="shared" si="135"/>
        <v>38.7420233</v>
      </c>
      <c r="W789" s="10">
        <f t="shared" si="136"/>
        <v>49.926835400000002</v>
      </c>
      <c r="X789" s="10">
        <f t="shared" si="137"/>
        <v>54.897863000000001</v>
      </c>
      <c r="Y789" s="10">
        <f t="shared" si="138"/>
        <v>79.753000999999998</v>
      </c>
      <c r="Z789" s="10">
        <f t="shared" si="139"/>
        <v>28.421254399999995</v>
      </c>
      <c r="AA789" s="10">
        <f t="shared" si="140"/>
        <v>36.541612800000003</v>
      </c>
      <c r="AB789" s="10">
        <f t="shared" si="141"/>
        <v>40.601792000000003</v>
      </c>
      <c r="AC789" s="10">
        <f t="shared" si="142"/>
        <v>60.902687999999998</v>
      </c>
    </row>
    <row r="790" spans="1:29" x14ac:dyDescent="0.25">
      <c r="A790">
        <v>454135</v>
      </c>
      <c r="B790" t="s">
        <v>97</v>
      </c>
      <c r="C790" s="10">
        <v>15.89</v>
      </c>
      <c r="D790" s="10">
        <v>14.98</v>
      </c>
      <c r="E790" s="10">
        <v>0</v>
      </c>
      <c r="F790">
        <v>2</v>
      </c>
      <c r="G790" t="s">
        <v>15</v>
      </c>
      <c r="H790" s="11">
        <v>45987</v>
      </c>
      <c r="I790" t="s">
        <v>23</v>
      </c>
      <c r="J790" s="12">
        <v>3</v>
      </c>
      <c r="K790" s="3">
        <v>85.26</v>
      </c>
      <c r="L790" s="3">
        <f t="shared" si="132"/>
        <v>28.42</v>
      </c>
      <c r="M790" s="13"/>
      <c r="N790">
        <f>_xlfn.XLOOKUP(G790,'Tarievensheet per persoon'!AE:AE,'Tarievensheet per persoon'!AF:AF)</f>
        <v>1.7024999999999999</v>
      </c>
      <c r="O790">
        <f>_xlfn.XLOOKUP(G790,AE:AE,'Tarievensheet per persoon'!AG:AG)</f>
        <v>1.5642</v>
      </c>
      <c r="P790">
        <f>_xlfn.XLOOKUP(G790,AE:AE,'Tarievensheet per persoon'!AH:AH)</f>
        <v>1.3552</v>
      </c>
      <c r="Q790">
        <f>_xlfn.XLOOKUP(G790,AE:AE,'Tarievensheet per persoon'!AI:AI)</f>
        <v>1.3552</v>
      </c>
      <c r="R790">
        <v>0</v>
      </c>
      <c r="S790" s="14">
        <v>2.99</v>
      </c>
      <c r="T790" s="10">
        <f t="shared" si="133"/>
        <v>30.042724999999997</v>
      </c>
      <c r="U790" s="10">
        <f t="shared" si="134"/>
        <v>38.244920539999995</v>
      </c>
      <c r="V790" s="10">
        <f t="shared" si="135"/>
        <v>38.7420233</v>
      </c>
      <c r="W790" s="10">
        <f t="shared" si="136"/>
        <v>49.926835400000002</v>
      </c>
      <c r="X790" s="10">
        <f t="shared" si="137"/>
        <v>54.897863000000001</v>
      </c>
      <c r="Y790" s="10">
        <f t="shared" si="138"/>
        <v>79.753000999999998</v>
      </c>
      <c r="Z790" s="10">
        <f t="shared" si="139"/>
        <v>28.421254399999995</v>
      </c>
      <c r="AA790" s="10">
        <f t="shared" si="140"/>
        <v>36.541612800000003</v>
      </c>
      <c r="AB790" s="10">
        <f t="shared" si="141"/>
        <v>40.601792000000003</v>
      </c>
      <c r="AC790" s="10">
        <f t="shared" si="142"/>
        <v>60.902687999999998</v>
      </c>
    </row>
    <row r="791" spans="1:29" x14ac:dyDescent="0.25">
      <c r="A791">
        <v>454135</v>
      </c>
      <c r="B791" t="s">
        <v>97</v>
      </c>
      <c r="C791" s="10">
        <v>15.89</v>
      </c>
      <c r="D791" s="10">
        <v>14.98</v>
      </c>
      <c r="E791" s="10">
        <v>0</v>
      </c>
      <c r="F791">
        <v>2</v>
      </c>
      <c r="G791" t="s">
        <v>15</v>
      </c>
      <c r="H791" s="11">
        <v>45988</v>
      </c>
      <c r="I791" t="s">
        <v>13</v>
      </c>
      <c r="J791" s="12">
        <v>9.5</v>
      </c>
      <c r="K791" s="3">
        <v>285.38</v>
      </c>
      <c r="L791" s="3">
        <f t="shared" si="132"/>
        <v>30.04</v>
      </c>
      <c r="M791" s="13"/>
      <c r="N791">
        <f>_xlfn.XLOOKUP(G791,'Tarievensheet per persoon'!AE:AE,'Tarievensheet per persoon'!AF:AF)</f>
        <v>1.7024999999999999</v>
      </c>
      <c r="O791">
        <f>_xlfn.XLOOKUP(G791,AE:AE,'Tarievensheet per persoon'!AG:AG)</f>
        <v>1.5642</v>
      </c>
      <c r="P791">
        <f>_xlfn.XLOOKUP(G791,AE:AE,'Tarievensheet per persoon'!AH:AH)</f>
        <v>1.3552</v>
      </c>
      <c r="Q791">
        <f>_xlfn.XLOOKUP(G791,AE:AE,'Tarievensheet per persoon'!AI:AI)</f>
        <v>1.3552</v>
      </c>
      <c r="R791">
        <v>0</v>
      </c>
      <c r="S791" s="14">
        <v>2.99</v>
      </c>
      <c r="T791" s="10">
        <f t="shared" si="133"/>
        <v>30.042724999999997</v>
      </c>
      <c r="U791" s="10">
        <f t="shared" si="134"/>
        <v>38.244920539999995</v>
      </c>
      <c r="V791" s="10">
        <f t="shared" si="135"/>
        <v>38.7420233</v>
      </c>
      <c r="W791" s="10">
        <f t="shared" si="136"/>
        <v>49.926835400000002</v>
      </c>
      <c r="X791" s="10">
        <f t="shared" si="137"/>
        <v>54.897863000000001</v>
      </c>
      <c r="Y791" s="10">
        <f t="shared" si="138"/>
        <v>79.753000999999998</v>
      </c>
      <c r="Z791" s="10">
        <f t="shared" si="139"/>
        <v>28.421254399999995</v>
      </c>
      <c r="AA791" s="10">
        <f t="shared" si="140"/>
        <v>36.541612800000003</v>
      </c>
      <c r="AB791" s="10">
        <f t="shared" si="141"/>
        <v>40.601792000000003</v>
      </c>
      <c r="AC791" s="10">
        <f t="shared" si="142"/>
        <v>60.902687999999998</v>
      </c>
    </row>
    <row r="792" spans="1:29" x14ac:dyDescent="0.25">
      <c r="A792">
        <v>454135</v>
      </c>
      <c r="B792" t="s">
        <v>97</v>
      </c>
      <c r="C792" s="10">
        <v>15.89</v>
      </c>
      <c r="D792" s="10">
        <v>14.98</v>
      </c>
      <c r="E792" s="10">
        <v>0</v>
      </c>
      <c r="F792">
        <v>2</v>
      </c>
      <c r="G792" t="s">
        <v>15</v>
      </c>
      <c r="H792" s="11">
        <v>45989</v>
      </c>
      <c r="I792" t="s">
        <v>13</v>
      </c>
      <c r="J792" s="12">
        <v>7.25</v>
      </c>
      <c r="K792" s="3">
        <v>217.79</v>
      </c>
      <c r="L792" s="3">
        <f t="shared" si="132"/>
        <v>30.04</v>
      </c>
      <c r="M792" s="13"/>
      <c r="N792">
        <f>_xlfn.XLOOKUP(G792,'Tarievensheet per persoon'!AE:AE,'Tarievensheet per persoon'!AF:AF)</f>
        <v>1.7024999999999999</v>
      </c>
      <c r="O792">
        <f>_xlfn.XLOOKUP(G792,AE:AE,'Tarievensheet per persoon'!AG:AG)</f>
        <v>1.5642</v>
      </c>
      <c r="P792">
        <f>_xlfn.XLOOKUP(G792,AE:AE,'Tarievensheet per persoon'!AH:AH)</f>
        <v>1.3552</v>
      </c>
      <c r="Q792">
        <f>_xlfn.XLOOKUP(G792,AE:AE,'Tarievensheet per persoon'!AI:AI)</f>
        <v>1.3552</v>
      </c>
      <c r="R792">
        <v>0</v>
      </c>
      <c r="S792" s="14">
        <v>2.99</v>
      </c>
      <c r="T792" s="10">
        <f t="shared" si="133"/>
        <v>30.042724999999997</v>
      </c>
      <c r="U792" s="10">
        <f t="shared" si="134"/>
        <v>38.244920539999995</v>
      </c>
      <c r="V792" s="10">
        <f t="shared" si="135"/>
        <v>38.7420233</v>
      </c>
      <c r="W792" s="10">
        <f t="shared" si="136"/>
        <v>49.926835400000002</v>
      </c>
      <c r="X792" s="10">
        <f t="shared" si="137"/>
        <v>54.897863000000001</v>
      </c>
      <c r="Y792" s="10">
        <f t="shared" si="138"/>
        <v>79.753000999999998</v>
      </c>
      <c r="Z792" s="10">
        <f t="shared" si="139"/>
        <v>28.421254399999995</v>
      </c>
      <c r="AA792" s="10">
        <f t="shared" si="140"/>
        <v>36.541612800000003</v>
      </c>
      <c r="AB792" s="10">
        <f t="shared" si="141"/>
        <v>40.601792000000003</v>
      </c>
      <c r="AC792" s="10">
        <f t="shared" si="142"/>
        <v>60.902687999999998</v>
      </c>
    </row>
    <row r="793" spans="1:29" x14ac:dyDescent="0.25">
      <c r="A793">
        <v>454283</v>
      </c>
      <c r="B793" t="s">
        <v>98</v>
      </c>
      <c r="C793" s="10">
        <v>15.89</v>
      </c>
      <c r="D793" s="10">
        <v>14.98</v>
      </c>
      <c r="E793" s="10">
        <v>0</v>
      </c>
      <c r="F793">
        <v>2</v>
      </c>
      <c r="G793" t="s">
        <v>15</v>
      </c>
      <c r="H793" s="11">
        <v>45985</v>
      </c>
      <c r="I793" t="s">
        <v>13</v>
      </c>
      <c r="J793" s="12">
        <v>5.75</v>
      </c>
      <c r="K793" s="3">
        <v>172.73</v>
      </c>
      <c r="L793" s="3">
        <f t="shared" si="132"/>
        <v>30.04</v>
      </c>
      <c r="M793" s="13"/>
      <c r="N793">
        <f>_xlfn.XLOOKUP(G793,'Tarievensheet per persoon'!AE:AE,'Tarievensheet per persoon'!AF:AF)</f>
        <v>1.7024999999999999</v>
      </c>
      <c r="O793">
        <f>_xlfn.XLOOKUP(G793,AE:AE,'Tarievensheet per persoon'!AG:AG)</f>
        <v>1.5642</v>
      </c>
      <c r="P793">
        <f>_xlfn.XLOOKUP(G793,AE:AE,'Tarievensheet per persoon'!AH:AH)</f>
        <v>1.3552</v>
      </c>
      <c r="Q793">
        <f>_xlfn.XLOOKUP(G793,AE:AE,'Tarievensheet per persoon'!AI:AI)</f>
        <v>1.3552</v>
      </c>
      <c r="R793">
        <v>0</v>
      </c>
      <c r="S793" s="14">
        <v>2.99</v>
      </c>
      <c r="T793" s="10">
        <f t="shared" si="133"/>
        <v>30.042724999999997</v>
      </c>
      <c r="U793" s="10">
        <f t="shared" si="134"/>
        <v>38.244920539999995</v>
      </c>
      <c r="V793" s="10">
        <f t="shared" si="135"/>
        <v>38.7420233</v>
      </c>
      <c r="W793" s="10">
        <f t="shared" si="136"/>
        <v>49.926835400000002</v>
      </c>
      <c r="X793" s="10">
        <f t="shared" si="137"/>
        <v>54.897863000000001</v>
      </c>
      <c r="Y793" s="10">
        <f t="shared" si="138"/>
        <v>79.753000999999998</v>
      </c>
      <c r="Z793" s="10">
        <f t="shared" si="139"/>
        <v>28.421254399999995</v>
      </c>
      <c r="AA793" s="10">
        <f t="shared" si="140"/>
        <v>36.541612800000003</v>
      </c>
      <c r="AB793" s="10">
        <f t="shared" si="141"/>
        <v>40.601792000000003</v>
      </c>
      <c r="AC793" s="10">
        <f t="shared" si="142"/>
        <v>60.902687999999998</v>
      </c>
    </row>
    <row r="794" spans="1:29" x14ac:dyDescent="0.25">
      <c r="A794">
        <v>454283</v>
      </c>
      <c r="B794" t="s">
        <v>98</v>
      </c>
      <c r="C794" s="10">
        <v>15.89</v>
      </c>
      <c r="D794" s="10">
        <v>14.98</v>
      </c>
      <c r="E794" s="10">
        <v>0</v>
      </c>
      <c r="F794">
        <v>2</v>
      </c>
      <c r="G794" t="s">
        <v>15</v>
      </c>
      <c r="H794" s="11">
        <v>45986</v>
      </c>
      <c r="I794" t="s">
        <v>13</v>
      </c>
      <c r="J794" s="12">
        <v>8</v>
      </c>
      <c r="K794" s="3">
        <v>240.32</v>
      </c>
      <c r="L794" s="3">
        <f t="shared" si="132"/>
        <v>30.04</v>
      </c>
      <c r="M794" s="13"/>
      <c r="N794">
        <f>_xlfn.XLOOKUP(G794,'Tarievensheet per persoon'!AE:AE,'Tarievensheet per persoon'!AF:AF)</f>
        <v>1.7024999999999999</v>
      </c>
      <c r="O794">
        <f>_xlfn.XLOOKUP(G794,AE:AE,'Tarievensheet per persoon'!AG:AG)</f>
        <v>1.5642</v>
      </c>
      <c r="P794">
        <f>_xlfn.XLOOKUP(G794,AE:AE,'Tarievensheet per persoon'!AH:AH)</f>
        <v>1.3552</v>
      </c>
      <c r="Q794">
        <f>_xlfn.XLOOKUP(G794,AE:AE,'Tarievensheet per persoon'!AI:AI)</f>
        <v>1.3552</v>
      </c>
      <c r="R794">
        <v>0</v>
      </c>
      <c r="S794" s="14">
        <v>2.99</v>
      </c>
      <c r="T794" s="10">
        <f t="shared" si="133"/>
        <v>30.042724999999997</v>
      </c>
      <c r="U794" s="10">
        <f t="shared" si="134"/>
        <v>38.244920539999995</v>
      </c>
      <c r="V794" s="10">
        <f t="shared" si="135"/>
        <v>38.7420233</v>
      </c>
      <c r="W794" s="10">
        <f t="shared" si="136"/>
        <v>49.926835400000002</v>
      </c>
      <c r="X794" s="10">
        <f t="shared" si="137"/>
        <v>54.897863000000001</v>
      </c>
      <c r="Y794" s="10">
        <f t="shared" si="138"/>
        <v>79.753000999999998</v>
      </c>
      <c r="Z794" s="10">
        <f t="shared" si="139"/>
        <v>28.421254399999995</v>
      </c>
      <c r="AA794" s="10">
        <f t="shared" si="140"/>
        <v>36.541612800000003</v>
      </c>
      <c r="AB794" s="10">
        <f t="shared" si="141"/>
        <v>40.601792000000003</v>
      </c>
      <c r="AC794" s="10">
        <f t="shared" si="142"/>
        <v>60.902687999999998</v>
      </c>
    </row>
    <row r="795" spans="1:29" x14ac:dyDescent="0.25">
      <c r="A795">
        <v>454283</v>
      </c>
      <c r="B795" t="s">
        <v>98</v>
      </c>
      <c r="C795" s="10">
        <v>15.89</v>
      </c>
      <c r="D795" s="10">
        <v>14.98</v>
      </c>
      <c r="E795" s="10">
        <v>0</v>
      </c>
      <c r="F795">
        <v>2</v>
      </c>
      <c r="G795" t="s">
        <v>15</v>
      </c>
      <c r="H795" s="11">
        <v>45987</v>
      </c>
      <c r="I795" t="s">
        <v>13</v>
      </c>
      <c r="J795" s="12">
        <v>8</v>
      </c>
      <c r="K795" s="3">
        <v>240.32</v>
      </c>
      <c r="L795" s="3">
        <f t="shared" si="132"/>
        <v>30.04</v>
      </c>
      <c r="M795" s="13"/>
      <c r="N795">
        <f>_xlfn.XLOOKUP(G795,'Tarievensheet per persoon'!AE:AE,'Tarievensheet per persoon'!AF:AF)</f>
        <v>1.7024999999999999</v>
      </c>
      <c r="O795">
        <f>_xlfn.XLOOKUP(G795,AE:AE,'Tarievensheet per persoon'!AG:AG)</f>
        <v>1.5642</v>
      </c>
      <c r="P795">
        <f>_xlfn.XLOOKUP(G795,AE:AE,'Tarievensheet per persoon'!AH:AH)</f>
        <v>1.3552</v>
      </c>
      <c r="Q795">
        <f>_xlfn.XLOOKUP(G795,AE:AE,'Tarievensheet per persoon'!AI:AI)</f>
        <v>1.3552</v>
      </c>
      <c r="R795">
        <v>0</v>
      </c>
      <c r="S795" s="14">
        <v>2.99</v>
      </c>
      <c r="T795" s="10">
        <f t="shared" si="133"/>
        <v>30.042724999999997</v>
      </c>
      <c r="U795" s="10">
        <f t="shared" si="134"/>
        <v>38.244920539999995</v>
      </c>
      <c r="V795" s="10">
        <f t="shared" si="135"/>
        <v>38.7420233</v>
      </c>
      <c r="W795" s="10">
        <f t="shared" si="136"/>
        <v>49.926835400000002</v>
      </c>
      <c r="X795" s="10">
        <f t="shared" si="137"/>
        <v>54.897863000000001</v>
      </c>
      <c r="Y795" s="10">
        <f t="shared" si="138"/>
        <v>79.753000999999998</v>
      </c>
      <c r="Z795" s="10">
        <f t="shared" si="139"/>
        <v>28.421254399999995</v>
      </c>
      <c r="AA795" s="10">
        <f t="shared" si="140"/>
        <v>36.541612800000003</v>
      </c>
      <c r="AB795" s="10">
        <f t="shared" si="141"/>
        <v>40.601792000000003</v>
      </c>
      <c r="AC795" s="10">
        <f t="shared" si="142"/>
        <v>60.902687999999998</v>
      </c>
    </row>
    <row r="796" spans="1:29" x14ac:dyDescent="0.25">
      <c r="A796">
        <v>454283</v>
      </c>
      <c r="B796" t="s">
        <v>98</v>
      </c>
      <c r="C796" s="10">
        <v>15.89</v>
      </c>
      <c r="D796" s="10">
        <v>14.98</v>
      </c>
      <c r="E796" s="10">
        <v>0</v>
      </c>
      <c r="F796">
        <v>2</v>
      </c>
      <c r="G796" t="s">
        <v>15</v>
      </c>
      <c r="H796" s="11">
        <v>45988</v>
      </c>
      <c r="I796" t="s">
        <v>13</v>
      </c>
      <c r="J796" s="12">
        <v>8</v>
      </c>
      <c r="K796" s="3">
        <v>240.32</v>
      </c>
      <c r="L796" s="3">
        <f t="shared" si="132"/>
        <v>30.04</v>
      </c>
      <c r="M796" s="13"/>
      <c r="N796">
        <f>_xlfn.XLOOKUP(G796,'Tarievensheet per persoon'!AE:AE,'Tarievensheet per persoon'!AF:AF)</f>
        <v>1.7024999999999999</v>
      </c>
      <c r="O796">
        <f>_xlfn.XLOOKUP(G796,AE:AE,'Tarievensheet per persoon'!AG:AG)</f>
        <v>1.5642</v>
      </c>
      <c r="P796">
        <f>_xlfn.XLOOKUP(G796,AE:AE,'Tarievensheet per persoon'!AH:AH)</f>
        <v>1.3552</v>
      </c>
      <c r="Q796">
        <f>_xlfn.XLOOKUP(G796,AE:AE,'Tarievensheet per persoon'!AI:AI)</f>
        <v>1.3552</v>
      </c>
      <c r="R796">
        <v>0</v>
      </c>
      <c r="S796" s="14">
        <v>2.99</v>
      </c>
      <c r="T796" s="10">
        <f t="shared" si="133"/>
        <v>30.042724999999997</v>
      </c>
      <c r="U796" s="10">
        <f t="shared" si="134"/>
        <v>38.244920539999995</v>
      </c>
      <c r="V796" s="10">
        <f t="shared" si="135"/>
        <v>38.7420233</v>
      </c>
      <c r="W796" s="10">
        <f t="shared" si="136"/>
        <v>49.926835400000002</v>
      </c>
      <c r="X796" s="10">
        <f t="shared" si="137"/>
        <v>54.897863000000001</v>
      </c>
      <c r="Y796" s="10">
        <f t="shared" si="138"/>
        <v>79.753000999999998</v>
      </c>
      <c r="Z796" s="10">
        <f t="shared" si="139"/>
        <v>28.421254399999995</v>
      </c>
      <c r="AA796" s="10">
        <f t="shared" si="140"/>
        <v>36.541612800000003</v>
      </c>
      <c r="AB796" s="10">
        <f t="shared" si="141"/>
        <v>40.601792000000003</v>
      </c>
      <c r="AC796" s="10">
        <f t="shared" si="142"/>
        <v>60.902687999999998</v>
      </c>
    </row>
    <row r="797" spans="1:29" x14ac:dyDescent="0.25">
      <c r="A797">
        <v>454283</v>
      </c>
      <c r="B797" t="s">
        <v>98</v>
      </c>
      <c r="C797" s="10">
        <v>15.89</v>
      </c>
      <c r="D797" s="10">
        <v>14.98</v>
      </c>
      <c r="E797" s="10">
        <v>0</v>
      </c>
      <c r="F797">
        <v>2</v>
      </c>
      <c r="G797" t="s">
        <v>15</v>
      </c>
      <c r="H797" s="11">
        <v>45989</v>
      </c>
      <c r="I797" t="s">
        <v>13</v>
      </c>
      <c r="J797" s="12">
        <v>7.5</v>
      </c>
      <c r="K797" s="3">
        <v>225.3</v>
      </c>
      <c r="L797" s="3">
        <f t="shared" si="132"/>
        <v>30.040000000000003</v>
      </c>
      <c r="M797" s="13"/>
      <c r="N797">
        <f>_xlfn.XLOOKUP(G797,'Tarievensheet per persoon'!AE:AE,'Tarievensheet per persoon'!AF:AF)</f>
        <v>1.7024999999999999</v>
      </c>
      <c r="O797">
        <f>_xlfn.XLOOKUP(G797,AE:AE,'Tarievensheet per persoon'!AG:AG)</f>
        <v>1.5642</v>
      </c>
      <c r="P797">
        <f>_xlfn.XLOOKUP(G797,AE:AE,'Tarievensheet per persoon'!AH:AH)</f>
        <v>1.3552</v>
      </c>
      <c r="Q797">
        <f>_xlfn.XLOOKUP(G797,AE:AE,'Tarievensheet per persoon'!AI:AI)</f>
        <v>1.3552</v>
      </c>
      <c r="R797">
        <v>0</v>
      </c>
      <c r="S797" s="14">
        <v>2.99</v>
      </c>
      <c r="T797" s="10">
        <f t="shared" si="133"/>
        <v>30.042724999999997</v>
      </c>
      <c r="U797" s="10">
        <f t="shared" si="134"/>
        <v>38.244920539999995</v>
      </c>
      <c r="V797" s="10">
        <f t="shared" si="135"/>
        <v>38.7420233</v>
      </c>
      <c r="W797" s="10">
        <f t="shared" si="136"/>
        <v>49.926835400000002</v>
      </c>
      <c r="X797" s="10">
        <f t="shared" si="137"/>
        <v>54.897863000000001</v>
      </c>
      <c r="Y797" s="10">
        <f t="shared" si="138"/>
        <v>79.753000999999998</v>
      </c>
      <c r="Z797" s="10">
        <f t="shared" si="139"/>
        <v>28.421254399999995</v>
      </c>
      <c r="AA797" s="10">
        <f t="shared" si="140"/>
        <v>36.541612800000003</v>
      </c>
      <c r="AB797" s="10">
        <f t="shared" si="141"/>
        <v>40.601792000000003</v>
      </c>
      <c r="AC797" s="10">
        <f t="shared" si="142"/>
        <v>60.902687999999998</v>
      </c>
    </row>
    <row r="798" spans="1:29" x14ac:dyDescent="0.25">
      <c r="A798">
        <v>454297</v>
      </c>
      <c r="B798" t="s">
        <v>99</v>
      </c>
      <c r="C798" s="10">
        <v>15.89</v>
      </c>
      <c r="D798" s="10">
        <v>14.98</v>
      </c>
      <c r="E798" s="10">
        <v>0</v>
      </c>
      <c r="F798">
        <v>2</v>
      </c>
      <c r="G798" t="s">
        <v>15</v>
      </c>
      <c r="H798" s="11">
        <v>45985</v>
      </c>
      <c r="I798" t="s">
        <v>13</v>
      </c>
      <c r="J798" s="12">
        <v>5.75</v>
      </c>
      <c r="K798" s="3">
        <v>172.73</v>
      </c>
      <c r="L798" s="3">
        <f t="shared" si="132"/>
        <v>30.04</v>
      </c>
      <c r="M798" s="13"/>
      <c r="N798">
        <f>_xlfn.XLOOKUP(G798,'Tarievensheet per persoon'!AE:AE,'Tarievensheet per persoon'!AF:AF)</f>
        <v>1.7024999999999999</v>
      </c>
      <c r="O798">
        <f>_xlfn.XLOOKUP(G798,AE:AE,'Tarievensheet per persoon'!AG:AG)</f>
        <v>1.5642</v>
      </c>
      <c r="P798">
        <f>_xlfn.XLOOKUP(G798,AE:AE,'Tarievensheet per persoon'!AH:AH)</f>
        <v>1.3552</v>
      </c>
      <c r="Q798">
        <f>_xlfn.XLOOKUP(G798,AE:AE,'Tarievensheet per persoon'!AI:AI)</f>
        <v>1.3552</v>
      </c>
      <c r="R798">
        <v>0</v>
      </c>
      <c r="S798" s="14">
        <v>2.99</v>
      </c>
      <c r="T798" s="10">
        <f t="shared" si="133"/>
        <v>30.042724999999997</v>
      </c>
      <c r="U798" s="10">
        <f t="shared" si="134"/>
        <v>38.244920539999995</v>
      </c>
      <c r="V798" s="10">
        <f t="shared" si="135"/>
        <v>38.7420233</v>
      </c>
      <c r="W798" s="10">
        <f t="shared" si="136"/>
        <v>49.926835400000002</v>
      </c>
      <c r="X798" s="10">
        <f t="shared" si="137"/>
        <v>54.897863000000001</v>
      </c>
      <c r="Y798" s="10">
        <f t="shared" si="138"/>
        <v>79.753000999999998</v>
      </c>
      <c r="Z798" s="10">
        <f t="shared" si="139"/>
        <v>28.421254399999995</v>
      </c>
      <c r="AA798" s="10">
        <f t="shared" si="140"/>
        <v>36.541612800000003</v>
      </c>
      <c r="AB798" s="10">
        <f t="shared" si="141"/>
        <v>40.601792000000003</v>
      </c>
      <c r="AC798" s="10">
        <f t="shared" si="142"/>
        <v>60.902687999999998</v>
      </c>
    </row>
    <row r="799" spans="1:29" x14ac:dyDescent="0.25">
      <c r="A799">
        <v>454297</v>
      </c>
      <c r="B799" t="s">
        <v>99</v>
      </c>
      <c r="C799" s="10">
        <v>15.89</v>
      </c>
      <c r="D799" s="10">
        <v>14.98</v>
      </c>
      <c r="E799" s="10">
        <v>0</v>
      </c>
      <c r="F799">
        <v>2</v>
      </c>
      <c r="G799" t="s">
        <v>15</v>
      </c>
      <c r="H799" s="11">
        <v>45986</v>
      </c>
      <c r="I799" t="s">
        <v>13</v>
      </c>
      <c r="J799" s="12">
        <v>7.75</v>
      </c>
      <c r="K799" s="3">
        <v>232.81</v>
      </c>
      <c r="L799" s="3">
        <f t="shared" si="132"/>
        <v>30.04</v>
      </c>
      <c r="M799" s="13"/>
      <c r="N799">
        <f>_xlfn.XLOOKUP(G799,'Tarievensheet per persoon'!AE:AE,'Tarievensheet per persoon'!AF:AF)</f>
        <v>1.7024999999999999</v>
      </c>
      <c r="O799">
        <f>_xlfn.XLOOKUP(G799,AE:AE,'Tarievensheet per persoon'!AG:AG)</f>
        <v>1.5642</v>
      </c>
      <c r="P799">
        <f>_xlfn.XLOOKUP(G799,AE:AE,'Tarievensheet per persoon'!AH:AH)</f>
        <v>1.3552</v>
      </c>
      <c r="Q799">
        <f>_xlfn.XLOOKUP(G799,AE:AE,'Tarievensheet per persoon'!AI:AI)</f>
        <v>1.3552</v>
      </c>
      <c r="R799">
        <v>0</v>
      </c>
      <c r="S799" s="14">
        <v>2.99</v>
      </c>
      <c r="T799" s="10">
        <f t="shared" si="133"/>
        <v>30.042724999999997</v>
      </c>
      <c r="U799" s="10">
        <f t="shared" si="134"/>
        <v>38.244920539999995</v>
      </c>
      <c r="V799" s="10">
        <f t="shared" si="135"/>
        <v>38.7420233</v>
      </c>
      <c r="W799" s="10">
        <f t="shared" si="136"/>
        <v>49.926835400000002</v>
      </c>
      <c r="X799" s="10">
        <f t="shared" si="137"/>
        <v>54.897863000000001</v>
      </c>
      <c r="Y799" s="10">
        <f t="shared" si="138"/>
        <v>79.753000999999998</v>
      </c>
      <c r="Z799" s="10">
        <f t="shared" si="139"/>
        <v>28.421254399999995</v>
      </c>
      <c r="AA799" s="10">
        <f t="shared" si="140"/>
        <v>36.541612800000003</v>
      </c>
      <c r="AB799" s="10">
        <f t="shared" si="141"/>
        <v>40.601792000000003</v>
      </c>
      <c r="AC799" s="10">
        <f t="shared" si="142"/>
        <v>60.902687999999998</v>
      </c>
    </row>
    <row r="800" spans="1:29" x14ac:dyDescent="0.25">
      <c r="A800">
        <v>454297</v>
      </c>
      <c r="B800" t="s">
        <v>99</v>
      </c>
      <c r="C800" s="10">
        <v>15.89</v>
      </c>
      <c r="D800" s="10">
        <v>14.98</v>
      </c>
      <c r="E800" s="10">
        <v>0</v>
      </c>
      <c r="F800">
        <v>2</v>
      </c>
      <c r="G800" t="s">
        <v>15</v>
      </c>
      <c r="H800" s="11">
        <v>45987</v>
      </c>
      <c r="I800" t="s">
        <v>13</v>
      </c>
      <c r="J800" s="12">
        <v>8</v>
      </c>
      <c r="K800" s="3">
        <v>240.32</v>
      </c>
      <c r="L800" s="3">
        <f t="shared" si="132"/>
        <v>30.04</v>
      </c>
      <c r="M800" s="13"/>
      <c r="N800">
        <f>_xlfn.XLOOKUP(G800,'Tarievensheet per persoon'!AE:AE,'Tarievensheet per persoon'!AF:AF)</f>
        <v>1.7024999999999999</v>
      </c>
      <c r="O800">
        <f>_xlfn.XLOOKUP(G800,AE:AE,'Tarievensheet per persoon'!AG:AG)</f>
        <v>1.5642</v>
      </c>
      <c r="P800">
        <f>_xlfn.XLOOKUP(G800,AE:AE,'Tarievensheet per persoon'!AH:AH)</f>
        <v>1.3552</v>
      </c>
      <c r="Q800">
        <f>_xlfn.XLOOKUP(G800,AE:AE,'Tarievensheet per persoon'!AI:AI)</f>
        <v>1.3552</v>
      </c>
      <c r="R800">
        <v>0</v>
      </c>
      <c r="S800" s="14">
        <v>2.99</v>
      </c>
      <c r="T800" s="10">
        <f t="shared" si="133"/>
        <v>30.042724999999997</v>
      </c>
      <c r="U800" s="10">
        <f t="shared" si="134"/>
        <v>38.244920539999995</v>
      </c>
      <c r="V800" s="10">
        <f t="shared" si="135"/>
        <v>38.7420233</v>
      </c>
      <c r="W800" s="10">
        <f t="shared" si="136"/>
        <v>49.926835400000002</v>
      </c>
      <c r="X800" s="10">
        <f t="shared" si="137"/>
        <v>54.897863000000001</v>
      </c>
      <c r="Y800" s="10">
        <f t="shared" si="138"/>
        <v>79.753000999999998</v>
      </c>
      <c r="Z800" s="10">
        <f t="shared" si="139"/>
        <v>28.421254399999995</v>
      </c>
      <c r="AA800" s="10">
        <f t="shared" si="140"/>
        <v>36.541612800000003</v>
      </c>
      <c r="AB800" s="10">
        <f t="shared" si="141"/>
        <v>40.601792000000003</v>
      </c>
      <c r="AC800" s="10">
        <f t="shared" si="142"/>
        <v>60.902687999999998</v>
      </c>
    </row>
    <row r="801" spans="1:29" x14ac:dyDescent="0.25">
      <c r="A801">
        <v>454297</v>
      </c>
      <c r="B801" t="s">
        <v>99</v>
      </c>
      <c r="C801" s="10">
        <v>15.89</v>
      </c>
      <c r="D801" s="10">
        <v>14.98</v>
      </c>
      <c r="E801" s="10">
        <v>0</v>
      </c>
      <c r="F801">
        <v>2</v>
      </c>
      <c r="G801" t="s">
        <v>15</v>
      </c>
      <c r="H801" s="11">
        <v>45988</v>
      </c>
      <c r="I801" t="s">
        <v>13</v>
      </c>
      <c r="J801" s="12">
        <v>8</v>
      </c>
      <c r="K801" s="3">
        <v>240.32</v>
      </c>
      <c r="L801" s="3">
        <f t="shared" si="132"/>
        <v>30.04</v>
      </c>
      <c r="M801" s="13"/>
      <c r="N801">
        <f>_xlfn.XLOOKUP(G801,'Tarievensheet per persoon'!AE:AE,'Tarievensheet per persoon'!AF:AF)</f>
        <v>1.7024999999999999</v>
      </c>
      <c r="O801">
        <f>_xlfn.XLOOKUP(G801,AE:AE,'Tarievensheet per persoon'!AG:AG)</f>
        <v>1.5642</v>
      </c>
      <c r="P801">
        <f>_xlfn.XLOOKUP(G801,AE:AE,'Tarievensheet per persoon'!AH:AH)</f>
        <v>1.3552</v>
      </c>
      <c r="Q801">
        <f>_xlfn.XLOOKUP(G801,AE:AE,'Tarievensheet per persoon'!AI:AI)</f>
        <v>1.3552</v>
      </c>
      <c r="R801">
        <v>0</v>
      </c>
      <c r="S801" s="14">
        <v>2.99</v>
      </c>
      <c r="T801" s="10">
        <f t="shared" si="133"/>
        <v>30.042724999999997</v>
      </c>
      <c r="U801" s="10">
        <f t="shared" si="134"/>
        <v>38.244920539999995</v>
      </c>
      <c r="V801" s="10">
        <f t="shared" si="135"/>
        <v>38.7420233</v>
      </c>
      <c r="W801" s="10">
        <f t="shared" si="136"/>
        <v>49.926835400000002</v>
      </c>
      <c r="X801" s="10">
        <f t="shared" si="137"/>
        <v>54.897863000000001</v>
      </c>
      <c r="Y801" s="10">
        <f t="shared" si="138"/>
        <v>79.753000999999998</v>
      </c>
      <c r="Z801" s="10">
        <f t="shared" si="139"/>
        <v>28.421254399999995</v>
      </c>
      <c r="AA801" s="10">
        <f t="shared" si="140"/>
        <v>36.541612800000003</v>
      </c>
      <c r="AB801" s="10">
        <f t="shared" si="141"/>
        <v>40.601792000000003</v>
      </c>
      <c r="AC801" s="10">
        <f t="shared" si="142"/>
        <v>60.902687999999998</v>
      </c>
    </row>
    <row r="802" spans="1:29" x14ac:dyDescent="0.25">
      <c r="A802">
        <v>454297</v>
      </c>
      <c r="B802" t="s">
        <v>99</v>
      </c>
      <c r="C802" s="10">
        <v>15.89</v>
      </c>
      <c r="D802" s="10">
        <v>14.98</v>
      </c>
      <c r="E802" s="10">
        <v>0</v>
      </c>
      <c r="F802">
        <v>2</v>
      </c>
      <c r="G802" t="s">
        <v>15</v>
      </c>
      <c r="H802" s="11">
        <v>45989</v>
      </c>
      <c r="I802" t="s">
        <v>13</v>
      </c>
      <c r="J802" s="12">
        <v>7.5</v>
      </c>
      <c r="K802" s="3">
        <v>225.3</v>
      </c>
      <c r="L802" s="3">
        <f t="shared" si="132"/>
        <v>30.040000000000003</v>
      </c>
      <c r="M802" s="13"/>
      <c r="N802">
        <f>_xlfn.XLOOKUP(G802,'Tarievensheet per persoon'!AE:AE,'Tarievensheet per persoon'!AF:AF)</f>
        <v>1.7024999999999999</v>
      </c>
      <c r="O802">
        <f>_xlfn.XLOOKUP(G802,AE:AE,'Tarievensheet per persoon'!AG:AG)</f>
        <v>1.5642</v>
      </c>
      <c r="P802">
        <f>_xlfn.XLOOKUP(G802,AE:AE,'Tarievensheet per persoon'!AH:AH)</f>
        <v>1.3552</v>
      </c>
      <c r="Q802">
        <f>_xlfn.XLOOKUP(G802,AE:AE,'Tarievensheet per persoon'!AI:AI)</f>
        <v>1.3552</v>
      </c>
      <c r="R802">
        <v>0</v>
      </c>
      <c r="S802" s="14">
        <v>2.99</v>
      </c>
      <c r="T802" s="10">
        <f t="shared" si="133"/>
        <v>30.042724999999997</v>
      </c>
      <c r="U802" s="10">
        <f t="shared" si="134"/>
        <v>38.244920539999995</v>
      </c>
      <c r="V802" s="10">
        <f t="shared" si="135"/>
        <v>38.7420233</v>
      </c>
      <c r="W802" s="10">
        <f t="shared" si="136"/>
        <v>49.926835400000002</v>
      </c>
      <c r="X802" s="10">
        <f t="shared" si="137"/>
        <v>54.897863000000001</v>
      </c>
      <c r="Y802" s="10">
        <f t="shared" si="138"/>
        <v>79.753000999999998</v>
      </c>
      <c r="Z802" s="10">
        <f t="shared" si="139"/>
        <v>28.421254399999995</v>
      </c>
      <c r="AA802" s="10">
        <f t="shared" si="140"/>
        <v>36.541612800000003</v>
      </c>
      <c r="AB802" s="10">
        <f t="shared" si="141"/>
        <v>40.601792000000003</v>
      </c>
      <c r="AC802" s="10">
        <f t="shared" si="142"/>
        <v>60.902687999999998</v>
      </c>
    </row>
    <row r="803" spans="1:29" x14ac:dyDescent="0.25">
      <c r="A803">
        <v>454524</v>
      </c>
      <c r="B803" t="s">
        <v>100</v>
      </c>
      <c r="C803" s="10">
        <v>15.89</v>
      </c>
      <c r="D803" s="10">
        <v>14.98</v>
      </c>
      <c r="E803" s="10">
        <v>0</v>
      </c>
      <c r="F803">
        <v>1</v>
      </c>
      <c r="G803" t="s">
        <v>15</v>
      </c>
      <c r="H803" s="11">
        <v>45985</v>
      </c>
      <c r="I803" t="s">
        <v>13</v>
      </c>
      <c r="J803" s="12">
        <v>3</v>
      </c>
      <c r="K803" s="3">
        <v>90.12</v>
      </c>
      <c r="L803" s="3">
        <f t="shared" si="132"/>
        <v>30.040000000000003</v>
      </c>
      <c r="M803" s="13"/>
      <c r="N803">
        <f>_xlfn.XLOOKUP(G803,'Tarievensheet per persoon'!AE:AE,'Tarievensheet per persoon'!AF:AF)</f>
        <v>1.7024999999999999</v>
      </c>
      <c r="O803">
        <f>_xlfn.XLOOKUP(G803,AE:AE,'Tarievensheet per persoon'!AG:AG)</f>
        <v>1.5642</v>
      </c>
      <c r="P803">
        <f>_xlfn.XLOOKUP(G803,AE:AE,'Tarievensheet per persoon'!AH:AH)</f>
        <v>1.3552</v>
      </c>
      <c r="Q803">
        <f>_xlfn.XLOOKUP(G803,AE:AE,'Tarievensheet per persoon'!AI:AI)</f>
        <v>1.3552</v>
      </c>
      <c r="R803">
        <v>0</v>
      </c>
      <c r="S803" s="14">
        <v>2.99</v>
      </c>
      <c r="T803" s="10">
        <f t="shared" si="133"/>
        <v>30.042724999999997</v>
      </c>
      <c r="U803" s="10">
        <f t="shared" si="134"/>
        <v>38.244920539999995</v>
      </c>
      <c r="V803" s="10">
        <f t="shared" si="135"/>
        <v>38.7420233</v>
      </c>
      <c r="W803" s="10">
        <f t="shared" si="136"/>
        <v>49.926835400000002</v>
      </c>
      <c r="X803" s="10">
        <f t="shared" si="137"/>
        <v>54.897863000000001</v>
      </c>
      <c r="Y803" s="10">
        <f t="shared" si="138"/>
        <v>79.753000999999998</v>
      </c>
      <c r="Z803" s="10">
        <f t="shared" si="139"/>
        <v>28.421254399999995</v>
      </c>
      <c r="AA803" s="10">
        <f t="shared" si="140"/>
        <v>36.541612800000003</v>
      </c>
      <c r="AB803" s="10">
        <f t="shared" si="141"/>
        <v>40.601792000000003</v>
      </c>
      <c r="AC803" s="10">
        <f t="shared" si="142"/>
        <v>60.902687999999998</v>
      </c>
    </row>
    <row r="804" spans="1:29" x14ac:dyDescent="0.25">
      <c r="A804">
        <v>454524</v>
      </c>
      <c r="B804" t="s">
        <v>100</v>
      </c>
      <c r="C804" s="10">
        <v>15.89</v>
      </c>
      <c r="D804" s="10">
        <v>14.98</v>
      </c>
      <c r="E804" s="10">
        <v>0</v>
      </c>
      <c r="F804">
        <v>1</v>
      </c>
      <c r="G804" t="s">
        <v>15</v>
      </c>
      <c r="H804" s="11">
        <v>45985</v>
      </c>
      <c r="I804" t="s">
        <v>21</v>
      </c>
      <c r="J804" s="12">
        <v>4.5</v>
      </c>
      <c r="K804" s="3">
        <v>172.08</v>
      </c>
      <c r="L804" s="3">
        <f t="shared" si="132"/>
        <v>38.24</v>
      </c>
      <c r="M804" s="13"/>
      <c r="N804">
        <f>_xlfn.XLOOKUP(G804,'Tarievensheet per persoon'!AE:AE,'Tarievensheet per persoon'!AF:AF)</f>
        <v>1.7024999999999999</v>
      </c>
      <c r="O804">
        <f>_xlfn.XLOOKUP(G804,AE:AE,'Tarievensheet per persoon'!AG:AG)</f>
        <v>1.5642</v>
      </c>
      <c r="P804">
        <f>_xlfn.XLOOKUP(G804,AE:AE,'Tarievensheet per persoon'!AH:AH)</f>
        <v>1.3552</v>
      </c>
      <c r="Q804">
        <f>_xlfn.XLOOKUP(G804,AE:AE,'Tarievensheet per persoon'!AI:AI)</f>
        <v>1.3552</v>
      </c>
      <c r="R804">
        <v>0</v>
      </c>
      <c r="S804" s="14">
        <v>2.99</v>
      </c>
      <c r="T804" s="10">
        <f t="shared" si="133"/>
        <v>30.042724999999997</v>
      </c>
      <c r="U804" s="10">
        <f t="shared" si="134"/>
        <v>38.244920539999995</v>
      </c>
      <c r="V804" s="10">
        <f t="shared" si="135"/>
        <v>38.7420233</v>
      </c>
      <c r="W804" s="10">
        <f t="shared" si="136"/>
        <v>49.926835400000002</v>
      </c>
      <c r="X804" s="10">
        <f t="shared" si="137"/>
        <v>54.897863000000001</v>
      </c>
      <c r="Y804" s="10">
        <f t="shared" si="138"/>
        <v>79.753000999999998</v>
      </c>
      <c r="Z804" s="10">
        <f t="shared" si="139"/>
        <v>28.421254399999995</v>
      </c>
      <c r="AA804" s="10">
        <f t="shared" si="140"/>
        <v>36.541612800000003</v>
      </c>
      <c r="AB804" s="10">
        <f t="shared" si="141"/>
        <v>40.601792000000003</v>
      </c>
      <c r="AC804" s="10">
        <f t="shared" si="142"/>
        <v>60.902687999999998</v>
      </c>
    </row>
    <row r="805" spans="1:29" x14ac:dyDescent="0.25">
      <c r="A805">
        <v>454524</v>
      </c>
      <c r="B805" t="s">
        <v>100</v>
      </c>
      <c r="C805" s="10">
        <v>15.89</v>
      </c>
      <c r="D805" s="10">
        <v>14.98</v>
      </c>
      <c r="E805" s="10">
        <v>0</v>
      </c>
      <c r="F805">
        <v>1</v>
      </c>
      <c r="G805" t="s">
        <v>15</v>
      </c>
      <c r="H805" s="11">
        <v>45986</v>
      </c>
      <c r="I805" t="s">
        <v>13</v>
      </c>
      <c r="J805" s="12">
        <v>3</v>
      </c>
      <c r="K805" s="3">
        <v>90.12</v>
      </c>
      <c r="L805" s="3">
        <f t="shared" si="132"/>
        <v>30.040000000000003</v>
      </c>
      <c r="M805" s="13"/>
      <c r="N805">
        <f>_xlfn.XLOOKUP(G805,'Tarievensheet per persoon'!AE:AE,'Tarievensheet per persoon'!AF:AF)</f>
        <v>1.7024999999999999</v>
      </c>
      <c r="O805">
        <f>_xlfn.XLOOKUP(G805,AE:AE,'Tarievensheet per persoon'!AG:AG)</f>
        <v>1.5642</v>
      </c>
      <c r="P805">
        <f>_xlfn.XLOOKUP(G805,AE:AE,'Tarievensheet per persoon'!AH:AH)</f>
        <v>1.3552</v>
      </c>
      <c r="Q805">
        <f>_xlfn.XLOOKUP(G805,AE:AE,'Tarievensheet per persoon'!AI:AI)</f>
        <v>1.3552</v>
      </c>
      <c r="R805">
        <v>0</v>
      </c>
      <c r="S805" s="14">
        <v>2.99</v>
      </c>
      <c r="T805" s="10">
        <f t="shared" si="133"/>
        <v>30.042724999999997</v>
      </c>
      <c r="U805" s="10">
        <f t="shared" si="134"/>
        <v>38.244920539999995</v>
      </c>
      <c r="V805" s="10">
        <f t="shared" si="135"/>
        <v>38.7420233</v>
      </c>
      <c r="W805" s="10">
        <f t="shared" si="136"/>
        <v>49.926835400000002</v>
      </c>
      <c r="X805" s="10">
        <f t="shared" si="137"/>
        <v>54.897863000000001</v>
      </c>
      <c r="Y805" s="10">
        <f t="shared" si="138"/>
        <v>79.753000999999998</v>
      </c>
      <c r="Z805" s="10">
        <f t="shared" si="139"/>
        <v>28.421254399999995</v>
      </c>
      <c r="AA805" s="10">
        <f t="shared" si="140"/>
        <v>36.541612800000003</v>
      </c>
      <c r="AB805" s="10">
        <f t="shared" si="141"/>
        <v>40.601792000000003</v>
      </c>
      <c r="AC805" s="10">
        <f t="shared" si="142"/>
        <v>60.902687999999998</v>
      </c>
    </row>
    <row r="806" spans="1:29" x14ac:dyDescent="0.25">
      <c r="A806">
        <v>454524</v>
      </c>
      <c r="B806" t="s">
        <v>100</v>
      </c>
      <c r="C806" s="10">
        <v>15.89</v>
      </c>
      <c r="D806" s="10">
        <v>14.98</v>
      </c>
      <c r="E806" s="10">
        <v>0</v>
      </c>
      <c r="F806">
        <v>1</v>
      </c>
      <c r="G806" t="s">
        <v>15</v>
      </c>
      <c r="H806" s="11">
        <v>45986</v>
      </c>
      <c r="I806" t="s">
        <v>21</v>
      </c>
      <c r="J806" s="12">
        <v>4.5</v>
      </c>
      <c r="K806" s="3">
        <v>172.08</v>
      </c>
      <c r="L806" s="3">
        <f t="shared" si="132"/>
        <v>38.24</v>
      </c>
      <c r="M806" s="13"/>
      <c r="N806">
        <f>_xlfn.XLOOKUP(G806,'Tarievensheet per persoon'!AE:AE,'Tarievensheet per persoon'!AF:AF)</f>
        <v>1.7024999999999999</v>
      </c>
      <c r="O806">
        <f>_xlfn.XLOOKUP(G806,AE:AE,'Tarievensheet per persoon'!AG:AG)</f>
        <v>1.5642</v>
      </c>
      <c r="P806">
        <f>_xlfn.XLOOKUP(G806,AE:AE,'Tarievensheet per persoon'!AH:AH)</f>
        <v>1.3552</v>
      </c>
      <c r="Q806">
        <f>_xlfn.XLOOKUP(G806,AE:AE,'Tarievensheet per persoon'!AI:AI)</f>
        <v>1.3552</v>
      </c>
      <c r="R806">
        <v>0</v>
      </c>
      <c r="S806" s="14">
        <v>2.99</v>
      </c>
      <c r="T806" s="10">
        <f t="shared" si="133"/>
        <v>30.042724999999997</v>
      </c>
      <c r="U806" s="10">
        <f t="shared" si="134"/>
        <v>38.244920539999995</v>
      </c>
      <c r="V806" s="10">
        <f t="shared" si="135"/>
        <v>38.7420233</v>
      </c>
      <c r="W806" s="10">
        <f t="shared" si="136"/>
        <v>49.926835400000002</v>
      </c>
      <c r="X806" s="10">
        <f t="shared" si="137"/>
        <v>54.897863000000001</v>
      </c>
      <c r="Y806" s="10">
        <f t="shared" si="138"/>
        <v>79.753000999999998</v>
      </c>
      <c r="Z806" s="10">
        <f t="shared" si="139"/>
        <v>28.421254399999995</v>
      </c>
      <c r="AA806" s="10">
        <f t="shared" si="140"/>
        <v>36.541612800000003</v>
      </c>
      <c r="AB806" s="10">
        <f t="shared" si="141"/>
        <v>40.601792000000003</v>
      </c>
      <c r="AC806" s="10">
        <f t="shared" si="142"/>
        <v>60.902687999999998</v>
      </c>
    </row>
    <row r="807" spans="1:29" x14ac:dyDescent="0.25">
      <c r="A807">
        <v>454524</v>
      </c>
      <c r="B807" t="s">
        <v>100</v>
      </c>
      <c r="C807" s="10">
        <v>15.89</v>
      </c>
      <c r="D807" s="10">
        <v>14.98</v>
      </c>
      <c r="E807" s="10">
        <v>0</v>
      </c>
      <c r="F807">
        <v>1</v>
      </c>
      <c r="G807" t="s">
        <v>15</v>
      </c>
      <c r="H807" s="11">
        <v>45987</v>
      </c>
      <c r="I807" t="s">
        <v>13</v>
      </c>
      <c r="J807" s="12">
        <v>3</v>
      </c>
      <c r="K807" s="3">
        <v>90.12</v>
      </c>
      <c r="L807" s="3">
        <f t="shared" si="132"/>
        <v>30.040000000000003</v>
      </c>
      <c r="M807" s="13"/>
      <c r="N807">
        <f>_xlfn.XLOOKUP(G807,'Tarievensheet per persoon'!AE:AE,'Tarievensheet per persoon'!AF:AF)</f>
        <v>1.7024999999999999</v>
      </c>
      <c r="O807">
        <f>_xlfn.XLOOKUP(G807,AE:AE,'Tarievensheet per persoon'!AG:AG)</f>
        <v>1.5642</v>
      </c>
      <c r="P807">
        <f>_xlfn.XLOOKUP(G807,AE:AE,'Tarievensheet per persoon'!AH:AH)</f>
        <v>1.3552</v>
      </c>
      <c r="Q807">
        <f>_xlfn.XLOOKUP(G807,AE:AE,'Tarievensheet per persoon'!AI:AI)</f>
        <v>1.3552</v>
      </c>
      <c r="R807">
        <v>0</v>
      </c>
      <c r="S807" s="14">
        <v>2.99</v>
      </c>
      <c r="T807" s="10">
        <f t="shared" si="133"/>
        <v>30.042724999999997</v>
      </c>
      <c r="U807" s="10">
        <f t="shared" si="134"/>
        <v>38.244920539999995</v>
      </c>
      <c r="V807" s="10">
        <f t="shared" si="135"/>
        <v>38.7420233</v>
      </c>
      <c r="W807" s="10">
        <f t="shared" si="136"/>
        <v>49.926835400000002</v>
      </c>
      <c r="X807" s="10">
        <f t="shared" si="137"/>
        <v>54.897863000000001</v>
      </c>
      <c r="Y807" s="10">
        <f t="shared" si="138"/>
        <v>79.753000999999998</v>
      </c>
      <c r="Z807" s="10">
        <f t="shared" si="139"/>
        <v>28.421254399999995</v>
      </c>
      <c r="AA807" s="10">
        <f t="shared" si="140"/>
        <v>36.541612800000003</v>
      </c>
      <c r="AB807" s="10">
        <f t="shared" si="141"/>
        <v>40.601792000000003</v>
      </c>
      <c r="AC807" s="10">
        <f t="shared" si="142"/>
        <v>60.902687999999998</v>
      </c>
    </row>
    <row r="808" spans="1:29" x14ac:dyDescent="0.25">
      <c r="A808">
        <v>454524</v>
      </c>
      <c r="B808" t="s">
        <v>100</v>
      </c>
      <c r="C808" s="10">
        <v>15.89</v>
      </c>
      <c r="D808" s="10">
        <v>14.98</v>
      </c>
      <c r="E808" s="10">
        <v>0</v>
      </c>
      <c r="F808">
        <v>1</v>
      </c>
      <c r="G808" t="s">
        <v>15</v>
      </c>
      <c r="H808" s="11">
        <v>45987</v>
      </c>
      <c r="I808" t="s">
        <v>21</v>
      </c>
      <c r="J808" s="12">
        <v>4</v>
      </c>
      <c r="K808" s="3">
        <v>152.96</v>
      </c>
      <c r="L808" s="3">
        <f t="shared" si="132"/>
        <v>38.24</v>
      </c>
      <c r="M808" s="13"/>
      <c r="N808">
        <f>_xlfn.XLOOKUP(G808,'Tarievensheet per persoon'!AE:AE,'Tarievensheet per persoon'!AF:AF)</f>
        <v>1.7024999999999999</v>
      </c>
      <c r="O808">
        <f>_xlfn.XLOOKUP(G808,AE:AE,'Tarievensheet per persoon'!AG:AG)</f>
        <v>1.5642</v>
      </c>
      <c r="P808">
        <f>_xlfn.XLOOKUP(G808,AE:AE,'Tarievensheet per persoon'!AH:AH)</f>
        <v>1.3552</v>
      </c>
      <c r="Q808">
        <f>_xlfn.XLOOKUP(G808,AE:AE,'Tarievensheet per persoon'!AI:AI)</f>
        <v>1.3552</v>
      </c>
      <c r="R808">
        <v>0</v>
      </c>
      <c r="S808" s="14">
        <v>2.99</v>
      </c>
      <c r="T808" s="10">
        <f t="shared" si="133"/>
        <v>30.042724999999997</v>
      </c>
      <c r="U808" s="10">
        <f t="shared" si="134"/>
        <v>38.244920539999995</v>
      </c>
      <c r="V808" s="10">
        <f t="shared" si="135"/>
        <v>38.7420233</v>
      </c>
      <c r="W808" s="10">
        <f t="shared" si="136"/>
        <v>49.926835400000002</v>
      </c>
      <c r="X808" s="10">
        <f t="shared" si="137"/>
        <v>54.897863000000001</v>
      </c>
      <c r="Y808" s="10">
        <f t="shared" si="138"/>
        <v>79.753000999999998</v>
      </c>
      <c r="Z808" s="10">
        <f t="shared" si="139"/>
        <v>28.421254399999995</v>
      </c>
      <c r="AA808" s="10">
        <f t="shared" si="140"/>
        <v>36.541612800000003</v>
      </c>
      <c r="AB808" s="10">
        <f t="shared" si="141"/>
        <v>40.601792000000003</v>
      </c>
      <c r="AC808" s="10">
        <f t="shared" si="142"/>
        <v>60.902687999999998</v>
      </c>
    </row>
    <row r="809" spans="1:29" x14ac:dyDescent="0.25">
      <c r="A809">
        <v>454524</v>
      </c>
      <c r="B809" t="s">
        <v>100</v>
      </c>
      <c r="C809" s="10">
        <v>15.89</v>
      </c>
      <c r="D809" s="10">
        <v>14.98</v>
      </c>
      <c r="E809" s="10">
        <v>0</v>
      </c>
      <c r="F809">
        <v>1</v>
      </c>
      <c r="G809" t="s">
        <v>15</v>
      </c>
      <c r="H809" s="11">
        <v>45988</v>
      </c>
      <c r="I809" t="s">
        <v>13</v>
      </c>
      <c r="J809" s="12">
        <v>2.75</v>
      </c>
      <c r="K809" s="3">
        <v>82.61</v>
      </c>
      <c r="L809" s="3">
        <f t="shared" si="132"/>
        <v>30.04</v>
      </c>
      <c r="M809" s="13"/>
      <c r="N809">
        <f>_xlfn.XLOOKUP(G809,'Tarievensheet per persoon'!AE:AE,'Tarievensheet per persoon'!AF:AF)</f>
        <v>1.7024999999999999</v>
      </c>
      <c r="O809">
        <f>_xlfn.XLOOKUP(G809,AE:AE,'Tarievensheet per persoon'!AG:AG)</f>
        <v>1.5642</v>
      </c>
      <c r="P809">
        <f>_xlfn.XLOOKUP(G809,AE:AE,'Tarievensheet per persoon'!AH:AH)</f>
        <v>1.3552</v>
      </c>
      <c r="Q809">
        <f>_xlfn.XLOOKUP(G809,AE:AE,'Tarievensheet per persoon'!AI:AI)</f>
        <v>1.3552</v>
      </c>
      <c r="R809">
        <v>0</v>
      </c>
      <c r="S809" s="14">
        <v>2.99</v>
      </c>
      <c r="T809" s="10">
        <f t="shared" si="133"/>
        <v>30.042724999999997</v>
      </c>
      <c r="U809" s="10">
        <f t="shared" si="134"/>
        <v>38.244920539999995</v>
      </c>
      <c r="V809" s="10">
        <f t="shared" si="135"/>
        <v>38.7420233</v>
      </c>
      <c r="W809" s="10">
        <f t="shared" si="136"/>
        <v>49.926835400000002</v>
      </c>
      <c r="X809" s="10">
        <f t="shared" si="137"/>
        <v>54.897863000000001</v>
      </c>
      <c r="Y809" s="10">
        <f t="shared" si="138"/>
        <v>79.753000999999998</v>
      </c>
      <c r="Z809" s="10">
        <f t="shared" si="139"/>
        <v>28.421254399999995</v>
      </c>
      <c r="AA809" s="10">
        <f t="shared" si="140"/>
        <v>36.541612800000003</v>
      </c>
      <c r="AB809" s="10">
        <f t="shared" si="141"/>
        <v>40.601792000000003</v>
      </c>
      <c r="AC809" s="10">
        <f t="shared" si="142"/>
        <v>60.902687999999998</v>
      </c>
    </row>
    <row r="810" spans="1:29" x14ac:dyDescent="0.25">
      <c r="A810">
        <v>454524</v>
      </c>
      <c r="B810" t="s">
        <v>100</v>
      </c>
      <c r="C810" s="10">
        <v>15.89</v>
      </c>
      <c r="D810" s="10">
        <v>14.98</v>
      </c>
      <c r="E810" s="10">
        <v>0</v>
      </c>
      <c r="F810">
        <v>1</v>
      </c>
      <c r="G810" t="s">
        <v>15</v>
      </c>
      <c r="H810" s="11">
        <v>45988</v>
      </c>
      <c r="I810" t="s">
        <v>21</v>
      </c>
      <c r="J810" s="12">
        <v>4.5</v>
      </c>
      <c r="K810" s="3">
        <v>172.08</v>
      </c>
      <c r="L810" s="3">
        <f t="shared" si="132"/>
        <v>38.24</v>
      </c>
      <c r="M810" s="13"/>
      <c r="N810">
        <f>_xlfn.XLOOKUP(G810,'Tarievensheet per persoon'!AE:AE,'Tarievensheet per persoon'!AF:AF)</f>
        <v>1.7024999999999999</v>
      </c>
      <c r="O810">
        <f>_xlfn.XLOOKUP(G810,AE:AE,'Tarievensheet per persoon'!AG:AG)</f>
        <v>1.5642</v>
      </c>
      <c r="P810">
        <f>_xlfn.XLOOKUP(G810,AE:AE,'Tarievensheet per persoon'!AH:AH)</f>
        <v>1.3552</v>
      </c>
      <c r="Q810">
        <f>_xlfn.XLOOKUP(G810,AE:AE,'Tarievensheet per persoon'!AI:AI)</f>
        <v>1.3552</v>
      </c>
      <c r="R810">
        <v>0</v>
      </c>
      <c r="S810" s="14">
        <v>2.99</v>
      </c>
      <c r="T810" s="10">
        <f t="shared" si="133"/>
        <v>30.042724999999997</v>
      </c>
      <c r="U810" s="10">
        <f t="shared" si="134"/>
        <v>38.244920539999995</v>
      </c>
      <c r="V810" s="10">
        <f t="shared" si="135"/>
        <v>38.7420233</v>
      </c>
      <c r="W810" s="10">
        <f t="shared" si="136"/>
        <v>49.926835400000002</v>
      </c>
      <c r="X810" s="10">
        <f t="shared" si="137"/>
        <v>54.897863000000001</v>
      </c>
      <c r="Y810" s="10">
        <f t="shared" si="138"/>
        <v>79.753000999999998</v>
      </c>
      <c r="Z810" s="10">
        <f t="shared" si="139"/>
        <v>28.421254399999995</v>
      </c>
      <c r="AA810" s="10">
        <f t="shared" si="140"/>
        <v>36.541612800000003</v>
      </c>
      <c r="AB810" s="10">
        <f t="shared" si="141"/>
        <v>40.601792000000003</v>
      </c>
      <c r="AC810" s="10">
        <f t="shared" si="142"/>
        <v>60.902687999999998</v>
      </c>
    </row>
    <row r="811" spans="1:29" x14ac:dyDescent="0.25">
      <c r="A811">
        <v>454524</v>
      </c>
      <c r="B811" t="s">
        <v>100</v>
      </c>
      <c r="C811" s="10">
        <v>15.89</v>
      </c>
      <c r="D811" s="10">
        <v>14.98</v>
      </c>
      <c r="E811" s="10">
        <v>0</v>
      </c>
      <c r="F811">
        <v>1</v>
      </c>
      <c r="G811" t="s">
        <v>15</v>
      </c>
      <c r="H811" s="11">
        <v>45989</v>
      </c>
      <c r="I811" t="s">
        <v>13</v>
      </c>
      <c r="J811" s="12">
        <v>2.75</v>
      </c>
      <c r="K811" s="3">
        <v>82.61</v>
      </c>
      <c r="L811" s="3">
        <f t="shared" si="132"/>
        <v>30.04</v>
      </c>
      <c r="M811" s="13"/>
      <c r="N811">
        <f>_xlfn.XLOOKUP(G811,'Tarievensheet per persoon'!AE:AE,'Tarievensheet per persoon'!AF:AF)</f>
        <v>1.7024999999999999</v>
      </c>
      <c r="O811">
        <f>_xlfn.XLOOKUP(G811,AE:AE,'Tarievensheet per persoon'!AG:AG)</f>
        <v>1.5642</v>
      </c>
      <c r="P811">
        <f>_xlfn.XLOOKUP(G811,AE:AE,'Tarievensheet per persoon'!AH:AH)</f>
        <v>1.3552</v>
      </c>
      <c r="Q811">
        <f>_xlfn.XLOOKUP(G811,AE:AE,'Tarievensheet per persoon'!AI:AI)</f>
        <v>1.3552</v>
      </c>
      <c r="R811">
        <v>0</v>
      </c>
      <c r="S811" s="14">
        <v>2.99</v>
      </c>
      <c r="T811" s="10">
        <f t="shared" si="133"/>
        <v>30.042724999999997</v>
      </c>
      <c r="U811" s="10">
        <f t="shared" si="134"/>
        <v>38.244920539999995</v>
      </c>
      <c r="V811" s="10">
        <f t="shared" si="135"/>
        <v>38.7420233</v>
      </c>
      <c r="W811" s="10">
        <f t="shared" si="136"/>
        <v>49.926835400000002</v>
      </c>
      <c r="X811" s="10">
        <f t="shared" si="137"/>
        <v>54.897863000000001</v>
      </c>
      <c r="Y811" s="10">
        <f t="shared" si="138"/>
        <v>79.753000999999998</v>
      </c>
      <c r="Z811" s="10">
        <f t="shared" si="139"/>
        <v>28.421254399999995</v>
      </c>
      <c r="AA811" s="10">
        <f t="shared" si="140"/>
        <v>36.541612800000003</v>
      </c>
      <c r="AB811" s="10">
        <f t="shared" si="141"/>
        <v>40.601792000000003</v>
      </c>
      <c r="AC811" s="10">
        <f t="shared" si="142"/>
        <v>60.902687999999998</v>
      </c>
    </row>
    <row r="812" spans="1:29" x14ac:dyDescent="0.25">
      <c r="A812">
        <v>454524</v>
      </c>
      <c r="B812" t="s">
        <v>100</v>
      </c>
      <c r="C812" s="10">
        <v>15.89</v>
      </c>
      <c r="D812" s="10">
        <v>14.98</v>
      </c>
      <c r="E812" s="10">
        <v>0</v>
      </c>
      <c r="F812">
        <v>1</v>
      </c>
      <c r="G812" t="s">
        <v>15</v>
      </c>
      <c r="H812" s="11">
        <v>45989</v>
      </c>
      <c r="I812" t="s">
        <v>21</v>
      </c>
      <c r="J812" s="12">
        <v>4.75</v>
      </c>
      <c r="K812" s="3">
        <v>181.64</v>
      </c>
      <c r="L812" s="3">
        <f>K812/J812</f>
        <v>38.239999999999995</v>
      </c>
      <c r="M812" s="13"/>
      <c r="N812">
        <f>_xlfn.XLOOKUP(G812,'Tarievensheet per persoon'!AE:AE,'Tarievensheet per persoon'!AF:AF)</f>
        <v>1.7024999999999999</v>
      </c>
      <c r="O812">
        <f>_xlfn.XLOOKUP(G812,AE:AE,'Tarievensheet per persoon'!AG:AG)</f>
        <v>1.5642</v>
      </c>
      <c r="P812">
        <f>_xlfn.XLOOKUP(G812,AE:AE,'Tarievensheet per persoon'!AH:AH)</f>
        <v>1.3552</v>
      </c>
      <c r="Q812">
        <f>_xlfn.XLOOKUP(G812,AE:AE,'Tarievensheet per persoon'!AI:AI)</f>
        <v>1.3552</v>
      </c>
      <c r="R812">
        <v>0</v>
      </c>
      <c r="S812" s="14">
        <v>2.99</v>
      </c>
      <c r="T812" s="10">
        <f t="shared" si="133"/>
        <v>30.042724999999997</v>
      </c>
      <c r="U812" s="10">
        <f t="shared" si="134"/>
        <v>38.244920539999995</v>
      </c>
      <c r="V812" s="10">
        <f t="shared" si="135"/>
        <v>38.7420233</v>
      </c>
      <c r="W812" s="10">
        <f t="shared" si="136"/>
        <v>49.926835400000002</v>
      </c>
      <c r="X812" s="10">
        <f t="shared" si="137"/>
        <v>54.897863000000001</v>
      </c>
      <c r="Y812" s="10">
        <f t="shared" si="138"/>
        <v>79.753000999999998</v>
      </c>
      <c r="Z812" s="10">
        <f t="shared" si="139"/>
        <v>28.421254399999995</v>
      </c>
      <c r="AA812" s="10">
        <f t="shared" si="140"/>
        <v>36.541612800000003</v>
      </c>
      <c r="AB812" s="10">
        <f t="shared" si="141"/>
        <v>40.601792000000003</v>
      </c>
      <c r="AC812" s="10">
        <f t="shared" si="142"/>
        <v>60.902687999999998</v>
      </c>
    </row>
    <row r="813" spans="1:29" x14ac:dyDescent="0.25">
      <c r="A813" t="s">
        <v>153</v>
      </c>
      <c r="J813" s="12">
        <v>4073</v>
      </c>
      <c r="K813" s="3">
        <v>133200.89000000022</v>
      </c>
      <c r="M813" s="13"/>
      <c r="S813" s="14"/>
      <c r="T813" s="10"/>
      <c r="U813" s="10"/>
      <c r="V813" s="10"/>
      <c r="W813" s="10"/>
      <c r="X813" s="10"/>
      <c r="Y813" s="10"/>
      <c r="Z813" s="10"/>
      <c r="AA813" s="10"/>
      <c r="AB813" s="10"/>
      <c r="AC813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2</vt:i4>
      </vt:variant>
    </vt:vector>
  </HeadingPairs>
  <TitlesOfParts>
    <vt:vector size="2" baseType="lpstr">
      <vt:lpstr>Export Factuur</vt:lpstr>
      <vt:lpstr>Tarievensheet per persoon</vt:lpstr>
    </vt:vector>
  </TitlesOfParts>
  <Company>OTTO Workforce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Marta Hemmers</dc:creator>
  <cp:lastModifiedBy>Marta Hemmers</cp:lastModifiedBy>
  <dcterms:created xsi:type="dcterms:W3CDTF">2025-12-24T12:04:33Z</dcterms:created>
  <dcterms:modified xsi:type="dcterms:W3CDTF">2025-12-24T12:04:53Z</dcterms:modified>
</cp:coreProperties>
</file>